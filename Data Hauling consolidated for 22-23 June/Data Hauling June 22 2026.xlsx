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rahardja/Documents/Work/MMI/Data Hauling/"/>
    </mc:Choice>
  </mc:AlternateContent>
  <xr:revisionPtr revIDLastSave="0" documentId="13_ncr:1_{C115728C-2801-8241-9171-03B73813B49A}" xr6:coauthVersionLast="47" xr6:coauthVersionMax="47" xr10:uidLastSave="{00000000-0000-0000-0000-000000000000}"/>
  <bookViews>
    <workbookView xWindow="0" yWindow="660" windowWidth="30240" windowHeight="18980" activeTab="2" xr2:uid="{69CE5B4C-E306-492E-A616-B591560AA233}"/>
  </bookViews>
  <sheets>
    <sheet name="Jetty Data" sheetId="1" r:id="rId1"/>
    <sheet name="Data Site" sheetId="2" r:id="rId2"/>
    <sheet name="Compiled" sheetId="3" r:id="rId3"/>
  </sheets>
  <definedNames>
    <definedName name="_xlnm._FilterDatabase" localSheetId="0" hidden="1">'Jetty Data'!$B$1:$B$163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39" i="3" l="1"/>
  <c r="K139" i="3"/>
  <c r="J139" i="3"/>
  <c r="M136" i="3"/>
  <c r="L136" i="3"/>
  <c r="K136" i="3"/>
  <c r="J136" i="3"/>
  <c r="M135" i="3"/>
  <c r="J132" i="3"/>
  <c r="L129" i="3"/>
  <c r="K129" i="3"/>
  <c r="J129" i="3"/>
  <c r="M128" i="3"/>
  <c r="M126" i="3"/>
  <c r="L126" i="3"/>
  <c r="K126" i="3"/>
  <c r="J126" i="3"/>
  <c r="M125" i="3"/>
  <c r="J122" i="3"/>
  <c r="L119" i="3"/>
  <c r="K119" i="3"/>
  <c r="J119" i="3"/>
  <c r="M118" i="3"/>
  <c r="M116" i="3"/>
  <c r="L116" i="3"/>
  <c r="K116" i="3"/>
  <c r="J116" i="3"/>
  <c r="M113" i="3"/>
  <c r="L113" i="3"/>
  <c r="K113" i="3"/>
  <c r="L110" i="3"/>
  <c r="K106" i="3"/>
  <c r="J106" i="3"/>
  <c r="M103" i="3"/>
  <c r="L103" i="3"/>
  <c r="K103" i="3"/>
  <c r="J103" i="3"/>
  <c r="M100" i="3"/>
  <c r="L100" i="3"/>
  <c r="K100" i="3"/>
  <c r="J100" i="3"/>
  <c r="K96" i="3"/>
  <c r="J96" i="3"/>
  <c r="L95" i="3"/>
  <c r="M93" i="3"/>
  <c r="L93" i="3"/>
  <c r="K93" i="3"/>
  <c r="J93" i="3"/>
  <c r="M90" i="3"/>
  <c r="L90" i="3"/>
  <c r="K90" i="3"/>
  <c r="J90" i="3"/>
  <c r="K86" i="3"/>
  <c r="J86" i="3"/>
  <c r="L85" i="3"/>
  <c r="M83" i="3"/>
  <c r="L83" i="3"/>
  <c r="K83" i="3"/>
  <c r="J83" i="3"/>
  <c r="M82" i="3"/>
  <c r="L82" i="3"/>
  <c r="M80" i="3"/>
  <c r="L80" i="3"/>
  <c r="K80" i="3"/>
  <c r="J80" i="3"/>
  <c r="J78" i="3"/>
  <c r="K76" i="3"/>
  <c r="J76" i="3"/>
  <c r="L75" i="3"/>
  <c r="M73" i="3"/>
  <c r="L73" i="3"/>
  <c r="K73" i="3"/>
  <c r="J73" i="3"/>
  <c r="M72" i="3"/>
  <c r="L72" i="3"/>
  <c r="M70" i="3"/>
  <c r="L70" i="3"/>
  <c r="K70" i="3"/>
  <c r="J70" i="3"/>
  <c r="J68" i="3"/>
  <c r="K66" i="3"/>
  <c r="J66" i="3"/>
  <c r="L65" i="3"/>
  <c r="M63" i="3"/>
  <c r="L63" i="3"/>
  <c r="K63" i="3"/>
  <c r="J63" i="3"/>
  <c r="M62" i="3"/>
  <c r="L62" i="3"/>
  <c r="M60" i="3"/>
  <c r="L60" i="3"/>
  <c r="K60" i="3"/>
  <c r="J60" i="3"/>
  <c r="J58" i="3"/>
  <c r="K56" i="3"/>
  <c r="J56" i="3"/>
  <c r="M55" i="3"/>
  <c r="L55" i="3"/>
  <c r="K55" i="3"/>
  <c r="M53" i="3"/>
  <c r="L53" i="3"/>
  <c r="K53" i="3"/>
  <c r="J53" i="3"/>
  <c r="M52" i="3"/>
  <c r="L52" i="3"/>
  <c r="M50" i="3"/>
  <c r="L50" i="3"/>
  <c r="K50" i="3"/>
  <c r="J50" i="3"/>
  <c r="J48" i="3"/>
  <c r="K46" i="3"/>
  <c r="J46" i="3"/>
  <c r="M45" i="3"/>
  <c r="L45" i="3"/>
  <c r="K45" i="3"/>
  <c r="M43" i="3"/>
  <c r="L43" i="3"/>
  <c r="K43" i="3"/>
  <c r="J43" i="3"/>
  <c r="M42" i="3"/>
  <c r="L42" i="3"/>
  <c r="M40" i="3"/>
  <c r="L40" i="3"/>
  <c r="K40" i="3"/>
  <c r="J40" i="3"/>
  <c r="J38" i="3"/>
  <c r="M37" i="3"/>
  <c r="K36" i="3"/>
  <c r="J36" i="3"/>
  <c r="M35" i="3"/>
  <c r="L35" i="3"/>
  <c r="K35" i="3"/>
  <c r="J35" i="3"/>
  <c r="M33" i="3"/>
  <c r="L33" i="3"/>
  <c r="K33" i="3"/>
  <c r="J33" i="3"/>
  <c r="M32" i="3"/>
  <c r="L32" i="3"/>
  <c r="M28" i="3"/>
  <c r="L28" i="3"/>
  <c r="K28" i="3"/>
  <c r="J28" i="3"/>
  <c r="M27" i="3"/>
  <c r="L27" i="3"/>
  <c r="M23" i="3"/>
  <c r="L23" i="3"/>
  <c r="K23" i="3"/>
  <c r="J23" i="3"/>
  <c r="M22" i="3"/>
  <c r="L22" i="3"/>
  <c r="M18" i="3"/>
  <c r="L18" i="3"/>
  <c r="K18" i="3"/>
  <c r="J18" i="3"/>
  <c r="M17" i="3"/>
  <c r="L17" i="3"/>
  <c r="M13" i="3"/>
  <c r="L13" i="3"/>
  <c r="K13" i="3"/>
  <c r="J13" i="3"/>
  <c r="M12" i="3"/>
  <c r="L12" i="3"/>
  <c r="L8" i="3"/>
  <c r="K8" i="3"/>
  <c r="J8" i="3"/>
  <c r="M7" i="3"/>
  <c r="L7" i="3"/>
  <c r="K7" i="3"/>
  <c r="L3" i="3"/>
  <c r="K3" i="3"/>
  <c r="J3" i="3"/>
  <c r="M2" i="3"/>
  <c r="L2" i="3"/>
  <c r="K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B117" i="3"/>
  <c r="M117" i="3" s="1"/>
  <c r="C117" i="3"/>
  <c r="D117" i="3"/>
  <c r="E117" i="3"/>
  <c r="F117" i="3"/>
  <c r="G117" i="3"/>
  <c r="H117" i="3"/>
  <c r="B118" i="3"/>
  <c r="L118" i="3" s="1"/>
  <c r="C118" i="3"/>
  <c r="D118" i="3"/>
  <c r="E118" i="3"/>
  <c r="F118" i="3"/>
  <c r="G118" i="3"/>
  <c r="H118" i="3"/>
  <c r="B119" i="3"/>
  <c r="M119" i="3" s="1"/>
  <c r="C119" i="3"/>
  <c r="D119" i="3"/>
  <c r="E119" i="3"/>
  <c r="F119" i="3"/>
  <c r="G119" i="3"/>
  <c r="H119" i="3"/>
  <c r="B120" i="3"/>
  <c r="K120" i="3" s="1"/>
  <c r="C120" i="3"/>
  <c r="D120" i="3"/>
  <c r="E120" i="3"/>
  <c r="F120" i="3"/>
  <c r="G120" i="3"/>
  <c r="H120" i="3"/>
  <c r="B121" i="3"/>
  <c r="M121" i="3" s="1"/>
  <c r="C121" i="3"/>
  <c r="D121" i="3"/>
  <c r="E121" i="3"/>
  <c r="F121" i="3"/>
  <c r="G121" i="3"/>
  <c r="H121" i="3"/>
  <c r="B122" i="3"/>
  <c r="M122" i="3" s="1"/>
  <c r="C122" i="3"/>
  <c r="D122" i="3"/>
  <c r="E122" i="3"/>
  <c r="F122" i="3"/>
  <c r="G122" i="3"/>
  <c r="H122" i="3"/>
  <c r="B123" i="3"/>
  <c r="M123" i="3" s="1"/>
  <c r="C123" i="3"/>
  <c r="D123" i="3"/>
  <c r="E123" i="3"/>
  <c r="F123" i="3"/>
  <c r="G123" i="3"/>
  <c r="H123" i="3"/>
  <c r="B124" i="3"/>
  <c r="M124" i="3" s="1"/>
  <c r="C124" i="3"/>
  <c r="D124" i="3"/>
  <c r="E124" i="3"/>
  <c r="F124" i="3"/>
  <c r="G124" i="3"/>
  <c r="H124" i="3"/>
  <c r="B125" i="3"/>
  <c r="K125" i="3" s="1"/>
  <c r="C125" i="3"/>
  <c r="D125" i="3"/>
  <c r="E125" i="3"/>
  <c r="F125" i="3"/>
  <c r="G125" i="3"/>
  <c r="H125" i="3"/>
  <c r="B126" i="3"/>
  <c r="C126" i="3"/>
  <c r="D126" i="3"/>
  <c r="E126" i="3"/>
  <c r="F126" i="3"/>
  <c r="G126" i="3"/>
  <c r="H126" i="3"/>
  <c r="B127" i="3"/>
  <c r="M127" i="3" s="1"/>
  <c r="C127" i="3"/>
  <c r="D127" i="3"/>
  <c r="E127" i="3"/>
  <c r="F127" i="3"/>
  <c r="G127" i="3"/>
  <c r="H127" i="3"/>
  <c r="B128" i="3"/>
  <c r="L128" i="3" s="1"/>
  <c r="C128" i="3"/>
  <c r="D128" i="3"/>
  <c r="E128" i="3"/>
  <c r="F128" i="3"/>
  <c r="G128" i="3"/>
  <c r="H128" i="3"/>
  <c r="B129" i="3"/>
  <c r="M129" i="3" s="1"/>
  <c r="C129" i="3"/>
  <c r="D129" i="3"/>
  <c r="E129" i="3"/>
  <c r="F129" i="3"/>
  <c r="G129" i="3"/>
  <c r="H129" i="3"/>
  <c r="B130" i="3"/>
  <c r="K130" i="3" s="1"/>
  <c r="C130" i="3"/>
  <c r="D130" i="3"/>
  <c r="E130" i="3"/>
  <c r="F130" i="3"/>
  <c r="G130" i="3"/>
  <c r="H130" i="3"/>
  <c r="B131" i="3"/>
  <c r="M131" i="3" s="1"/>
  <c r="C131" i="3"/>
  <c r="D131" i="3"/>
  <c r="E131" i="3"/>
  <c r="F131" i="3"/>
  <c r="G131" i="3"/>
  <c r="H131" i="3"/>
  <c r="B132" i="3"/>
  <c r="M132" i="3" s="1"/>
  <c r="C132" i="3"/>
  <c r="D132" i="3"/>
  <c r="E132" i="3"/>
  <c r="F132" i="3"/>
  <c r="G132" i="3"/>
  <c r="H132" i="3"/>
  <c r="B133" i="3"/>
  <c r="M133" i="3" s="1"/>
  <c r="C133" i="3"/>
  <c r="D133" i="3"/>
  <c r="E133" i="3"/>
  <c r="F133" i="3"/>
  <c r="G133" i="3"/>
  <c r="H133" i="3"/>
  <c r="B134" i="3"/>
  <c r="L134" i="3" s="1"/>
  <c r="C134" i="3"/>
  <c r="D134" i="3"/>
  <c r="E134" i="3"/>
  <c r="F134" i="3"/>
  <c r="G134" i="3"/>
  <c r="H134" i="3"/>
  <c r="B135" i="3"/>
  <c r="K135" i="3" s="1"/>
  <c r="C135" i="3"/>
  <c r="D135" i="3"/>
  <c r="E135" i="3"/>
  <c r="F135" i="3"/>
  <c r="G135" i="3"/>
  <c r="H135" i="3"/>
  <c r="B136" i="3"/>
  <c r="C136" i="3"/>
  <c r="D136" i="3"/>
  <c r="E136" i="3"/>
  <c r="F136" i="3"/>
  <c r="G136" i="3"/>
  <c r="H136" i="3"/>
  <c r="B137" i="3"/>
  <c r="M137" i="3" s="1"/>
  <c r="C137" i="3"/>
  <c r="D137" i="3"/>
  <c r="E137" i="3"/>
  <c r="F137" i="3"/>
  <c r="G137" i="3"/>
  <c r="H137" i="3"/>
  <c r="B138" i="3"/>
  <c r="M138" i="3" s="1"/>
  <c r="C138" i="3"/>
  <c r="D138" i="3"/>
  <c r="E138" i="3"/>
  <c r="F138" i="3"/>
  <c r="G138" i="3"/>
  <c r="H138" i="3"/>
  <c r="B139" i="3"/>
  <c r="M139" i="3" s="1"/>
  <c r="C139" i="3"/>
  <c r="D139" i="3"/>
  <c r="E139" i="3"/>
  <c r="F139" i="3"/>
  <c r="G139" i="3"/>
  <c r="H139" i="3"/>
  <c r="I139" i="3"/>
  <c r="B140" i="3"/>
  <c r="K140" i="3" s="1"/>
  <c r="C140" i="3"/>
  <c r="D140" i="3"/>
  <c r="E140" i="3"/>
  <c r="F140" i="3"/>
  <c r="G140" i="3"/>
  <c r="H140" i="3"/>
  <c r="I140" i="3"/>
  <c r="B141" i="3"/>
  <c r="M141" i="3" s="1"/>
  <c r="C141" i="3"/>
  <c r="D141" i="3"/>
  <c r="E141" i="3"/>
  <c r="F141" i="3"/>
  <c r="G141" i="3"/>
  <c r="H141" i="3"/>
  <c r="I141" i="3"/>
  <c r="B142" i="3"/>
  <c r="M142" i="3" s="1"/>
  <c r="C142" i="3"/>
  <c r="D142" i="3"/>
  <c r="E142" i="3"/>
  <c r="F142" i="3"/>
  <c r="G142" i="3"/>
  <c r="H142" i="3"/>
  <c r="I142" i="3"/>
  <c r="B2" i="3"/>
  <c r="J2" i="3" s="1"/>
  <c r="C2" i="3"/>
  <c r="D2" i="3"/>
  <c r="E2" i="3"/>
  <c r="F2" i="3"/>
  <c r="G2" i="3"/>
  <c r="H2" i="3"/>
  <c r="I2" i="3"/>
  <c r="B3" i="3"/>
  <c r="M3" i="3" s="1"/>
  <c r="C3" i="3"/>
  <c r="D3" i="3"/>
  <c r="E3" i="3"/>
  <c r="F3" i="3"/>
  <c r="G3" i="3"/>
  <c r="H3" i="3"/>
  <c r="I3" i="3"/>
  <c r="B4" i="3"/>
  <c r="K4" i="3" s="1"/>
  <c r="C4" i="3"/>
  <c r="D4" i="3"/>
  <c r="E4" i="3"/>
  <c r="F4" i="3"/>
  <c r="G4" i="3"/>
  <c r="H4" i="3"/>
  <c r="I4" i="3"/>
  <c r="B5" i="3"/>
  <c r="L5" i="3" s="1"/>
  <c r="C5" i="3"/>
  <c r="D5" i="3"/>
  <c r="E5" i="3"/>
  <c r="F5" i="3"/>
  <c r="G5" i="3"/>
  <c r="H5" i="3"/>
  <c r="I5" i="3"/>
  <c r="B6" i="3"/>
  <c r="M6" i="3" s="1"/>
  <c r="C6" i="3"/>
  <c r="D6" i="3"/>
  <c r="E6" i="3"/>
  <c r="F6" i="3"/>
  <c r="G6" i="3"/>
  <c r="H6" i="3"/>
  <c r="I6" i="3"/>
  <c r="B7" i="3"/>
  <c r="J7" i="3" s="1"/>
  <c r="C7" i="3"/>
  <c r="D7" i="3"/>
  <c r="E7" i="3"/>
  <c r="F7" i="3"/>
  <c r="G7" i="3"/>
  <c r="H7" i="3"/>
  <c r="I7" i="3"/>
  <c r="B8" i="3"/>
  <c r="M8" i="3" s="1"/>
  <c r="C8" i="3"/>
  <c r="D8" i="3"/>
  <c r="E8" i="3"/>
  <c r="F8" i="3"/>
  <c r="G8" i="3"/>
  <c r="H8" i="3"/>
  <c r="I8" i="3"/>
  <c r="B9" i="3"/>
  <c r="M9" i="3" s="1"/>
  <c r="C9" i="3"/>
  <c r="D9" i="3"/>
  <c r="E9" i="3"/>
  <c r="F9" i="3"/>
  <c r="G9" i="3"/>
  <c r="H9" i="3"/>
  <c r="I9" i="3"/>
  <c r="B10" i="3"/>
  <c r="M10" i="3" s="1"/>
  <c r="C10" i="3"/>
  <c r="D10" i="3"/>
  <c r="E10" i="3"/>
  <c r="F10" i="3"/>
  <c r="G10" i="3"/>
  <c r="H10" i="3"/>
  <c r="I10" i="3"/>
  <c r="B11" i="3"/>
  <c r="M11" i="3" s="1"/>
  <c r="C11" i="3"/>
  <c r="D11" i="3"/>
  <c r="E11" i="3"/>
  <c r="F11" i="3"/>
  <c r="G11" i="3"/>
  <c r="H11" i="3"/>
  <c r="I11" i="3"/>
  <c r="B12" i="3"/>
  <c r="J12" i="3" s="1"/>
  <c r="C12" i="3"/>
  <c r="D12" i="3"/>
  <c r="E12" i="3"/>
  <c r="F12" i="3"/>
  <c r="G12" i="3"/>
  <c r="H12" i="3"/>
  <c r="I12" i="3"/>
  <c r="B13" i="3"/>
  <c r="C13" i="3"/>
  <c r="D13" i="3"/>
  <c r="E13" i="3"/>
  <c r="F13" i="3"/>
  <c r="G13" i="3"/>
  <c r="H13" i="3"/>
  <c r="I13" i="3"/>
  <c r="B14" i="3"/>
  <c r="L14" i="3" s="1"/>
  <c r="C14" i="3"/>
  <c r="D14" i="3"/>
  <c r="E14" i="3"/>
  <c r="F14" i="3"/>
  <c r="G14" i="3"/>
  <c r="H14" i="3"/>
  <c r="I14" i="3"/>
  <c r="B15" i="3"/>
  <c r="M15" i="3" s="1"/>
  <c r="C15" i="3"/>
  <c r="D15" i="3"/>
  <c r="E15" i="3"/>
  <c r="F15" i="3"/>
  <c r="G15" i="3"/>
  <c r="H15" i="3"/>
  <c r="I15" i="3"/>
  <c r="B16" i="3"/>
  <c r="M16" i="3" s="1"/>
  <c r="C16" i="3"/>
  <c r="D16" i="3"/>
  <c r="E16" i="3"/>
  <c r="F16" i="3"/>
  <c r="G16" i="3"/>
  <c r="H16" i="3"/>
  <c r="I16" i="3"/>
  <c r="B17" i="3"/>
  <c r="J17" i="3" s="1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L19" i="3" s="1"/>
  <c r="C19" i="3"/>
  <c r="D19" i="3"/>
  <c r="E19" i="3"/>
  <c r="F19" i="3"/>
  <c r="G19" i="3"/>
  <c r="H19" i="3"/>
  <c r="I19" i="3"/>
  <c r="B20" i="3"/>
  <c r="M20" i="3" s="1"/>
  <c r="C20" i="3"/>
  <c r="D20" i="3"/>
  <c r="E20" i="3"/>
  <c r="F20" i="3"/>
  <c r="G20" i="3"/>
  <c r="H20" i="3"/>
  <c r="I20" i="3"/>
  <c r="B21" i="3"/>
  <c r="M21" i="3" s="1"/>
  <c r="C21" i="3"/>
  <c r="D21" i="3"/>
  <c r="E21" i="3"/>
  <c r="F21" i="3"/>
  <c r="G21" i="3"/>
  <c r="H21" i="3"/>
  <c r="I21" i="3"/>
  <c r="B22" i="3"/>
  <c r="J22" i="3" s="1"/>
  <c r="C22" i="3"/>
  <c r="D22" i="3"/>
  <c r="E22" i="3"/>
  <c r="F22" i="3"/>
  <c r="G22" i="3"/>
  <c r="H22" i="3"/>
  <c r="I22" i="3"/>
  <c r="B23" i="3"/>
  <c r="C23" i="3"/>
  <c r="D23" i="3"/>
  <c r="E23" i="3"/>
  <c r="F23" i="3"/>
  <c r="G23" i="3"/>
  <c r="H23" i="3"/>
  <c r="I23" i="3"/>
  <c r="B24" i="3"/>
  <c r="L24" i="3" s="1"/>
  <c r="C24" i="3"/>
  <c r="D24" i="3"/>
  <c r="E24" i="3"/>
  <c r="F24" i="3"/>
  <c r="G24" i="3"/>
  <c r="H24" i="3"/>
  <c r="I24" i="3"/>
  <c r="B25" i="3"/>
  <c r="M25" i="3" s="1"/>
  <c r="C25" i="3"/>
  <c r="D25" i="3"/>
  <c r="E25" i="3"/>
  <c r="F25" i="3"/>
  <c r="G25" i="3"/>
  <c r="H25" i="3"/>
  <c r="I25" i="3"/>
  <c r="B26" i="3"/>
  <c r="M26" i="3" s="1"/>
  <c r="C26" i="3"/>
  <c r="D26" i="3"/>
  <c r="E26" i="3"/>
  <c r="F26" i="3"/>
  <c r="G26" i="3"/>
  <c r="H26" i="3"/>
  <c r="I26" i="3"/>
  <c r="B27" i="3"/>
  <c r="J27" i="3" s="1"/>
  <c r="C27" i="3"/>
  <c r="D27" i="3"/>
  <c r="E27" i="3"/>
  <c r="F27" i="3"/>
  <c r="G27" i="3"/>
  <c r="H27" i="3"/>
  <c r="I27" i="3"/>
  <c r="B28" i="3"/>
  <c r="C28" i="3"/>
  <c r="D28" i="3"/>
  <c r="E28" i="3"/>
  <c r="F28" i="3"/>
  <c r="G28" i="3"/>
  <c r="H28" i="3"/>
  <c r="I28" i="3"/>
  <c r="B29" i="3"/>
  <c r="L29" i="3" s="1"/>
  <c r="C29" i="3"/>
  <c r="D29" i="3"/>
  <c r="E29" i="3"/>
  <c r="F29" i="3"/>
  <c r="G29" i="3"/>
  <c r="H29" i="3"/>
  <c r="I29" i="3"/>
  <c r="B30" i="3"/>
  <c r="M30" i="3" s="1"/>
  <c r="C30" i="3"/>
  <c r="D30" i="3"/>
  <c r="E30" i="3"/>
  <c r="F30" i="3"/>
  <c r="G30" i="3"/>
  <c r="H30" i="3"/>
  <c r="I30" i="3"/>
  <c r="B31" i="3"/>
  <c r="K31" i="3" s="1"/>
  <c r="C31" i="3"/>
  <c r="D31" i="3"/>
  <c r="E31" i="3"/>
  <c r="F31" i="3"/>
  <c r="G31" i="3"/>
  <c r="H31" i="3"/>
  <c r="I31" i="3"/>
  <c r="B32" i="3"/>
  <c r="J32" i="3" s="1"/>
  <c r="C32" i="3"/>
  <c r="D32" i="3"/>
  <c r="E32" i="3"/>
  <c r="F32" i="3"/>
  <c r="G32" i="3"/>
  <c r="H32" i="3"/>
  <c r="I32" i="3"/>
  <c r="B33" i="3"/>
  <c r="C33" i="3"/>
  <c r="D33" i="3"/>
  <c r="E33" i="3"/>
  <c r="F33" i="3"/>
  <c r="G33" i="3"/>
  <c r="H33" i="3"/>
  <c r="B34" i="3"/>
  <c r="L34" i="3" s="1"/>
  <c r="C34" i="3"/>
  <c r="D34" i="3"/>
  <c r="E34" i="3"/>
  <c r="F34" i="3"/>
  <c r="G34" i="3"/>
  <c r="H34" i="3"/>
  <c r="B35" i="3"/>
  <c r="C35" i="3"/>
  <c r="D35" i="3"/>
  <c r="E35" i="3"/>
  <c r="F35" i="3"/>
  <c r="G35" i="3"/>
  <c r="H35" i="3"/>
  <c r="B36" i="3"/>
  <c r="M36" i="3" s="1"/>
  <c r="C36" i="3"/>
  <c r="D36" i="3"/>
  <c r="E36" i="3"/>
  <c r="F36" i="3"/>
  <c r="G36" i="3"/>
  <c r="H36" i="3"/>
  <c r="B37" i="3"/>
  <c r="J37" i="3" s="1"/>
  <c r="C37" i="3"/>
  <c r="D37" i="3"/>
  <c r="E37" i="3"/>
  <c r="F37" i="3"/>
  <c r="G37" i="3"/>
  <c r="H37" i="3"/>
  <c r="B38" i="3"/>
  <c r="M38" i="3" s="1"/>
  <c r="C38" i="3"/>
  <c r="D38" i="3"/>
  <c r="E38" i="3"/>
  <c r="F38" i="3"/>
  <c r="G38" i="3"/>
  <c r="H38" i="3"/>
  <c r="B39" i="3"/>
  <c r="L39" i="3" s="1"/>
  <c r="C39" i="3"/>
  <c r="D39" i="3"/>
  <c r="E39" i="3"/>
  <c r="F39" i="3"/>
  <c r="G39" i="3"/>
  <c r="H39" i="3"/>
  <c r="B40" i="3"/>
  <c r="C40" i="3"/>
  <c r="D40" i="3"/>
  <c r="E40" i="3"/>
  <c r="F40" i="3"/>
  <c r="G40" i="3"/>
  <c r="H40" i="3"/>
  <c r="B41" i="3"/>
  <c r="K41" i="3" s="1"/>
  <c r="C41" i="3"/>
  <c r="D41" i="3"/>
  <c r="E41" i="3"/>
  <c r="F41" i="3"/>
  <c r="G41" i="3"/>
  <c r="H41" i="3"/>
  <c r="B42" i="3"/>
  <c r="J42" i="3" s="1"/>
  <c r="C42" i="3"/>
  <c r="D42" i="3"/>
  <c r="E42" i="3"/>
  <c r="F42" i="3"/>
  <c r="G42" i="3"/>
  <c r="H42" i="3"/>
  <c r="B43" i="3"/>
  <c r="C43" i="3"/>
  <c r="D43" i="3"/>
  <c r="E43" i="3"/>
  <c r="F43" i="3"/>
  <c r="G43" i="3"/>
  <c r="H43" i="3"/>
  <c r="B44" i="3"/>
  <c r="L44" i="3" s="1"/>
  <c r="C44" i="3"/>
  <c r="D44" i="3"/>
  <c r="E44" i="3"/>
  <c r="F44" i="3"/>
  <c r="G44" i="3"/>
  <c r="H44" i="3"/>
  <c r="B45" i="3"/>
  <c r="J45" i="3" s="1"/>
  <c r="C45" i="3"/>
  <c r="D45" i="3"/>
  <c r="E45" i="3"/>
  <c r="F45" i="3"/>
  <c r="G45" i="3"/>
  <c r="H45" i="3"/>
  <c r="B46" i="3"/>
  <c r="M46" i="3" s="1"/>
  <c r="C46" i="3"/>
  <c r="D46" i="3"/>
  <c r="E46" i="3"/>
  <c r="F46" i="3"/>
  <c r="G46" i="3"/>
  <c r="H46" i="3"/>
  <c r="B47" i="3"/>
  <c r="J47" i="3" s="1"/>
  <c r="C47" i="3"/>
  <c r="D47" i="3"/>
  <c r="E47" i="3"/>
  <c r="F47" i="3"/>
  <c r="G47" i="3"/>
  <c r="H47" i="3"/>
  <c r="B48" i="3"/>
  <c r="M48" i="3" s="1"/>
  <c r="C48" i="3"/>
  <c r="D48" i="3"/>
  <c r="E48" i="3"/>
  <c r="F48" i="3"/>
  <c r="G48" i="3"/>
  <c r="H48" i="3"/>
  <c r="B49" i="3"/>
  <c r="L49" i="3" s="1"/>
  <c r="C49" i="3"/>
  <c r="D49" i="3"/>
  <c r="E49" i="3"/>
  <c r="F49" i="3"/>
  <c r="G49" i="3"/>
  <c r="H49" i="3"/>
  <c r="B50" i="3"/>
  <c r="C50" i="3"/>
  <c r="D50" i="3"/>
  <c r="E50" i="3"/>
  <c r="F50" i="3"/>
  <c r="G50" i="3"/>
  <c r="H50" i="3"/>
  <c r="B51" i="3"/>
  <c r="K51" i="3" s="1"/>
  <c r="C51" i="3"/>
  <c r="D51" i="3"/>
  <c r="E51" i="3"/>
  <c r="F51" i="3"/>
  <c r="G51" i="3"/>
  <c r="H51" i="3"/>
  <c r="B52" i="3"/>
  <c r="J52" i="3" s="1"/>
  <c r="C52" i="3"/>
  <c r="D52" i="3"/>
  <c r="E52" i="3"/>
  <c r="F52" i="3"/>
  <c r="G52" i="3"/>
  <c r="H52" i="3"/>
  <c r="B53" i="3"/>
  <c r="C53" i="3"/>
  <c r="D53" i="3"/>
  <c r="E53" i="3"/>
  <c r="F53" i="3"/>
  <c r="G53" i="3"/>
  <c r="H53" i="3"/>
  <c r="B54" i="3"/>
  <c r="L54" i="3" s="1"/>
  <c r="C54" i="3"/>
  <c r="D54" i="3"/>
  <c r="E54" i="3"/>
  <c r="F54" i="3"/>
  <c r="G54" i="3"/>
  <c r="H54" i="3"/>
  <c r="B55" i="3"/>
  <c r="J55" i="3" s="1"/>
  <c r="C55" i="3"/>
  <c r="D55" i="3"/>
  <c r="E55" i="3"/>
  <c r="F55" i="3"/>
  <c r="G55" i="3"/>
  <c r="H55" i="3"/>
  <c r="B56" i="3"/>
  <c r="M56" i="3" s="1"/>
  <c r="C56" i="3"/>
  <c r="D56" i="3"/>
  <c r="E56" i="3"/>
  <c r="F56" i="3"/>
  <c r="G56" i="3"/>
  <c r="H56" i="3"/>
  <c r="B57" i="3"/>
  <c r="J57" i="3" s="1"/>
  <c r="C57" i="3"/>
  <c r="D57" i="3"/>
  <c r="E57" i="3"/>
  <c r="F57" i="3"/>
  <c r="G57" i="3"/>
  <c r="H57" i="3"/>
  <c r="B58" i="3"/>
  <c r="M58" i="3" s="1"/>
  <c r="C58" i="3"/>
  <c r="D58" i="3"/>
  <c r="E58" i="3"/>
  <c r="F58" i="3"/>
  <c r="G58" i="3"/>
  <c r="H58" i="3"/>
  <c r="B59" i="3"/>
  <c r="L59" i="3" s="1"/>
  <c r="C59" i="3"/>
  <c r="D59" i="3"/>
  <c r="E59" i="3"/>
  <c r="F59" i="3"/>
  <c r="G59" i="3"/>
  <c r="H59" i="3"/>
  <c r="B60" i="3"/>
  <c r="C60" i="3"/>
  <c r="D60" i="3"/>
  <c r="E60" i="3"/>
  <c r="F60" i="3"/>
  <c r="G60" i="3"/>
  <c r="H60" i="3"/>
  <c r="B61" i="3"/>
  <c r="K61" i="3" s="1"/>
  <c r="C61" i="3"/>
  <c r="D61" i="3"/>
  <c r="E61" i="3"/>
  <c r="F61" i="3"/>
  <c r="G61" i="3"/>
  <c r="H61" i="3"/>
  <c r="B62" i="3"/>
  <c r="J62" i="3" s="1"/>
  <c r="C62" i="3"/>
  <c r="D62" i="3"/>
  <c r="E62" i="3"/>
  <c r="F62" i="3"/>
  <c r="G62" i="3"/>
  <c r="H62" i="3"/>
  <c r="B63" i="3"/>
  <c r="C63" i="3"/>
  <c r="D63" i="3"/>
  <c r="E63" i="3"/>
  <c r="F63" i="3"/>
  <c r="G63" i="3"/>
  <c r="H63" i="3"/>
  <c r="B64" i="3"/>
  <c r="L64" i="3" s="1"/>
  <c r="C64" i="3"/>
  <c r="D64" i="3"/>
  <c r="E64" i="3"/>
  <c r="F64" i="3"/>
  <c r="G64" i="3"/>
  <c r="H64" i="3"/>
  <c r="B65" i="3"/>
  <c r="M65" i="3" s="1"/>
  <c r="C65" i="3"/>
  <c r="D65" i="3"/>
  <c r="E65" i="3"/>
  <c r="F65" i="3"/>
  <c r="G65" i="3"/>
  <c r="H65" i="3"/>
  <c r="B66" i="3"/>
  <c r="M66" i="3" s="1"/>
  <c r="C66" i="3"/>
  <c r="D66" i="3"/>
  <c r="E66" i="3"/>
  <c r="F66" i="3"/>
  <c r="G66" i="3"/>
  <c r="H66" i="3"/>
  <c r="B67" i="3"/>
  <c r="J67" i="3" s="1"/>
  <c r="C67" i="3"/>
  <c r="D67" i="3"/>
  <c r="E67" i="3"/>
  <c r="F67" i="3"/>
  <c r="G67" i="3"/>
  <c r="H67" i="3"/>
  <c r="B68" i="3"/>
  <c r="L68" i="3" s="1"/>
  <c r="C68" i="3"/>
  <c r="D68" i="3"/>
  <c r="E68" i="3"/>
  <c r="F68" i="3"/>
  <c r="G68" i="3"/>
  <c r="H68" i="3"/>
  <c r="B69" i="3"/>
  <c r="L69" i="3" s="1"/>
  <c r="C69" i="3"/>
  <c r="D69" i="3"/>
  <c r="E69" i="3"/>
  <c r="F69" i="3"/>
  <c r="G69" i="3"/>
  <c r="H69" i="3"/>
  <c r="B70" i="3"/>
  <c r="C70" i="3"/>
  <c r="D70" i="3"/>
  <c r="E70" i="3"/>
  <c r="F70" i="3"/>
  <c r="G70" i="3"/>
  <c r="H70" i="3"/>
  <c r="B71" i="3"/>
  <c r="J71" i="3" s="1"/>
  <c r="C71" i="3"/>
  <c r="D71" i="3"/>
  <c r="E71" i="3"/>
  <c r="F71" i="3"/>
  <c r="G71" i="3"/>
  <c r="H71" i="3"/>
  <c r="B72" i="3"/>
  <c r="J72" i="3" s="1"/>
  <c r="C72" i="3"/>
  <c r="D72" i="3"/>
  <c r="E72" i="3"/>
  <c r="F72" i="3"/>
  <c r="G72" i="3"/>
  <c r="H72" i="3"/>
  <c r="B73" i="3"/>
  <c r="C73" i="3"/>
  <c r="D73" i="3"/>
  <c r="E73" i="3"/>
  <c r="F73" i="3"/>
  <c r="G73" i="3"/>
  <c r="H73" i="3"/>
  <c r="B74" i="3"/>
  <c r="L74" i="3" s="1"/>
  <c r="C74" i="3"/>
  <c r="D74" i="3"/>
  <c r="E74" i="3"/>
  <c r="F74" i="3"/>
  <c r="G74" i="3"/>
  <c r="H74" i="3"/>
  <c r="B75" i="3"/>
  <c r="M75" i="3" s="1"/>
  <c r="C75" i="3"/>
  <c r="D75" i="3"/>
  <c r="E75" i="3"/>
  <c r="F75" i="3"/>
  <c r="G75" i="3"/>
  <c r="H75" i="3"/>
  <c r="B76" i="3"/>
  <c r="M76" i="3" s="1"/>
  <c r="C76" i="3"/>
  <c r="D76" i="3"/>
  <c r="E76" i="3"/>
  <c r="F76" i="3"/>
  <c r="G76" i="3"/>
  <c r="H76" i="3"/>
  <c r="B77" i="3"/>
  <c r="J77" i="3" s="1"/>
  <c r="C77" i="3"/>
  <c r="D77" i="3"/>
  <c r="E77" i="3"/>
  <c r="F77" i="3"/>
  <c r="G77" i="3"/>
  <c r="H77" i="3"/>
  <c r="B78" i="3"/>
  <c r="L78" i="3" s="1"/>
  <c r="C78" i="3"/>
  <c r="D78" i="3"/>
  <c r="E78" i="3"/>
  <c r="F78" i="3"/>
  <c r="G78" i="3"/>
  <c r="H78" i="3"/>
  <c r="B79" i="3"/>
  <c r="L79" i="3" s="1"/>
  <c r="C79" i="3"/>
  <c r="D79" i="3"/>
  <c r="E79" i="3"/>
  <c r="F79" i="3"/>
  <c r="G79" i="3"/>
  <c r="H79" i="3"/>
  <c r="B80" i="3"/>
  <c r="C80" i="3"/>
  <c r="D80" i="3"/>
  <c r="E80" i="3"/>
  <c r="F80" i="3"/>
  <c r="G80" i="3"/>
  <c r="H80" i="3"/>
  <c r="B81" i="3"/>
  <c r="M81" i="3" s="1"/>
  <c r="C81" i="3"/>
  <c r="D81" i="3"/>
  <c r="E81" i="3"/>
  <c r="F81" i="3"/>
  <c r="G81" i="3"/>
  <c r="H81" i="3"/>
  <c r="B82" i="3"/>
  <c r="J82" i="3" s="1"/>
  <c r="C82" i="3"/>
  <c r="D82" i="3"/>
  <c r="E82" i="3"/>
  <c r="F82" i="3"/>
  <c r="G82" i="3"/>
  <c r="H82" i="3"/>
  <c r="B83" i="3"/>
  <c r="C83" i="3"/>
  <c r="D83" i="3"/>
  <c r="E83" i="3"/>
  <c r="F83" i="3"/>
  <c r="G83" i="3"/>
  <c r="H83" i="3"/>
  <c r="B84" i="3"/>
  <c r="L84" i="3" s="1"/>
  <c r="C84" i="3"/>
  <c r="D84" i="3"/>
  <c r="E84" i="3"/>
  <c r="F84" i="3"/>
  <c r="G84" i="3"/>
  <c r="H84" i="3"/>
  <c r="B85" i="3"/>
  <c r="M85" i="3" s="1"/>
  <c r="C85" i="3"/>
  <c r="D85" i="3"/>
  <c r="E85" i="3"/>
  <c r="F85" i="3"/>
  <c r="G85" i="3"/>
  <c r="H85" i="3"/>
  <c r="B86" i="3"/>
  <c r="M86" i="3" s="1"/>
  <c r="C86" i="3"/>
  <c r="D86" i="3"/>
  <c r="E86" i="3"/>
  <c r="F86" i="3"/>
  <c r="G86" i="3"/>
  <c r="H86" i="3"/>
  <c r="B87" i="3"/>
  <c r="J87" i="3" s="1"/>
  <c r="C87" i="3"/>
  <c r="D87" i="3"/>
  <c r="E87" i="3"/>
  <c r="F87" i="3"/>
  <c r="G87" i="3"/>
  <c r="H87" i="3"/>
  <c r="B88" i="3"/>
  <c r="L88" i="3" s="1"/>
  <c r="C88" i="3"/>
  <c r="D88" i="3"/>
  <c r="E88" i="3"/>
  <c r="F88" i="3"/>
  <c r="G88" i="3"/>
  <c r="H88" i="3"/>
  <c r="B89" i="3"/>
  <c r="L89" i="3" s="1"/>
  <c r="C89" i="3"/>
  <c r="D89" i="3"/>
  <c r="E89" i="3"/>
  <c r="F89" i="3"/>
  <c r="G89" i="3"/>
  <c r="H89" i="3"/>
  <c r="B90" i="3"/>
  <c r="C90" i="3"/>
  <c r="D90" i="3"/>
  <c r="E90" i="3"/>
  <c r="F90" i="3"/>
  <c r="G90" i="3"/>
  <c r="H90" i="3"/>
  <c r="B91" i="3"/>
  <c r="M91" i="3" s="1"/>
  <c r="C91" i="3"/>
  <c r="D91" i="3"/>
  <c r="E91" i="3"/>
  <c r="F91" i="3"/>
  <c r="G91" i="3"/>
  <c r="H91" i="3"/>
  <c r="B92" i="3"/>
  <c r="J92" i="3" s="1"/>
  <c r="C92" i="3"/>
  <c r="D92" i="3"/>
  <c r="E92" i="3"/>
  <c r="F92" i="3"/>
  <c r="G92" i="3"/>
  <c r="H92" i="3"/>
  <c r="B93" i="3"/>
  <c r="C93" i="3"/>
  <c r="D93" i="3"/>
  <c r="E93" i="3"/>
  <c r="F93" i="3"/>
  <c r="G93" i="3"/>
  <c r="H93" i="3"/>
  <c r="B94" i="3"/>
  <c r="L94" i="3" s="1"/>
  <c r="C94" i="3"/>
  <c r="D94" i="3"/>
  <c r="E94" i="3"/>
  <c r="F94" i="3"/>
  <c r="G94" i="3"/>
  <c r="H94" i="3"/>
  <c r="B95" i="3"/>
  <c r="M95" i="3" s="1"/>
  <c r="C95" i="3"/>
  <c r="D95" i="3"/>
  <c r="E95" i="3"/>
  <c r="F95" i="3"/>
  <c r="G95" i="3"/>
  <c r="H95" i="3"/>
  <c r="B96" i="3"/>
  <c r="M96" i="3" s="1"/>
  <c r="C96" i="3"/>
  <c r="D96" i="3"/>
  <c r="E96" i="3"/>
  <c r="F96" i="3"/>
  <c r="G96" i="3"/>
  <c r="H96" i="3"/>
  <c r="B97" i="3"/>
  <c r="J97" i="3" s="1"/>
  <c r="C97" i="3"/>
  <c r="D97" i="3"/>
  <c r="E97" i="3"/>
  <c r="F97" i="3"/>
  <c r="G97" i="3"/>
  <c r="H97" i="3"/>
  <c r="B98" i="3"/>
  <c r="L98" i="3" s="1"/>
  <c r="C98" i="3"/>
  <c r="D98" i="3"/>
  <c r="E98" i="3"/>
  <c r="F98" i="3"/>
  <c r="G98" i="3"/>
  <c r="H98" i="3"/>
  <c r="B99" i="3"/>
  <c r="L99" i="3" s="1"/>
  <c r="C99" i="3"/>
  <c r="D99" i="3"/>
  <c r="E99" i="3"/>
  <c r="F99" i="3"/>
  <c r="G99" i="3"/>
  <c r="H99" i="3"/>
  <c r="B100" i="3"/>
  <c r="C100" i="3"/>
  <c r="D100" i="3"/>
  <c r="E100" i="3"/>
  <c r="F100" i="3"/>
  <c r="G100" i="3"/>
  <c r="H100" i="3"/>
  <c r="B101" i="3"/>
  <c r="M101" i="3" s="1"/>
  <c r="C101" i="3"/>
  <c r="D101" i="3"/>
  <c r="E101" i="3"/>
  <c r="F101" i="3"/>
  <c r="G101" i="3"/>
  <c r="H101" i="3"/>
  <c r="B102" i="3"/>
  <c r="J102" i="3" s="1"/>
  <c r="C102" i="3"/>
  <c r="D102" i="3"/>
  <c r="E102" i="3"/>
  <c r="F102" i="3"/>
  <c r="G102" i="3"/>
  <c r="H102" i="3"/>
  <c r="B103" i="3"/>
  <c r="C103" i="3"/>
  <c r="D103" i="3"/>
  <c r="E103" i="3"/>
  <c r="F103" i="3"/>
  <c r="G103" i="3"/>
  <c r="H103" i="3"/>
  <c r="B104" i="3"/>
  <c r="L104" i="3" s="1"/>
  <c r="C104" i="3"/>
  <c r="D104" i="3"/>
  <c r="E104" i="3"/>
  <c r="F104" i="3"/>
  <c r="G104" i="3"/>
  <c r="H104" i="3"/>
  <c r="B105" i="3"/>
  <c r="M105" i="3" s="1"/>
  <c r="C105" i="3"/>
  <c r="D105" i="3"/>
  <c r="E105" i="3"/>
  <c r="F105" i="3"/>
  <c r="G105" i="3"/>
  <c r="H105" i="3"/>
  <c r="B106" i="3"/>
  <c r="M106" i="3" s="1"/>
  <c r="C106" i="3"/>
  <c r="D106" i="3"/>
  <c r="E106" i="3"/>
  <c r="F106" i="3"/>
  <c r="G106" i="3"/>
  <c r="H106" i="3"/>
  <c r="B107" i="3"/>
  <c r="J107" i="3" s="1"/>
  <c r="C107" i="3"/>
  <c r="D107" i="3"/>
  <c r="E107" i="3"/>
  <c r="F107" i="3"/>
  <c r="G107" i="3"/>
  <c r="H107" i="3"/>
  <c r="B108" i="3"/>
  <c r="L108" i="3" s="1"/>
  <c r="C108" i="3"/>
  <c r="D108" i="3"/>
  <c r="E108" i="3"/>
  <c r="F108" i="3"/>
  <c r="G108" i="3"/>
  <c r="H108" i="3"/>
  <c r="B109" i="3"/>
  <c r="L109" i="3" s="1"/>
  <c r="C109" i="3"/>
  <c r="D109" i="3"/>
  <c r="E109" i="3"/>
  <c r="F109" i="3"/>
  <c r="G109" i="3"/>
  <c r="H109" i="3"/>
  <c r="B110" i="3"/>
  <c r="K110" i="3" s="1"/>
  <c r="C110" i="3"/>
  <c r="D110" i="3"/>
  <c r="E110" i="3"/>
  <c r="F110" i="3"/>
  <c r="G110" i="3"/>
  <c r="H110" i="3"/>
  <c r="B111" i="3"/>
  <c r="M111" i="3" s="1"/>
  <c r="C111" i="3"/>
  <c r="D111" i="3"/>
  <c r="E111" i="3"/>
  <c r="F111" i="3"/>
  <c r="G111" i="3"/>
  <c r="H111" i="3"/>
  <c r="B112" i="3"/>
  <c r="M112" i="3" s="1"/>
  <c r="C112" i="3"/>
  <c r="D112" i="3"/>
  <c r="E112" i="3"/>
  <c r="F112" i="3"/>
  <c r="G112" i="3"/>
  <c r="H112" i="3"/>
  <c r="B113" i="3"/>
  <c r="J113" i="3" s="1"/>
  <c r="C113" i="3"/>
  <c r="D113" i="3"/>
  <c r="E113" i="3"/>
  <c r="F113" i="3"/>
  <c r="G113" i="3"/>
  <c r="H113" i="3"/>
  <c r="B114" i="3"/>
  <c r="M114" i="3" s="1"/>
  <c r="C114" i="3"/>
  <c r="D114" i="3"/>
  <c r="E114" i="3"/>
  <c r="F114" i="3"/>
  <c r="G114" i="3"/>
  <c r="H114" i="3"/>
  <c r="B115" i="3"/>
  <c r="K115" i="3" s="1"/>
  <c r="C115" i="3"/>
  <c r="D115" i="3"/>
  <c r="E115" i="3"/>
  <c r="F115" i="3"/>
  <c r="G115" i="3"/>
  <c r="H115" i="3"/>
  <c r="B116" i="3"/>
  <c r="C116" i="3"/>
  <c r="D116" i="3"/>
  <c r="E116" i="3"/>
  <c r="F116" i="3"/>
  <c r="G116" i="3"/>
  <c r="H116" i="3"/>
  <c r="J11" i="3" l="1"/>
  <c r="J26" i="3"/>
  <c r="J31" i="3"/>
  <c r="M68" i="3"/>
  <c r="K71" i="3"/>
  <c r="M78" i="3"/>
  <c r="K81" i="3"/>
  <c r="M88" i="3"/>
  <c r="K91" i="3"/>
  <c r="M98" i="3"/>
  <c r="K101" i="3"/>
  <c r="M108" i="3"/>
  <c r="J112" i="3"/>
  <c r="L114" i="3"/>
  <c r="J117" i="3"/>
  <c r="L4" i="3"/>
  <c r="L9" i="3"/>
  <c r="K12" i="3"/>
  <c r="M14" i="3"/>
  <c r="K17" i="3"/>
  <c r="M19" i="3"/>
  <c r="K22" i="3"/>
  <c r="M24" i="3"/>
  <c r="K27" i="3"/>
  <c r="M29" i="3"/>
  <c r="K32" i="3"/>
  <c r="M34" i="3"/>
  <c r="K37" i="3"/>
  <c r="M39" i="3"/>
  <c r="K42" i="3"/>
  <c r="M44" i="3"/>
  <c r="K47" i="3"/>
  <c r="M49" i="3"/>
  <c r="K52" i="3"/>
  <c r="M54" i="3"/>
  <c r="K57" i="3"/>
  <c r="M59" i="3"/>
  <c r="K62" i="3"/>
  <c r="M64" i="3"/>
  <c r="K67" i="3"/>
  <c r="M69" i="3"/>
  <c r="K72" i="3"/>
  <c r="M74" i="3"/>
  <c r="K77" i="3"/>
  <c r="M79" i="3"/>
  <c r="K82" i="3"/>
  <c r="M84" i="3"/>
  <c r="K87" i="3"/>
  <c r="M89" i="3"/>
  <c r="K92" i="3"/>
  <c r="M94" i="3"/>
  <c r="K97" i="3"/>
  <c r="M99" i="3"/>
  <c r="K102" i="3"/>
  <c r="M104" i="3"/>
  <c r="K107" i="3"/>
  <c r="M109" i="3"/>
  <c r="L115" i="3"/>
  <c r="J118" i="3"/>
  <c r="L120" i="3"/>
  <c r="J123" i="3"/>
  <c r="L125" i="3"/>
  <c r="J128" i="3"/>
  <c r="L130" i="3"/>
  <c r="J133" i="3"/>
  <c r="L135" i="3"/>
  <c r="J138" i="3"/>
  <c r="L140" i="3"/>
  <c r="K5" i="3"/>
  <c r="L10" i="3"/>
  <c r="M4" i="3"/>
  <c r="J10" i="3"/>
  <c r="J15" i="3"/>
  <c r="J20" i="3"/>
  <c r="J25" i="3"/>
  <c r="J30" i="3"/>
  <c r="L37" i="3"/>
  <c r="L47" i="3"/>
  <c r="L57" i="3"/>
  <c r="J65" i="3"/>
  <c r="L67" i="3"/>
  <c r="J75" i="3"/>
  <c r="L77" i="3"/>
  <c r="J85" i="3"/>
  <c r="L87" i="3"/>
  <c r="L92" i="3"/>
  <c r="J95" i="3"/>
  <c r="L97" i="3"/>
  <c r="L102" i="3"/>
  <c r="J105" i="3"/>
  <c r="L107" i="3"/>
  <c r="M115" i="3"/>
  <c r="K118" i="3"/>
  <c r="M120" i="3"/>
  <c r="K123" i="3"/>
  <c r="K128" i="3"/>
  <c r="M130" i="3"/>
  <c r="K133" i="3"/>
  <c r="K138" i="3"/>
  <c r="M140" i="3"/>
  <c r="J5" i="3"/>
  <c r="K10" i="3"/>
  <c r="K15" i="3"/>
  <c r="K20" i="3"/>
  <c r="K25" i="3"/>
  <c r="K30" i="3"/>
  <c r="M47" i="3"/>
  <c r="M57" i="3"/>
  <c r="K65" i="3"/>
  <c r="M67" i="3"/>
  <c r="K75" i="3"/>
  <c r="M77" i="3"/>
  <c r="K85" i="3"/>
  <c r="M87" i="3"/>
  <c r="M92" i="3"/>
  <c r="K95" i="3"/>
  <c r="M97" i="3"/>
  <c r="M102" i="3"/>
  <c r="K105" i="3"/>
  <c r="M107" i="3"/>
  <c r="J111" i="3"/>
  <c r="J121" i="3"/>
  <c r="L123" i="3"/>
  <c r="J131" i="3"/>
  <c r="L133" i="3"/>
  <c r="L138" i="3"/>
  <c r="J141" i="3"/>
  <c r="J88" i="3"/>
  <c r="J98" i="3"/>
  <c r="L105" i="3"/>
  <c r="J108" i="3"/>
  <c r="K111" i="3"/>
  <c r="K121" i="3"/>
  <c r="K131" i="3"/>
  <c r="K141" i="3"/>
  <c r="L20" i="3"/>
  <c r="L30" i="3"/>
  <c r="K68" i="3"/>
  <c r="K78" i="3"/>
  <c r="K88" i="3"/>
  <c r="K98" i="3"/>
  <c r="K108" i="3"/>
  <c r="L111" i="3"/>
  <c r="J114" i="3"/>
  <c r="L121" i="3"/>
  <c r="J124" i="3"/>
  <c r="L131" i="3"/>
  <c r="J134" i="3"/>
  <c r="L141" i="3"/>
  <c r="M5" i="3"/>
  <c r="J16" i="3"/>
  <c r="J21" i="3"/>
  <c r="J91" i="3"/>
  <c r="K124" i="3"/>
  <c r="K134" i="3"/>
  <c r="K38" i="3"/>
  <c r="K114" i="3"/>
  <c r="K26" i="3"/>
  <c r="J142" i="3"/>
  <c r="L15" i="3"/>
  <c r="L25" i="3"/>
  <c r="K21" i="3"/>
  <c r="L124" i="3"/>
  <c r="J137" i="3"/>
  <c r="K6" i="3"/>
  <c r="L11" i="3"/>
  <c r="J14" i="3"/>
  <c r="L16" i="3"/>
  <c r="J19" i="3"/>
  <c r="L21" i="3"/>
  <c r="J24" i="3"/>
  <c r="L26" i="3"/>
  <c r="J29" i="3"/>
  <c r="L31" i="3"/>
  <c r="J34" i="3"/>
  <c r="L36" i="3"/>
  <c r="J39" i="3"/>
  <c r="L41" i="3"/>
  <c r="J44" i="3"/>
  <c r="L46" i="3"/>
  <c r="J49" i="3"/>
  <c r="L51" i="3"/>
  <c r="J54" i="3"/>
  <c r="L56" i="3"/>
  <c r="J59" i="3"/>
  <c r="L61" i="3"/>
  <c r="J64" i="3"/>
  <c r="L66" i="3"/>
  <c r="J69" i="3"/>
  <c r="L71" i="3"/>
  <c r="J74" i="3"/>
  <c r="L76" i="3"/>
  <c r="J79" i="3"/>
  <c r="L81" i="3"/>
  <c r="J84" i="3"/>
  <c r="L86" i="3"/>
  <c r="J89" i="3"/>
  <c r="L91" i="3"/>
  <c r="J94" i="3"/>
  <c r="L96" i="3"/>
  <c r="J99" i="3"/>
  <c r="L101" i="3"/>
  <c r="J104" i="3"/>
  <c r="L106" i="3"/>
  <c r="J109" i="3"/>
  <c r="K112" i="3"/>
  <c r="K117" i="3"/>
  <c r="K122" i="3"/>
  <c r="K127" i="3"/>
  <c r="K132" i="3"/>
  <c r="M134" i="3"/>
  <c r="K137" i="3"/>
  <c r="K142" i="3"/>
  <c r="K58" i="3"/>
  <c r="L38" i="3"/>
  <c r="J41" i="3"/>
  <c r="L48" i="3"/>
  <c r="J51" i="3"/>
  <c r="L58" i="3"/>
  <c r="J61" i="3"/>
  <c r="J81" i="3"/>
  <c r="J101" i="3"/>
  <c r="K11" i="3"/>
  <c r="K16" i="3"/>
  <c r="J4" i="3"/>
  <c r="L6" i="3"/>
  <c r="J9" i="3"/>
  <c r="K14" i="3"/>
  <c r="K19" i="3"/>
  <c r="K24" i="3"/>
  <c r="K29" i="3"/>
  <c r="M31" i="3"/>
  <c r="K34" i="3"/>
  <c r="K39" i="3"/>
  <c r="M41" i="3"/>
  <c r="K44" i="3"/>
  <c r="K49" i="3"/>
  <c r="M51" i="3"/>
  <c r="K54" i="3"/>
  <c r="K59" i="3"/>
  <c r="M61" i="3"/>
  <c r="K64" i="3"/>
  <c r="K69" i="3"/>
  <c r="M71" i="3"/>
  <c r="K74" i="3"/>
  <c r="K79" i="3"/>
  <c r="K84" i="3"/>
  <c r="K89" i="3"/>
  <c r="K94" i="3"/>
  <c r="K99" i="3"/>
  <c r="K104" i="3"/>
  <c r="K109" i="3"/>
  <c r="L112" i="3"/>
  <c r="J115" i="3"/>
  <c r="L117" i="3"/>
  <c r="J120" i="3"/>
  <c r="L122" i="3"/>
  <c r="J125" i="3"/>
  <c r="L127" i="3"/>
  <c r="J130" i="3"/>
  <c r="L132" i="3"/>
  <c r="J135" i="3"/>
  <c r="L137" i="3"/>
  <c r="J140" i="3"/>
  <c r="L142" i="3"/>
  <c r="K48" i="3"/>
  <c r="J6" i="3"/>
  <c r="J127" i="3"/>
  <c r="K9" i="3"/>
  <c r="M110" i="3"/>
  <c r="J110" i="3"/>
</calcChain>
</file>

<file path=xl/sharedStrings.xml><?xml version="1.0" encoding="utf-8"?>
<sst xmlns="http://schemas.openxmlformats.org/spreadsheetml/2006/main" count="591" uniqueCount="141">
  <si>
    <t>No.</t>
  </si>
  <si>
    <t>Kode DT</t>
  </si>
  <si>
    <t>Brute</t>
  </si>
  <si>
    <t>Tare</t>
  </si>
  <si>
    <t>Netto</t>
  </si>
  <si>
    <t>Jam Tiba</t>
  </si>
  <si>
    <t>HJI 620</t>
  </si>
  <si>
    <t>HJI 615</t>
  </si>
  <si>
    <t>HJI 624</t>
  </si>
  <si>
    <t>HJI 629</t>
  </si>
  <si>
    <t>HJI 604</t>
  </si>
  <si>
    <t>HJI 600</t>
  </si>
  <si>
    <t>HJI 610</t>
  </si>
  <si>
    <t>HJI 410</t>
  </si>
  <si>
    <t>HJI 069</t>
  </si>
  <si>
    <t>HJI 325</t>
  </si>
  <si>
    <t>HJI 067</t>
  </si>
  <si>
    <t>HJI 290</t>
  </si>
  <si>
    <t>HJI 601</t>
  </si>
  <si>
    <t>HJI 609</t>
  </si>
  <si>
    <t>HJI 607</t>
  </si>
  <si>
    <t>HJI 631</t>
  </si>
  <si>
    <t>HJI 602</t>
  </si>
  <si>
    <t>HJI 644</t>
  </si>
  <si>
    <t>HJI 068</t>
  </si>
  <si>
    <t>HJI 337</t>
  </si>
  <si>
    <t>HJI 339</t>
  </si>
  <si>
    <t>HJI 621</t>
  </si>
  <si>
    <t>HJI 042</t>
  </si>
  <si>
    <t>HJI 046</t>
  </si>
  <si>
    <t>HJI 613</t>
  </si>
  <si>
    <t>HJI 617</t>
  </si>
  <si>
    <t>HJI 611</t>
  </si>
  <si>
    <t>HJI 313</t>
  </si>
  <si>
    <t>HJI 829</t>
  </si>
  <si>
    <t>HJI 908</t>
  </si>
  <si>
    <t>HJI 903</t>
  </si>
  <si>
    <t>HJI 901</t>
  </si>
  <si>
    <t>HJI 802</t>
  </si>
  <si>
    <t>HJI 051</t>
  </si>
  <si>
    <t>HJI 219</t>
  </si>
  <si>
    <t>HJI 289</t>
  </si>
  <si>
    <t>HJI 519</t>
  </si>
  <si>
    <t>HJI 039</t>
  </si>
  <si>
    <t>HJI 017</t>
  </si>
  <si>
    <t>HJI 036</t>
  </si>
  <si>
    <t>HJI 538</t>
  </si>
  <si>
    <t>HJI 534</t>
  </si>
  <si>
    <t>HJI 537</t>
  </si>
  <si>
    <t>HJI 071</t>
  </si>
  <si>
    <t>HJI 401</t>
  </si>
  <si>
    <t>HJI 353</t>
  </si>
  <si>
    <t>HJI 354</t>
  </si>
  <si>
    <t>HJI 467</t>
  </si>
  <si>
    <t>HJI 531</t>
  </si>
  <si>
    <t>HJI 533</t>
  </si>
  <si>
    <t>HJI 536</t>
  </si>
  <si>
    <t>HJI 541</t>
  </si>
  <si>
    <t>HJI 539</t>
  </si>
  <si>
    <t>HJI 612</t>
  </si>
  <si>
    <t>HJI 837</t>
  </si>
  <si>
    <t>HJI 387</t>
  </si>
  <si>
    <t>HJI 803</t>
  </si>
  <si>
    <t>HJI 128</t>
  </si>
  <si>
    <t>HJI 044</t>
  </si>
  <si>
    <t>HJI 506</t>
  </si>
  <si>
    <t>HJI 757</t>
  </si>
  <si>
    <t>HJI 760</t>
  </si>
  <si>
    <t>HJI 784</t>
  </si>
  <si>
    <t>HJI 769</t>
  </si>
  <si>
    <t>HJI 002</t>
  </si>
  <si>
    <t>HJI 018</t>
  </si>
  <si>
    <t>HJI 215</t>
  </si>
  <si>
    <t>HJI 060</t>
  </si>
  <si>
    <t>HJI 003</t>
  </si>
  <si>
    <t>HJI 009</t>
  </si>
  <si>
    <t>HJI 217</t>
  </si>
  <si>
    <t>HJI 004</t>
  </si>
  <si>
    <t>HJI 633</t>
  </si>
  <si>
    <t>HJI 906</t>
  </si>
  <si>
    <t>HJI 905</t>
  </si>
  <si>
    <t>HJI 904</t>
  </si>
  <si>
    <t>HJI 907</t>
  </si>
  <si>
    <t>HJI 810</t>
  </si>
  <si>
    <t>HJI 811</t>
  </si>
  <si>
    <t>HJI 812</t>
  </si>
  <si>
    <t>HJI 861</t>
  </si>
  <si>
    <t>HJI 851</t>
  </si>
  <si>
    <t>HJI 856</t>
  </si>
  <si>
    <t>HJI 105</t>
  </si>
  <si>
    <t>HJI 839</t>
  </si>
  <si>
    <t>HJI 835</t>
  </si>
  <si>
    <t>HJI 773</t>
  </si>
  <si>
    <t>HJI 515</t>
  </si>
  <si>
    <t>HJI 513</t>
  </si>
  <si>
    <t>HJI 517</t>
  </si>
  <si>
    <t>HJI 902</t>
  </si>
  <si>
    <t>HJI 532</t>
  </si>
  <si>
    <t>HJI 516</t>
  </si>
  <si>
    <t>HJI 791</t>
  </si>
  <si>
    <t>HJI 761</t>
  </si>
  <si>
    <t>HJI 199</t>
  </si>
  <si>
    <t>HJI 650</t>
  </si>
  <si>
    <t>HJI 408</t>
  </si>
  <si>
    <t>HJI 035</t>
  </si>
  <si>
    <t>HJI 034</t>
  </si>
  <si>
    <t>HJI 204</t>
  </si>
  <si>
    <t>HJI 162</t>
  </si>
  <si>
    <t>HJI 514</t>
  </si>
  <si>
    <t>HJI 511</t>
  </si>
  <si>
    <t>HJI 164</t>
  </si>
  <si>
    <t>HJI 540</t>
  </si>
  <si>
    <t>HJI 542</t>
  </si>
  <si>
    <t>HJI 543</t>
  </si>
  <si>
    <t>HJI 544</t>
  </si>
  <si>
    <t>HJI 388</t>
  </si>
  <si>
    <t>HJI 535</t>
  </si>
  <si>
    <t>HJI 200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</si>
  <si>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</si>
  <si>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</si>
  <si>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</si>
  <si>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</si>
  <si>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</si>
  <si>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</si>
  <si>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</si>
  <si>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Coal quality</t>
  </si>
  <si>
    <t>晴(Cerah)</t>
  </si>
  <si>
    <t>精煤</t>
  </si>
  <si>
    <t>HJI 892</t>
  </si>
  <si>
    <t>No</t>
  </si>
  <si>
    <t>Site: Jam Masuk</t>
  </si>
  <si>
    <t>Site: Jam Keluar</t>
  </si>
  <si>
    <t>Site: Gross (KG)</t>
  </si>
  <si>
    <t>Site: Tare (KG)</t>
  </si>
  <si>
    <t>Site: Netto (KG)</t>
  </si>
  <si>
    <t>Site: Cuaca</t>
  </si>
  <si>
    <t>Site: Coal Quality</t>
  </si>
  <si>
    <t>Jetty: Brute</t>
  </si>
  <si>
    <t>Jetty: Tare</t>
  </si>
  <si>
    <t>Jetty: Netto</t>
  </si>
  <si>
    <t>Jetty: Jam 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</si>
</sst>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71" formatCode="0_);[Red]\(0\)"/>
    <numFmt numFmtId="172" formatCode="0;[Red]0"/>
    <numFmt numFmtId="173" formatCode="h:mm;@"/>
  </numFmts>
  <fonts count="5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8"/>
      <color rgb="FF000000"/>
      <name val="等线"/>
      <family val="3"/>
      <charset val="134"/>
    </font>
    <font>
      <sz val="8"/>
      <color rgb="FF000000"/>
      <name val="Microsoft YaHei UI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2" fillId="0" borderId="1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/>
    </xf>
    <xf numFmtId="20" fontId="3" fillId="0" borderId="4" xfId="0" applyNumberFormat="1" applyFont="1" applyFill="1" applyBorder="1" applyAlignment="1">
      <alignment horizontal="center" vertical="center" wrapText="1"/>
    </xf>
    <xf numFmtId="171" fontId="3" fillId="0" borderId="4" xfId="0" applyNumberFormat="1" applyFont="1" applyFill="1" applyBorder="1" applyAlignment="1">
      <alignment horizontal="center" vertical="center" wrapText="1"/>
    </xf>
    <xf numFmtId="172" fontId="3" fillId="0" borderId="4" xfId="0" applyNumberFormat="1" applyFont="1" applyFill="1" applyBorder="1" applyAlignment="1">
      <alignment horizontal="center" vertical="center" wrapText="1"/>
    </xf>
    <xf numFmtId="173" fontId="3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0" borderId="0" xfId="0" applyFill="1"/>
    <xf numFmtId="3" fontId="0" fillId="0" borderId="0" xfId="0" applyNumberFormat="1" applyFill="1"/>
    <xf numFmtId="164" fontId="0" fillId="0" borderId="0" xfId="0" applyNumberFormat="1" applyFill="1"/>
    <xf numFmtId="0" fontId="0" fillId="0" borderId="1" xfId="0" applyFill="1" applyBorder="1"/>
    <xf numFmtId="49" fontId="0" fillId="0" borderId="1" xfId="0" applyNumberFormat="1" applyFill="1" applyBorder="1"/>
    <xf numFmtId="20" fontId="0" fillId="0" borderId="1" xfId="0" applyNumberFormat="1" applyFill="1" applyBorder="1"/>
    <xf numFmtId="3" fontId="0" fillId="0" borderId="1" xfId="0" applyNumberFormat="1" applyFill="1" applyBorder="1"/>
    <xf numFmtId="4" fontId="0" fillId="0" borderId="1" xfId="0" applyNumberFormat="1" applyFill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80DE9C-BE9B-184A-9C92-A1CDD2DA39B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85f5d76-7ea4-43ed-b12c-03342557cf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AFB0-F70C-41B4-855D-2D355A6B1787}">
  <dimension ref="A1:F163"/>
  <sheetViews>
    <sheetView zoomScale="139" workbookViewId="0">
      <selection activeCell="B20" sqref="B20"/>
    </sheetView>
  </sheetViews>
  <sheetFormatPr baseColWidth="10" defaultColWidth="8.83203125" defaultRowHeight="15"/>
  <cols>
    <col min="1" max="3" width="15.33203125" customWidth="1"/>
    <col min="4" max="4" width="15" customWidth="1"/>
    <col min="5" max="6" width="15.33203125" customWidth="1"/>
  </cols>
  <sheetData>
    <row r="1" spans="1:6" ht="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1">
        <v>1</v>
      </c>
      <c r="B2" s="11" t="s">
        <v>6</v>
      </c>
      <c r="C2" s="12">
        <v>47120</v>
      </c>
      <c r="D2" s="12">
        <v>14730</v>
      </c>
      <c r="E2" s="12">
        <v>32390</v>
      </c>
      <c r="F2" s="13">
        <v>0.54652777777777772</v>
      </c>
    </row>
    <row r="3" spans="1:6">
      <c r="A3" s="11">
        <v>2</v>
      </c>
      <c r="B3" s="11" t="s">
        <v>7</v>
      </c>
      <c r="C3" s="12">
        <v>49780</v>
      </c>
      <c r="D3" s="12">
        <v>15330</v>
      </c>
      <c r="E3" s="12">
        <v>34450</v>
      </c>
      <c r="F3" s="13">
        <v>0.54722222222222228</v>
      </c>
    </row>
    <row r="4" spans="1:6">
      <c r="A4" s="11">
        <v>3</v>
      </c>
      <c r="B4" s="11" t="s">
        <v>8</v>
      </c>
      <c r="C4" s="12">
        <v>50200</v>
      </c>
      <c r="D4" s="12">
        <v>15590</v>
      </c>
      <c r="E4" s="12">
        <v>34610</v>
      </c>
      <c r="F4" s="13">
        <v>0.54791666666666672</v>
      </c>
    </row>
    <row r="5" spans="1:6">
      <c r="A5" s="11">
        <v>4</v>
      </c>
      <c r="B5" s="11" t="s">
        <v>9</v>
      </c>
      <c r="C5" s="12">
        <v>46610</v>
      </c>
      <c r="D5" s="12">
        <v>14080</v>
      </c>
      <c r="E5" s="12">
        <v>32530</v>
      </c>
      <c r="F5" s="13">
        <v>0.5493055555555556</v>
      </c>
    </row>
    <row r="6" spans="1:6">
      <c r="A6" s="11">
        <v>5</v>
      </c>
      <c r="B6" s="11" t="s">
        <v>10</v>
      </c>
      <c r="C6" s="12">
        <v>46870</v>
      </c>
      <c r="D6" s="12">
        <v>15090</v>
      </c>
      <c r="E6" s="12">
        <v>31780</v>
      </c>
      <c r="F6" s="13">
        <v>0.55000000000000004</v>
      </c>
    </row>
    <row r="7" spans="1:6">
      <c r="A7" s="11">
        <v>6</v>
      </c>
      <c r="B7" s="11" t="s">
        <v>11</v>
      </c>
      <c r="C7" s="12">
        <v>50030</v>
      </c>
      <c r="D7" s="12">
        <v>15730</v>
      </c>
      <c r="E7" s="12">
        <v>34300</v>
      </c>
      <c r="F7" s="13">
        <v>0.55069444444444449</v>
      </c>
    </row>
    <row r="8" spans="1:6">
      <c r="A8" s="11">
        <v>7</v>
      </c>
      <c r="B8" s="11" t="s">
        <v>12</v>
      </c>
      <c r="C8" s="12">
        <v>48240</v>
      </c>
      <c r="D8" s="12">
        <v>15280</v>
      </c>
      <c r="E8" s="12">
        <v>32960</v>
      </c>
      <c r="F8" s="13">
        <v>0.55138888888888893</v>
      </c>
    </row>
    <row r="9" spans="1:6">
      <c r="A9" s="11">
        <v>8</v>
      </c>
      <c r="B9" s="11" t="s">
        <v>13</v>
      </c>
      <c r="C9" s="12">
        <v>48130</v>
      </c>
      <c r="D9" s="12">
        <v>15450</v>
      </c>
      <c r="E9" s="12">
        <v>32680</v>
      </c>
      <c r="F9" s="13">
        <v>0.55069444444444449</v>
      </c>
    </row>
    <row r="10" spans="1:6">
      <c r="A10" s="11">
        <v>9</v>
      </c>
      <c r="B10" s="11" t="s">
        <v>14</v>
      </c>
      <c r="C10" s="12">
        <v>47290</v>
      </c>
      <c r="D10" s="12">
        <v>15360</v>
      </c>
      <c r="E10" s="12">
        <v>31930</v>
      </c>
      <c r="F10" s="13">
        <v>0.55277777777777781</v>
      </c>
    </row>
    <row r="11" spans="1:6">
      <c r="A11" s="11">
        <v>10</v>
      </c>
      <c r="B11" s="11" t="s">
        <v>15</v>
      </c>
      <c r="C11" s="12">
        <v>48160</v>
      </c>
      <c r="D11" s="12">
        <v>15020</v>
      </c>
      <c r="E11" s="12">
        <v>33140</v>
      </c>
      <c r="F11" s="13">
        <v>0.55347222222222225</v>
      </c>
    </row>
    <row r="12" spans="1:6">
      <c r="A12" s="11">
        <v>11</v>
      </c>
      <c r="B12" s="11" t="s">
        <v>16</v>
      </c>
      <c r="C12" s="12">
        <v>48780</v>
      </c>
      <c r="D12" s="12">
        <v>15380</v>
      </c>
      <c r="E12" s="12">
        <v>33400</v>
      </c>
      <c r="F12" s="13">
        <v>0.5541666666666667</v>
      </c>
    </row>
    <row r="13" spans="1:6">
      <c r="A13" s="11">
        <v>12</v>
      </c>
      <c r="B13" s="11" t="s">
        <v>17</v>
      </c>
      <c r="C13" s="12">
        <v>50790</v>
      </c>
      <c r="D13" s="12">
        <v>15090</v>
      </c>
      <c r="E13" s="12">
        <v>35700</v>
      </c>
      <c r="F13" s="13">
        <v>0.55486111111111114</v>
      </c>
    </row>
    <row r="14" spans="1:6">
      <c r="A14" s="11">
        <v>13</v>
      </c>
      <c r="B14" s="11" t="s">
        <v>18</v>
      </c>
      <c r="C14" s="12">
        <v>48070</v>
      </c>
      <c r="D14" s="12">
        <v>14690</v>
      </c>
      <c r="E14" s="12">
        <v>33380</v>
      </c>
      <c r="F14" s="13">
        <v>0.56458333333333333</v>
      </c>
    </row>
    <row r="15" spans="1:6">
      <c r="A15" s="11">
        <v>14</v>
      </c>
      <c r="B15" s="11" t="s">
        <v>19</v>
      </c>
      <c r="C15" s="12">
        <v>47660</v>
      </c>
      <c r="D15" s="12">
        <v>15390</v>
      </c>
      <c r="E15" s="12">
        <v>32270</v>
      </c>
      <c r="F15" s="13">
        <v>0.56527777777777777</v>
      </c>
    </row>
    <row r="16" spans="1:6">
      <c r="A16" s="11">
        <v>15</v>
      </c>
      <c r="B16" s="11" t="s">
        <v>20</v>
      </c>
      <c r="C16" s="12">
        <v>48580</v>
      </c>
      <c r="D16" s="12">
        <v>15420</v>
      </c>
      <c r="E16" s="12">
        <v>33160</v>
      </c>
      <c r="F16" s="13">
        <v>0.56597222222222221</v>
      </c>
    </row>
    <row r="17" spans="1:6">
      <c r="A17" s="11">
        <v>16</v>
      </c>
      <c r="B17" s="11" t="s">
        <v>21</v>
      </c>
      <c r="C17" s="12">
        <v>49510</v>
      </c>
      <c r="D17" s="12">
        <v>16080</v>
      </c>
      <c r="E17" s="12">
        <v>33430</v>
      </c>
      <c r="F17" s="13">
        <v>0.5756944444444444</v>
      </c>
    </row>
    <row r="18" spans="1:6">
      <c r="A18" s="11">
        <v>17</v>
      </c>
      <c r="B18" s="11" t="s">
        <v>22</v>
      </c>
      <c r="C18" s="12">
        <v>48700</v>
      </c>
      <c r="D18" s="12">
        <v>15760</v>
      </c>
      <c r="E18" s="12">
        <v>32940</v>
      </c>
      <c r="F18" s="13">
        <v>0.58402777777777781</v>
      </c>
    </row>
    <row r="19" spans="1:6">
      <c r="A19" s="11">
        <v>18</v>
      </c>
      <c r="B19" s="11" t="s">
        <v>23</v>
      </c>
      <c r="C19" s="12">
        <v>49240</v>
      </c>
      <c r="D19" s="12">
        <v>15730</v>
      </c>
      <c r="E19" s="12">
        <v>33510</v>
      </c>
      <c r="F19" s="13">
        <v>0.5854166666666667</v>
      </c>
    </row>
    <row r="20" spans="1:6">
      <c r="A20" s="11">
        <v>19</v>
      </c>
      <c r="B20" s="11" t="s">
        <v>24</v>
      </c>
      <c r="C20" s="12">
        <v>49490</v>
      </c>
      <c r="D20" s="12">
        <v>15460</v>
      </c>
      <c r="E20" s="12">
        <v>34030</v>
      </c>
      <c r="F20" s="13">
        <v>0.59236111111111112</v>
      </c>
    </row>
    <row r="21" spans="1:6">
      <c r="A21" s="11">
        <v>20</v>
      </c>
      <c r="B21" s="11" t="s">
        <v>25</v>
      </c>
      <c r="C21" s="12">
        <v>46990</v>
      </c>
      <c r="D21" s="12">
        <v>14430</v>
      </c>
      <c r="E21" s="12">
        <v>32560</v>
      </c>
      <c r="F21" s="13">
        <v>0.59930555555555554</v>
      </c>
    </row>
    <row r="22" spans="1:6">
      <c r="A22" s="11">
        <v>21</v>
      </c>
      <c r="B22" s="11" t="s">
        <v>26</v>
      </c>
      <c r="C22" s="12">
        <v>50870</v>
      </c>
      <c r="D22" s="12">
        <v>14440</v>
      </c>
      <c r="E22" s="12">
        <v>36430</v>
      </c>
      <c r="F22" s="13">
        <v>0.60069444444444442</v>
      </c>
    </row>
    <row r="23" spans="1:6">
      <c r="A23" s="11">
        <v>22</v>
      </c>
      <c r="B23" s="11" t="s">
        <v>27</v>
      </c>
      <c r="C23" s="12">
        <v>48260</v>
      </c>
      <c r="D23" s="12">
        <v>15170</v>
      </c>
      <c r="E23" s="12">
        <v>33090</v>
      </c>
      <c r="F23" s="13">
        <v>0.60486111111111107</v>
      </c>
    </row>
    <row r="24" spans="1:6">
      <c r="A24" s="11">
        <v>23</v>
      </c>
      <c r="B24" s="11" t="s">
        <v>28</v>
      </c>
      <c r="C24" s="12">
        <v>47830</v>
      </c>
      <c r="D24" s="12">
        <v>13900</v>
      </c>
      <c r="E24" s="12">
        <v>33930</v>
      </c>
      <c r="F24" s="13">
        <v>0.62152777777777779</v>
      </c>
    </row>
    <row r="25" spans="1:6">
      <c r="A25" s="11">
        <v>24</v>
      </c>
      <c r="B25" s="11" t="s">
        <v>29</v>
      </c>
      <c r="C25" s="12">
        <v>49380</v>
      </c>
      <c r="D25" s="12">
        <v>14790</v>
      </c>
      <c r="E25" s="12">
        <v>34590</v>
      </c>
      <c r="F25" s="13">
        <v>0.62222222222222223</v>
      </c>
    </row>
    <row r="26" spans="1:6">
      <c r="A26" s="11">
        <v>25</v>
      </c>
      <c r="B26" s="11" t="s">
        <v>30</v>
      </c>
      <c r="C26" s="12">
        <v>49550</v>
      </c>
      <c r="D26" s="12">
        <v>15360</v>
      </c>
      <c r="E26" s="12">
        <v>34190</v>
      </c>
      <c r="F26" s="13">
        <v>0.625</v>
      </c>
    </row>
    <row r="27" spans="1:6">
      <c r="A27" s="11">
        <v>26</v>
      </c>
      <c r="B27" s="11" t="s">
        <v>31</v>
      </c>
      <c r="C27" s="12">
        <v>48770</v>
      </c>
      <c r="D27" s="12">
        <v>14840</v>
      </c>
      <c r="E27" s="12">
        <v>33930</v>
      </c>
      <c r="F27" s="13">
        <v>0.625</v>
      </c>
    </row>
    <row r="28" spans="1:6">
      <c r="A28" s="11">
        <v>27</v>
      </c>
      <c r="B28" s="11" t="s">
        <v>32</v>
      </c>
      <c r="C28" s="12">
        <v>49170</v>
      </c>
      <c r="D28" s="12">
        <v>15100</v>
      </c>
      <c r="E28" s="12">
        <v>34070</v>
      </c>
      <c r="F28" s="13">
        <v>0.62430555555555556</v>
      </c>
    </row>
    <row r="29" spans="1:6">
      <c r="A29" s="11">
        <v>28</v>
      </c>
      <c r="B29" s="11" t="s">
        <v>33</v>
      </c>
      <c r="C29" s="12">
        <v>63070</v>
      </c>
      <c r="D29" s="12">
        <v>19440</v>
      </c>
      <c r="E29" s="12">
        <v>43630</v>
      </c>
      <c r="F29" s="13">
        <v>0.62569444444444444</v>
      </c>
    </row>
    <row r="30" spans="1:6">
      <c r="A30" s="11">
        <v>29</v>
      </c>
      <c r="B30" s="11" t="s">
        <v>128</v>
      </c>
      <c r="C30" s="12">
        <v>47380</v>
      </c>
      <c r="D30" s="12">
        <v>14780</v>
      </c>
      <c r="E30" s="12">
        <v>32600</v>
      </c>
      <c r="F30" s="13">
        <v>0.62708333333333333</v>
      </c>
    </row>
    <row r="31" spans="1:6">
      <c r="A31" s="11">
        <v>30</v>
      </c>
      <c r="B31" s="11" t="s">
        <v>35</v>
      </c>
      <c r="C31" s="12">
        <v>49470</v>
      </c>
      <c r="D31" s="12">
        <v>14190</v>
      </c>
      <c r="E31" s="12">
        <v>35280</v>
      </c>
      <c r="F31" s="13">
        <v>0.63124999999999998</v>
      </c>
    </row>
    <row r="32" spans="1:6">
      <c r="A32" s="11">
        <v>31</v>
      </c>
      <c r="B32" s="11" t="s">
        <v>36</v>
      </c>
      <c r="C32" s="12">
        <v>51340</v>
      </c>
      <c r="D32" s="12">
        <v>15720</v>
      </c>
      <c r="E32" s="12">
        <v>35620</v>
      </c>
      <c r="F32" s="13">
        <v>0.63194444444444442</v>
      </c>
    </row>
    <row r="33" spans="1:6">
      <c r="A33" s="11">
        <v>32</v>
      </c>
      <c r="B33" s="11" t="s">
        <v>37</v>
      </c>
      <c r="C33" s="12">
        <v>49700</v>
      </c>
      <c r="D33" s="12">
        <v>15980</v>
      </c>
      <c r="E33" s="12">
        <v>33720</v>
      </c>
      <c r="F33" s="13">
        <v>0.63263888888888886</v>
      </c>
    </row>
    <row r="34" spans="1:6">
      <c r="A34" s="11">
        <v>33</v>
      </c>
      <c r="B34" s="11" t="s">
        <v>38</v>
      </c>
      <c r="C34" s="12">
        <v>50170</v>
      </c>
      <c r="D34" s="12">
        <v>15240</v>
      </c>
      <c r="E34" s="12">
        <v>34930</v>
      </c>
      <c r="F34" s="13">
        <v>0.64652777777777781</v>
      </c>
    </row>
    <row r="35" spans="1:6">
      <c r="A35" s="11">
        <v>34</v>
      </c>
      <c r="B35" s="11" t="s">
        <v>39</v>
      </c>
      <c r="C35" s="12">
        <v>49110</v>
      </c>
      <c r="D35" s="12">
        <v>13820</v>
      </c>
      <c r="E35" s="12">
        <v>35290</v>
      </c>
      <c r="F35" s="13">
        <v>0.64861111111111114</v>
      </c>
    </row>
    <row r="36" spans="1:6">
      <c r="A36" s="11">
        <v>35</v>
      </c>
      <c r="B36" s="11" t="s">
        <v>40</v>
      </c>
      <c r="C36" s="12">
        <v>49090</v>
      </c>
      <c r="D36" s="12">
        <v>14510</v>
      </c>
      <c r="E36" s="12">
        <v>34580</v>
      </c>
      <c r="F36" s="13">
        <v>0.65625</v>
      </c>
    </row>
    <row r="37" spans="1:6">
      <c r="A37" s="11">
        <v>36</v>
      </c>
      <c r="B37" s="11" t="s">
        <v>41</v>
      </c>
      <c r="C37" s="12">
        <v>49930</v>
      </c>
      <c r="D37" s="12">
        <v>15930</v>
      </c>
      <c r="E37" s="12">
        <v>34000</v>
      </c>
      <c r="F37" s="13">
        <v>0.65902777777777777</v>
      </c>
    </row>
    <row r="38" spans="1:6">
      <c r="A38" s="11">
        <v>37</v>
      </c>
      <c r="B38" s="11" t="s">
        <v>42</v>
      </c>
      <c r="C38" s="12">
        <v>47160</v>
      </c>
      <c r="D38" s="12">
        <v>14980</v>
      </c>
      <c r="E38" s="12">
        <v>32180</v>
      </c>
      <c r="F38" s="13">
        <v>0.65972222222222221</v>
      </c>
    </row>
    <row r="39" spans="1:6">
      <c r="A39" s="11">
        <v>38</v>
      </c>
      <c r="B39" s="11" t="s">
        <v>43</v>
      </c>
      <c r="C39" s="12">
        <v>49650</v>
      </c>
      <c r="D39" s="12">
        <v>15430</v>
      </c>
      <c r="E39" s="12">
        <v>34220</v>
      </c>
      <c r="F39" s="13">
        <v>0.68055555555555558</v>
      </c>
    </row>
    <row r="40" spans="1:6">
      <c r="A40" s="11">
        <v>39</v>
      </c>
      <c r="B40" s="11" t="s">
        <v>44</v>
      </c>
      <c r="C40" s="12">
        <v>50020</v>
      </c>
      <c r="D40" s="12">
        <v>15460</v>
      </c>
      <c r="E40" s="12">
        <v>34560</v>
      </c>
      <c r="F40" s="13">
        <v>0.68333333333333335</v>
      </c>
    </row>
    <row r="41" spans="1:6">
      <c r="A41" s="11">
        <v>40</v>
      </c>
      <c r="B41" s="11" t="s">
        <v>45</v>
      </c>
      <c r="C41" s="12">
        <v>46750</v>
      </c>
      <c r="D41" s="12">
        <v>15100</v>
      </c>
      <c r="E41" s="12">
        <v>31650</v>
      </c>
      <c r="F41" s="13">
        <v>0.68402777777777779</v>
      </c>
    </row>
    <row r="42" spans="1:6">
      <c r="A42" s="11">
        <v>41</v>
      </c>
      <c r="B42" s="11" t="s">
        <v>46</v>
      </c>
      <c r="C42" s="12">
        <v>83850</v>
      </c>
      <c r="D42" s="12">
        <v>25790</v>
      </c>
      <c r="E42" s="12">
        <v>58060</v>
      </c>
      <c r="F42" s="13">
        <v>0.73888888888888893</v>
      </c>
    </row>
    <row r="43" spans="1:6">
      <c r="A43" s="11">
        <v>42</v>
      </c>
      <c r="B43" s="11" t="s">
        <v>47</v>
      </c>
      <c r="C43" s="12">
        <v>90700</v>
      </c>
      <c r="D43" s="12">
        <v>23730</v>
      </c>
      <c r="E43" s="12">
        <v>66970</v>
      </c>
      <c r="F43" s="13">
        <v>0.73819444444444449</v>
      </c>
    </row>
    <row r="44" spans="1:6">
      <c r="A44" s="11">
        <v>43</v>
      </c>
      <c r="B44" s="11" t="s">
        <v>48</v>
      </c>
      <c r="C44" s="12">
        <v>84460</v>
      </c>
      <c r="D44" s="12">
        <v>25890</v>
      </c>
      <c r="E44" s="12">
        <v>58570</v>
      </c>
      <c r="F44" s="13">
        <v>0.73750000000000004</v>
      </c>
    </row>
    <row r="45" spans="1:6">
      <c r="A45" s="11">
        <v>44</v>
      </c>
      <c r="B45" s="11" t="s">
        <v>49</v>
      </c>
      <c r="C45" s="12">
        <v>47960</v>
      </c>
      <c r="D45" s="12">
        <v>14800</v>
      </c>
      <c r="E45" s="12">
        <v>53160</v>
      </c>
      <c r="F45" s="13">
        <v>0.72847222222222219</v>
      </c>
    </row>
    <row r="46" spans="1:6">
      <c r="A46" s="11">
        <v>45</v>
      </c>
      <c r="B46" s="11" t="s">
        <v>50</v>
      </c>
      <c r="C46" s="12">
        <v>44000</v>
      </c>
      <c r="D46" s="12">
        <v>12850</v>
      </c>
      <c r="E46" s="12">
        <v>31150</v>
      </c>
      <c r="F46" s="13">
        <v>0.72777777777777775</v>
      </c>
    </row>
    <row r="47" spans="1:6">
      <c r="A47" s="11">
        <v>46</v>
      </c>
      <c r="B47" s="11" t="s">
        <v>51</v>
      </c>
      <c r="C47" s="12">
        <v>49340</v>
      </c>
      <c r="D47" s="12">
        <v>13370</v>
      </c>
      <c r="E47" s="12">
        <v>35970</v>
      </c>
      <c r="F47" s="13">
        <v>0.7270833333333333</v>
      </c>
    </row>
    <row r="48" spans="1:6">
      <c r="A48" s="11">
        <v>47</v>
      </c>
      <c r="B48" s="11" t="s">
        <v>52</v>
      </c>
      <c r="C48" s="12">
        <v>47910</v>
      </c>
      <c r="D48" s="12">
        <v>12630</v>
      </c>
      <c r="E48" s="12">
        <v>35280</v>
      </c>
      <c r="F48" s="13">
        <v>0.72638888888888886</v>
      </c>
    </row>
    <row r="49" spans="1:6">
      <c r="A49" s="11">
        <v>48</v>
      </c>
      <c r="B49" s="11" t="s">
        <v>53</v>
      </c>
      <c r="C49" s="12">
        <v>81100</v>
      </c>
      <c r="D49" s="12">
        <v>26040</v>
      </c>
      <c r="E49" s="12">
        <v>55060</v>
      </c>
      <c r="F49" s="13">
        <v>0.71597222222222223</v>
      </c>
    </row>
    <row r="50" spans="1:6">
      <c r="A50" s="11">
        <v>49</v>
      </c>
      <c r="B50" s="11" t="s">
        <v>54</v>
      </c>
      <c r="C50" s="12">
        <v>49850</v>
      </c>
      <c r="D50" s="12">
        <v>14860</v>
      </c>
      <c r="E50" s="12">
        <v>33990</v>
      </c>
      <c r="F50" s="13">
        <v>0.71319444444444446</v>
      </c>
    </row>
    <row r="51" spans="1:6">
      <c r="A51" s="11">
        <v>50</v>
      </c>
      <c r="B51" s="11" t="s">
        <v>55</v>
      </c>
      <c r="C51" s="12">
        <v>87560</v>
      </c>
      <c r="D51" s="12">
        <v>23220</v>
      </c>
      <c r="E51" s="12">
        <v>64340</v>
      </c>
      <c r="F51" s="13">
        <v>0.71180555555555558</v>
      </c>
    </row>
    <row r="52" spans="1:6">
      <c r="A52" s="11">
        <v>51</v>
      </c>
      <c r="B52" s="11" t="s">
        <v>56</v>
      </c>
      <c r="C52" s="12">
        <v>81670</v>
      </c>
      <c r="D52" s="12">
        <v>29620</v>
      </c>
      <c r="E52" s="12">
        <v>52050</v>
      </c>
      <c r="F52" s="13">
        <v>0.75069444444444444</v>
      </c>
    </row>
    <row r="53" spans="1:6">
      <c r="A53" s="11">
        <v>52</v>
      </c>
      <c r="B53" s="11" t="s">
        <v>57</v>
      </c>
      <c r="C53" s="12">
        <v>84460</v>
      </c>
      <c r="D53" s="12">
        <v>26680</v>
      </c>
      <c r="E53" s="12">
        <v>57780</v>
      </c>
      <c r="F53" s="13">
        <v>0.75</v>
      </c>
    </row>
    <row r="54" spans="1:6">
      <c r="A54" s="11">
        <v>53</v>
      </c>
      <c r="B54" s="11" t="s">
        <v>58</v>
      </c>
      <c r="C54" s="12">
        <v>82640</v>
      </c>
      <c r="D54" s="12">
        <v>25900</v>
      </c>
      <c r="E54" s="12">
        <v>56700</v>
      </c>
      <c r="F54" s="13">
        <v>0.74930555555555556</v>
      </c>
    </row>
    <row r="55" spans="1:6">
      <c r="A55" s="11">
        <v>54</v>
      </c>
      <c r="B55" s="11" t="s">
        <v>59</v>
      </c>
      <c r="C55" s="12">
        <v>49130</v>
      </c>
      <c r="D55" s="12">
        <v>14970</v>
      </c>
      <c r="E55" s="12">
        <v>34160</v>
      </c>
      <c r="F55" s="13">
        <v>0.74930555555555556</v>
      </c>
    </row>
    <row r="56" spans="1:6">
      <c r="A56" s="11">
        <v>55</v>
      </c>
      <c r="B56" s="11" t="s">
        <v>60</v>
      </c>
      <c r="C56" s="12">
        <v>48000</v>
      </c>
      <c r="D56" s="12">
        <v>14350</v>
      </c>
      <c r="E56" s="12">
        <v>33650</v>
      </c>
      <c r="F56" s="13">
        <v>0.76111111111111107</v>
      </c>
    </row>
    <row r="57" spans="1:6">
      <c r="A57" s="11">
        <v>56</v>
      </c>
      <c r="B57" s="11" t="s">
        <v>61</v>
      </c>
      <c r="C57" s="12">
        <v>52100</v>
      </c>
      <c r="D57" s="12">
        <v>14200</v>
      </c>
      <c r="E57" s="12">
        <v>37910</v>
      </c>
      <c r="F57" s="13">
        <v>0.76736111111111116</v>
      </c>
    </row>
    <row r="58" spans="1:6">
      <c r="A58" s="11">
        <v>57</v>
      </c>
      <c r="B58" s="11" t="s">
        <v>62</v>
      </c>
      <c r="C58" s="12">
        <v>48390</v>
      </c>
      <c r="D58" s="12">
        <v>15590</v>
      </c>
      <c r="E58" s="12">
        <v>32800</v>
      </c>
      <c r="F58" s="13">
        <v>0.81527777777777777</v>
      </c>
    </row>
    <row r="59" spans="1:6">
      <c r="A59" s="11">
        <v>58</v>
      </c>
      <c r="B59" s="11" t="s">
        <v>63</v>
      </c>
      <c r="C59" s="12">
        <v>43100</v>
      </c>
      <c r="D59" s="12">
        <v>12690</v>
      </c>
      <c r="E59" s="12">
        <v>30410</v>
      </c>
      <c r="F59" s="13">
        <v>0.81597222222222221</v>
      </c>
    </row>
    <row r="60" spans="1:6">
      <c r="A60" s="11">
        <v>59</v>
      </c>
      <c r="B60" s="11" t="s">
        <v>64</v>
      </c>
      <c r="C60" s="12">
        <v>50610</v>
      </c>
      <c r="D60" s="12">
        <v>14490</v>
      </c>
      <c r="E60" s="12">
        <v>36120</v>
      </c>
      <c r="F60" s="13">
        <v>0.81736111111111109</v>
      </c>
    </row>
    <row r="61" spans="1:6">
      <c r="A61" s="11">
        <v>60</v>
      </c>
      <c r="B61" s="11" t="s">
        <v>65</v>
      </c>
      <c r="C61" s="12">
        <v>45680</v>
      </c>
      <c r="D61" s="12">
        <v>14670</v>
      </c>
      <c r="E61" s="12">
        <v>31010</v>
      </c>
      <c r="F61" s="13">
        <v>0.81805555555555554</v>
      </c>
    </row>
    <row r="62" spans="1:6">
      <c r="A62" s="11">
        <v>61</v>
      </c>
      <c r="B62" s="11" t="s">
        <v>66</v>
      </c>
      <c r="C62" s="12">
        <v>48130</v>
      </c>
      <c r="D62" s="12">
        <v>15030</v>
      </c>
      <c r="E62" s="12">
        <v>33100</v>
      </c>
      <c r="F62" s="13">
        <v>0.81874999999999998</v>
      </c>
    </row>
    <row r="63" spans="1:6">
      <c r="A63" s="11">
        <v>62</v>
      </c>
      <c r="B63" s="11" t="s">
        <v>67</v>
      </c>
      <c r="C63" s="12">
        <v>45720</v>
      </c>
      <c r="D63" s="12">
        <v>14300</v>
      </c>
      <c r="E63" s="12">
        <v>31420</v>
      </c>
      <c r="F63" s="13">
        <v>0.82013888888888886</v>
      </c>
    </row>
    <row r="64" spans="1:6">
      <c r="A64" s="11">
        <v>63</v>
      </c>
      <c r="B64" s="11" t="s">
        <v>68</v>
      </c>
      <c r="C64" s="12">
        <v>48300</v>
      </c>
      <c r="D64" s="12">
        <v>14480</v>
      </c>
      <c r="E64" s="12">
        <v>33820</v>
      </c>
      <c r="F64" s="13">
        <v>0.82291666666666663</v>
      </c>
    </row>
    <row r="65" spans="1:6">
      <c r="A65" s="11">
        <v>64</v>
      </c>
      <c r="B65" s="11" t="s">
        <v>69</v>
      </c>
      <c r="C65" s="12">
        <v>47440</v>
      </c>
      <c r="D65" s="12">
        <v>15260</v>
      </c>
      <c r="E65" s="12">
        <v>32180</v>
      </c>
      <c r="F65" s="13">
        <v>0.82430555555555551</v>
      </c>
    </row>
    <row r="66" spans="1:6">
      <c r="A66" s="11">
        <v>65</v>
      </c>
      <c r="B66" s="11" t="s">
        <v>70</v>
      </c>
      <c r="C66" s="12">
        <v>43430</v>
      </c>
      <c r="D66" s="12">
        <v>13210</v>
      </c>
      <c r="E66" s="12">
        <v>30110</v>
      </c>
      <c r="F66" s="13">
        <v>0.82499999999999996</v>
      </c>
    </row>
    <row r="67" spans="1:6">
      <c r="A67" s="11">
        <v>66</v>
      </c>
      <c r="B67" s="11" t="s">
        <v>71</v>
      </c>
      <c r="C67" s="12">
        <v>47470</v>
      </c>
      <c r="D67" s="12">
        <v>13790</v>
      </c>
      <c r="E67" s="12">
        <v>33680</v>
      </c>
      <c r="F67" s="13">
        <v>0.82638888888888884</v>
      </c>
    </row>
    <row r="68" spans="1:6">
      <c r="A68" s="11">
        <v>67</v>
      </c>
      <c r="B68" s="11" t="s">
        <v>72</v>
      </c>
      <c r="C68" s="12">
        <v>50420</v>
      </c>
      <c r="D68" s="12">
        <v>13880</v>
      </c>
      <c r="E68" s="12">
        <v>36540</v>
      </c>
      <c r="F68" s="13">
        <v>0.82708333333333328</v>
      </c>
    </row>
    <row r="69" spans="1:6">
      <c r="A69" s="11">
        <v>68</v>
      </c>
      <c r="B69" s="11" t="s">
        <v>73</v>
      </c>
      <c r="C69" s="12">
        <v>44200</v>
      </c>
      <c r="D69" s="12">
        <v>13210</v>
      </c>
      <c r="E69" s="12">
        <v>30990</v>
      </c>
      <c r="F69" s="13">
        <v>0.82847222222222228</v>
      </c>
    </row>
    <row r="70" spans="1:6">
      <c r="A70" s="11">
        <v>69</v>
      </c>
      <c r="B70" s="11" t="s">
        <v>74</v>
      </c>
      <c r="C70" s="12">
        <v>46260</v>
      </c>
      <c r="D70" s="12">
        <v>13120</v>
      </c>
      <c r="E70" s="12">
        <v>33140</v>
      </c>
      <c r="F70" s="13">
        <v>0.82916666666666672</v>
      </c>
    </row>
    <row r="71" spans="1:6">
      <c r="A71" s="11">
        <v>70</v>
      </c>
      <c r="B71" s="11" t="s">
        <v>75</v>
      </c>
      <c r="C71" s="12">
        <v>44680</v>
      </c>
      <c r="D71" s="12">
        <v>13530</v>
      </c>
      <c r="E71" s="12">
        <v>31150</v>
      </c>
      <c r="F71" s="13">
        <v>0.82986111111111116</v>
      </c>
    </row>
    <row r="72" spans="1:6">
      <c r="A72" s="11">
        <v>71</v>
      </c>
      <c r="B72" s="11" t="s">
        <v>76</v>
      </c>
      <c r="C72" s="12">
        <v>46970</v>
      </c>
      <c r="D72" s="12">
        <v>14010</v>
      </c>
      <c r="E72" s="12">
        <v>32960</v>
      </c>
      <c r="F72" s="13">
        <v>0.8305555555555556</v>
      </c>
    </row>
    <row r="73" spans="1:6">
      <c r="A73" s="11">
        <v>72</v>
      </c>
      <c r="B73" s="11" t="s">
        <v>77</v>
      </c>
      <c r="C73" s="12">
        <v>47220</v>
      </c>
      <c r="D73" s="12">
        <v>13020</v>
      </c>
      <c r="E73" s="12">
        <v>34200</v>
      </c>
      <c r="F73" s="13">
        <v>0.83125000000000004</v>
      </c>
    </row>
    <row r="74" spans="1:6">
      <c r="A74" s="11">
        <v>73</v>
      </c>
      <c r="B74" s="11" t="s">
        <v>78</v>
      </c>
      <c r="C74" s="12">
        <v>45990</v>
      </c>
      <c r="D74" s="12">
        <v>15740</v>
      </c>
      <c r="E74" s="12">
        <v>30250</v>
      </c>
      <c r="F74" s="13">
        <v>0.8354166666666667</v>
      </c>
    </row>
    <row r="75" spans="1:6">
      <c r="A75" s="11">
        <v>74</v>
      </c>
      <c r="B75" s="11" t="s">
        <v>79</v>
      </c>
      <c r="C75" s="12">
        <v>51110</v>
      </c>
      <c r="D75" s="12">
        <v>16630</v>
      </c>
      <c r="E75" s="12">
        <v>34480</v>
      </c>
      <c r="F75" s="13">
        <v>0.85</v>
      </c>
    </row>
    <row r="76" spans="1:6">
      <c r="A76" s="11">
        <v>75</v>
      </c>
      <c r="B76" s="11" t="s">
        <v>80</v>
      </c>
      <c r="C76" s="12">
        <v>50040</v>
      </c>
      <c r="D76" s="12">
        <v>15570</v>
      </c>
      <c r="E76" s="12">
        <v>34470</v>
      </c>
      <c r="F76" s="13">
        <v>0.85069444444444442</v>
      </c>
    </row>
    <row r="77" spans="1:6">
      <c r="A77" s="11">
        <v>76</v>
      </c>
      <c r="B77" s="11" t="s">
        <v>81</v>
      </c>
      <c r="C77" s="12">
        <v>44500</v>
      </c>
      <c r="D77" s="12">
        <v>13320</v>
      </c>
      <c r="E77" s="12">
        <v>31180</v>
      </c>
      <c r="F77" s="13">
        <v>0.85138888888888886</v>
      </c>
    </row>
    <row r="78" spans="1:6">
      <c r="A78" s="11">
        <v>77</v>
      </c>
      <c r="B78" s="11" t="s">
        <v>82</v>
      </c>
      <c r="C78" s="12">
        <v>46640</v>
      </c>
      <c r="D78" s="12">
        <v>15430</v>
      </c>
      <c r="E78" s="12">
        <v>31210</v>
      </c>
      <c r="F78" s="13">
        <v>0.8520833333333333</v>
      </c>
    </row>
    <row r="79" spans="1:6">
      <c r="A79" s="11">
        <v>78</v>
      </c>
      <c r="B79" s="11" t="s">
        <v>83</v>
      </c>
      <c r="C79" s="12">
        <v>48330</v>
      </c>
      <c r="D79" s="12">
        <v>13640</v>
      </c>
      <c r="E79" s="12">
        <v>34690</v>
      </c>
      <c r="F79" s="13">
        <v>0.85486111111111107</v>
      </c>
    </row>
    <row r="80" spans="1:6">
      <c r="A80" s="11">
        <v>79</v>
      </c>
      <c r="B80" s="11" t="s">
        <v>84</v>
      </c>
      <c r="C80" s="12">
        <v>50740</v>
      </c>
      <c r="D80" s="12">
        <v>15450</v>
      </c>
      <c r="E80" s="12">
        <v>35290</v>
      </c>
      <c r="F80" s="13">
        <v>0.85555555555555551</v>
      </c>
    </row>
    <row r="81" spans="1:6">
      <c r="A81" s="11">
        <v>80</v>
      </c>
      <c r="B81" s="11" t="s">
        <v>85</v>
      </c>
      <c r="C81" s="12">
        <v>51710</v>
      </c>
      <c r="D81" s="12">
        <v>14570</v>
      </c>
      <c r="E81" s="12">
        <v>37140</v>
      </c>
      <c r="F81" s="13">
        <v>0.85624999999999996</v>
      </c>
    </row>
    <row r="82" spans="1:6">
      <c r="A82" s="11">
        <v>81</v>
      </c>
      <c r="B82" s="11" t="s">
        <v>86</v>
      </c>
      <c r="C82" s="12">
        <v>43710</v>
      </c>
      <c r="D82" s="12">
        <v>14250</v>
      </c>
      <c r="E82" s="12">
        <v>29460</v>
      </c>
      <c r="F82" s="13">
        <v>0.8569444444444444</v>
      </c>
    </row>
    <row r="83" spans="1:6">
      <c r="A83" s="11">
        <v>82</v>
      </c>
      <c r="B83" s="11" t="s">
        <v>87</v>
      </c>
      <c r="C83" s="12">
        <v>43270</v>
      </c>
      <c r="D83" s="12">
        <v>14400</v>
      </c>
      <c r="E83" s="12">
        <v>29870</v>
      </c>
      <c r="F83" s="13">
        <v>0.85763888888888884</v>
      </c>
    </row>
    <row r="84" spans="1:6">
      <c r="A84" s="11">
        <v>83</v>
      </c>
      <c r="B84" s="11" t="s">
        <v>88</v>
      </c>
      <c r="C84" s="12">
        <v>46740</v>
      </c>
      <c r="D84" s="12">
        <v>14650</v>
      </c>
      <c r="E84" s="12">
        <v>32090</v>
      </c>
      <c r="F84" s="13">
        <v>0.85833333333333328</v>
      </c>
    </row>
    <row r="85" spans="1:6">
      <c r="A85" s="11">
        <v>84</v>
      </c>
      <c r="B85" s="11" t="s">
        <v>9</v>
      </c>
      <c r="C85" s="12">
        <v>45930</v>
      </c>
      <c r="D85" s="12">
        <v>13940</v>
      </c>
      <c r="E85" s="12">
        <v>31990</v>
      </c>
      <c r="F85" s="13">
        <v>0.85902777777777772</v>
      </c>
    </row>
    <row r="86" spans="1:6">
      <c r="A86" s="11">
        <v>85</v>
      </c>
      <c r="B86" s="11" t="s">
        <v>89</v>
      </c>
      <c r="C86" s="12">
        <v>47150</v>
      </c>
      <c r="D86" s="12">
        <v>15140</v>
      </c>
      <c r="E86" s="12">
        <v>32010</v>
      </c>
      <c r="F86" s="13">
        <v>0.85972222222222228</v>
      </c>
    </row>
    <row r="87" spans="1:6">
      <c r="A87" s="11">
        <v>86</v>
      </c>
      <c r="B87" s="11" t="s">
        <v>10</v>
      </c>
      <c r="C87" s="12">
        <v>46920</v>
      </c>
      <c r="D87" s="12">
        <v>15090</v>
      </c>
      <c r="E87" s="12">
        <v>31830</v>
      </c>
      <c r="F87" s="13">
        <v>0.86041666666666672</v>
      </c>
    </row>
    <row r="88" spans="1:6">
      <c r="A88" s="11">
        <v>87</v>
      </c>
      <c r="B88" s="11" t="s">
        <v>8</v>
      </c>
      <c r="C88" s="12">
        <v>50000</v>
      </c>
      <c r="D88" s="12">
        <v>15520</v>
      </c>
      <c r="E88" s="12">
        <v>34480</v>
      </c>
      <c r="F88" s="13">
        <v>0.8618055555555556</v>
      </c>
    </row>
    <row r="89" spans="1:6">
      <c r="A89" s="11">
        <v>88</v>
      </c>
      <c r="B89" s="11" t="s">
        <v>90</v>
      </c>
      <c r="C89" s="12">
        <v>49920</v>
      </c>
      <c r="D89" s="12">
        <v>14730</v>
      </c>
      <c r="E89" s="12">
        <v>35190</v>
      </c>
      <c r="F89" s="13">
        <v>0.86527777777777781</v>
      </c>
    </row>
    <row r="90" spans="1:6">
      <c r="A90" s="11">
        <v>89</v>
      </c>
      <c r="B90" s="11" t="s">
        <v>91</v>
      </c>
      <c r="C90" s="12">
        <v>44720</v>
      </c>
      <c r="D90" s="12">
        <v>15040</v>
      </c>
      <c r="E90" s="12">
        <v>29680</v>
      </c>
      <c r="F90" s="13">
        <v>0.8666666666666667</v>
      </c>
    </row>
    <row r="91" spans="1:6">
      <c r="A91" s="11">
        <v>90</v>
      </c>
      <c r="B91" s="11" t="s">
        <v>92</v>
      </c>
      <c r="C91" s="12">
        <v>46850</v>
      </c>
      <c r="D91" s="12">
        <v>14470</v>
      </c>
      <c r="E91" s="12">
        <v>32380</v>
      </c>
      <c r="F91" s="13">
        <v>0.86805555555555558</v>
      </c>
    </row>
    <row r="92" spans="1:6">
      <c r="A92" s="11">
        <v>91</v>
      </c>
      <c r="B92" s="11" t="s">
        <v>93</v>
      </c>
      <c r="C92" s="12">
        <v>50530</v>
      </c>
      <c r="D92" s="12">
        <v>14710</v>
      </c>
      <c r="E92" s="12">
        <v>35820</v>
      </c>
      <c r="F92" s="13">
        <v>0.87013888888888891</v>
      </c>
    </row>
    <row r="93" spans="1:6">
      <c r="A93" s="11">
        <v>92</v>
      </c>
      <c r="B93" s="11" t="s">
        <v>94</v>
      </c>
      <c r="C93" s="12">
        <v>52620</v>
      </c>
      <c r="D93" s="12">
        <v>14730</v>
      </c>
      <c r="E93" s="12">
        <v>37890</v>
      </c>
      <c r="F93" s="13">
        <v>0.87083333333333335</v>
      </c>
    </row>
    <row r="94" spans="1:6">
      <c r="A94" s="11">
        <v>93</v>
      </c>
      <c r="B94" s="11" t="s">
        <v>95</v>
      </c>
      <c r="C94" s="12">
        <v>53550</v>
      </c>
      <c r="D94" s="12">
        <v>14740</v>
      </c>
      <c r="E94" s="12">
        <v>38810</v>
      </c>
      <c r="F94" s="13">
        <v>0.87152777777777779</v>
      </c>
    </row>
    <row r="95" spans="1:6">
      <c r="A95" s="11">
        <v>94</v>
      </c>
      <c r="B95" s="11" t="s">
        <v>96</v>
      </c>
      <c r="C95" s="12">
        <v>52610</v>
      </c>
      <c r="D95" s="12">
        <v>15640</v>
      </c>
      <c r="E95" s="12">
        <v>36970</v>
      </c>
      <c r="F95" s="13">
        <v>0.87222222222222223</v>
      </c>
    </row>
    <row r="96" spans="1:6">
      <c r="A96" s="11">
        <v>95</v>
      </c>
      <c r="B96" s="11" t="s">
        <v>97</v>
      </c>
      <c r="C96" s="12">
        <v>49150</v>
      </c>
      <c r="D96" s="12">
        <v>13900</v>
      </c>
      <c r="E96" s="12">
        <v>35250</v>
      </c>
      <c r="F96" s="13">
        <v>0.87291666666666667</v>
      </c>
    </row>
    <row r="97" spans="1:6">
      <c r="A97" s="11">
        <v>96</v>
      </c>
      <c r="B97" s="11" t="s">
        <v>98</v>
      </c>
      <c r="C97" s="12">
        <v>48830</v>
      </c>
      <c r="D97" s="12">
        <v>14790</v>
      </c>
      <c r="E97" s="12">
        <v>34040</v>
      </c>
      <c r="F97" s="13">
        <v>0.87361111111111112</v>
      </c>
    </row>
    <row r="98" spans="1:6">
      <c r="A98" s="11">
        <v>97</v>
      </c>
      <c r="B98" s="11" t="s">
        <v>99</v>
      </c>
      <c r="C98" s="12">
        <v>46770</v>
      </c>
      <c r="D98" s="12">
        <v>14950</v>
      </c>
      <c r="E98" s="12">
        <v>31820</v>
      </c>
      <c r="F98" s="13">
        <v>0.87430555555555556</v>
      </c>
    </row>
    <row r="99" spans="1:6">
      <c r="A99" s="11">
        <v>98</v>
      </c>
      <c r="B99" s="11" t="s">
        <v>100</v>
      </c>
      <c r="C99" s="12">
        <v>46530</v>
      </c>
      <c r="D99" s="12">
        <v>14680</v>
      </c>
      <c r="E99" s="12">
        <v>31850</v>
      </c>
      <c r="F99" s="13">
        <v>0.87569444444444444</v>
      </c>
    </row>
    <row r="100" spans="1:6">
      <c r="A100" s="11">
        <v>99</v>
      </c>
      <c r="B100" s="11" t="s">
        <v>101</v>
      </c>
      <c r="C100" s="12">
        <v>47250</v>
      </c>
      <c r="D100" s="12">
        <v>14600</v>
      </c>
      <c r="E100" s="12">
        <v>35650</v>
      </c>
      <c r="F100" s="13">
        <v>0.88124999999999998</v>
      </c>
    </row>
    <row r="101" spans="1:6">
      <c r="A101" s="11">
        <v>100</v>
      </c>
      <c r="B101" s="11" t="s">
        <v>13</v>
      </c>
      <c r="C101" s="12">
        <v>52310</v>
      </c>
      <c r="D101" s="12">
        <v>15310</v>
      </c>
      <c r="E101" s="12">
        <v>37000</v>
      </c>
      <c r="F101" s="13">
        <v>0.8833333333333333</v>
      </c>
    </row>
    <row r="102" spans="1:6">
      <c r="A102" s="11">
        <v>101</v>
      </c>
      <c r="B102" s="11" t="s">
        <v>11</v>
      </c>
      <c r="C102" s="12">
        <v>50660</v>
      </c>
      <c r="D102" s="12">
        <v>15630</v>
      </c>
      <c r="E102" s="12">
        <v>35030</v>
      </c>
      <c r="F102" s="13">
        <v>0.8930555555555556</v>
      </c>
    </row>
    <row r="103" spans="1:6">
      <c r="A103" s="11">
        <v>102</v>
      </c>
      <c r="B103" s="11" t="s">
        <v>102</v>
      </c>
      <c r="C103" s="12">
        <v>47580</v>
      </c>
      <c r="D103" s="12">
        <v>15000</v>
      </c>
      <c r="E103" s="12">
        <v>32580</v>
      </c>
      <c r="F103" s="13">
        <v>0.89652777777777781</v>
      </c>
    </row>
    <row r="104" spans="1:6">
      <c r="A104" s="11">
        <v>103</v>
      </c>
      <c r="B104" s="11" t="s">
        <v>103</v>
      </c>
      <c r="C104" s="12">
        <v>49460</v>
      </c>
      <c r="D104" s="12">
        <v>14930</v>
      </c>
      <c r="E104" s="12">
        <v>34530</v>
      </c>
      <c r="F104" s="13">
        <v>0.90972222222222221</v>
      </c>
    </row>
    <row r="105" spans="1:6">
      <c r="A105" s="11">
        <v>104</v>
      </c>
      <c r="B105" s="11" t="s">
        <v>104</v>
      </c>
      <c r="C105" s="12">
        <v>50620</v>
      </c>
      <c r="D105" s="12">
        <v>14940</v>
      </c>
      <c r="E105" s="12">
        <v>35680</v>
      </c>
      <c r="F105" s="13">
        <v>0.91041666666666665</v>
      </c>
    </row>
    <row r="106" spans="1:6">
      <c r="A106" s="11">
        <v>105</v>
      </c>
      <c r="B106" s="11" t="s">
        <v>105</v>
      </c>
      <c r="C106" s="12">
        <v>51680</v>
      </c>
      <c r="D106" s="12">
        <v>14990</v>
      </c>
      <c r="E106" s="12">
        <v>36690</v>
      </c>
      <c r="F106" s="13">
        <v>0.91111111111111109</v>
      </c>
    </row>
    <row r="107" spans="1:6">
      <c r="A107" s="11">
        <v>106</v>
      </c>
      <c r="B107" s="11" t="s">
        <v>106</v>
      </c>
      <c r="C107" s="12">
        <v>54440</v>
      </c>
      <c r="D107" s="12">
        <v>15030</v>
      </c>
      <c r="E107" s="12">
        <v>39410</v>
      </c>
      <c r="F107" s="13">
        <v>0.92638888888888893</v>
      </c>
    </row>
    <row r="108" spans="1:6">
      <c r="A108" s="11">
        <v>107</v>
      </c>
      <c r="B108" s="11" t="s">
        <v>107</v>
      </c>
      <c r="C108" s="12">
        <v>52247</v>
      </c>
      <c r="D108" s="12">
        <v>15080</v>
      </c>
      <c r="E108" s="12">
        <v>37390</v>
      </c>
      <c r="F108" s="13">
        <v>0.92708333333333337</v>
      </c>
    </row>
    <row r="109" spans="1:6">
      <c r="A109" s="11">
        <v>108</v>
      </c>
      <c r="B109" s="11" t="s">
        <v>108</v>
      </c>
      <c r="C109" s="12">
        <v>50210</v>
      </c>
      <c r="D109" s="12">
        <v>14580</v>
      </c>
      <c r="E109" s="12">
        <v>35630</v>
      </c>
      <c r="F109" s="13">
        <v>0.92777777777777781</v>
      </c>
    </row>
    <row r="110" spans="1:6">
      <c r="A110" s="11">
        <v>109</v>
      </c>
      <c r="B110" s="11" t="s">
        <v>109</v>
      </c>
      <c r="C110" s="12">
        <v>49520</v>
      </c>
      <c r="D110" s="12">
        <v>14850</v>
      </c>
      <c r="E110" s="12">
        <v>34670</v>
      </c>
      <c r="F110" s="13">
        <v>0.92847222222222225</v>
      </c>
    </row>
    <row r="111" spans="1:6">
      <c r="A111" s="11">
        <v>110</v>
      </c>
      <c r="B111" s="11" t="s">
        <v>110</v>
      </c>
      <c r="C111" s="12">
        <v>51580</v>
      </c>
      <c r="D111" s="12">
        <v>14300</v>
      </c>
      <c r="E111" s="12">
        <v>37280</v>
      </c>
      <c r="F111" s="13">
        <v>0.9291666666666667</v>
      </c>
    </row>
    <row r="112" spans="1:6">
      <c r="A112" s="11">
        <v>111</v>
      </c>
      <c r="B112" s="11" t="s">
        <v>19</v>
      </c>
      <c r="C112" s="12">
        <v>47400</v>
      </c>
      <c r="D112" s="12">
        <v>15310</v>
      </c>
      <c r="E112" s="12">
        <v>32090</v>
      </c>
      <c r="F112" s="13">
        <v>0.93125000000000002</v>
      </c>
    </row>
    <row r="113" spans="1:6">
      <c r="A113" s="11">
        <v>112</v>
      </c>
      <c r="B113" s="11" t="s">
        <v>15</v>
      </c>
      <c r="C113" s="12">
        <v>47190</v>
      </c>
      <c r="D113" s="12">
        <v>14930</v>
      </c>
      <c r="E113" s="12">
        <v>32260</v>
      </c>
      <c r="F113" s="13">
        <v>0.93194444444444446</v>
      </c>
    </row>
    <row r="114" spans="1:6">
      <c r="A114" s="11">
        <v>113</v>
      </c>
      <c r="B114" s="11" t="s">
        <v>26</v>
      </c>
      <c r="C114" s="12">
        <v>47530</v>
      </c>
      <c r="D114" s="12">
        <v>14410</v>
      </c>
      <c r="E114" s="12">
        <v>33120</v>
      </c>
      <c r="F114" s="13">
        <v>0.93888888888888888</v>
      </c>
    </row>
    <row r="115" spans="1:6">
      <c r="A115" s="11">
        <v>114</v>
      </c>
      <c r="B115" s="11" t="s">
        <v>25</v>
      </c>
      <c r="C115" s="12">
        <v>45930</v>
      </c>
      <c r="D115" s="12">
        <v>14360</v>
      </c>
      <c r="E115" s="12">
        <v>31570</v>
      </c>
      <c r="F115" s="13">
        <v>0.93958333333333333</v>
      </c>
    </row>
    <row r="116" spans="1:6">
      <c r="A116" s="11">
        <v>115</v>
      </c>
      <c r="B116" s="11" t="s">
        <v>14</v>
      </c>
      <c r="C116" s="12">
        <v>49740</v>
      </c>
      <c r="D116" s="12">
        <v>15270</v>
      </c>
      <c r="E116" s="12">
        <v>34460</v>
      </c>
      <c r="F116" s="13">
        <v>0.94027777777777777</v>
      </c>
    </row>
    <row r="117" spans="1:6">
      <c r="A117" s="11">
        <v>116</v>
      </c>
      <c r="B117" s="11" t="s">
        <v>111</v>
      </c>
      <c r="C117" s="12">
        <v>89090</v>
      </c>
      <c r="D117" s="12">
        <v>25700</v>
      </c>
      <c r="E117" s="12">
        <v>63390</v>
      </c>
      <c r="F117" s="13">
        <v>0.94097222222222221</v>
      </c>
    </row>
    <row r="118" spans="1:6">
      <c r="A118" s="11">
        <v>117</v>
      </c>
      <c r="B118" s="11" t="s">
        <v>112</v>
      </c>
      <c r="C118" s="12">
        <v>80870</v>
      </c>
      <c r="D118" s="12">
        <v>25840</v>
      </c>
      <c r="E118" s="12">
        <v>55030</v>
      </c>
      <c r="F118" s="13">
        <v>0.94236111111111109</v>
      </c>
    </row>
    <row r="119" spans="1:6">
      <c r="A119" s="11">
        <v>118</v>
      </c>
      <c r="B119" s="11" t="s">
        <v>113</v>
      </c>
      <c r="C119" s="12">
        <v>81360</v>
      </c>
      <c r="D119" s="12">
        <v>25970</v>
      </c>
      <c r="E119" s="12">
        <v>55390</v>
      </c>
      <c r="F119" s="13">
        <v>0.94305555555555554</v>
      </c>
    </row>
    <row r="120" spans="1:6">
      <c r="A120" s="11">
        <v>119</v>
      </c>
      <c r="B120" s="11" t="s">
        <v>114</v>
      </c>
      <c r="C120" s="12">
        <v>84500</v>
      </c>
      <c r="D120" s="12">
        <v>25920</v>
      </c>
      <c r="E120" s="12">
        <v>58580</v>
      </c>
      <c r="F120" s="13">
        <v>0.94374999999999998</v>
      </c>
    </row>
    <row r="121" spans="1:6">
      <c r="A121" s="11">
        <v>120</v>
      </c>
      <c r="B121" s="11" t="s">
        <v>18</v>
      </c>
      <c r="C121" s="12">
        <v>45870</v>
      </c>
      <c r="D121" s="12">
        <v>14600</v>
      </c>
      <c r="E121" s="12">
        <v>31270</v>
      </c>
      <c r="F121" s="13">
        <v>0.95416666666666672</v>
      </c>
    </row>
    <row r="122" spans="1:6">
      <c r="A122" s="11">
        <v>121</v>
      </c>
      <c r="B122" s="11" t="s">
        <v>33</v>
      </c>
      <c r="C122" s="12">
        <v>63840</v>
      </c>
      <c r="D122" s="12">
        <v>19400</v>
      </c>
      <c r="E122" s="12">
        <v>44440</v>
      </c>
      <c r="F122" s="13">
        <v>0.95416666666666672</v>
      </c>
    </row>
    <row r="123" spans="1:6">
      <c r="A123" s="11">
        <v>122</v>
      </c>
      <c r="B123" s="11" t="s">
        <v>12</v>
      </c>
      <c r="C123" s="12">
        <v>45740</v>
      </c>
      <c r="D123" s="12">
        <v>15260</v>
      </c>
      <c r="E123" s="12">
        <v>30480</v>
      </c>
      <c r="F123" s="13">
        <v>0.95486111111111116</v>
      </c>
    </row>
    <row r="124" spans="1:6">
      <c r="A124" s="11">
        <v>123</v>
      </c>
      <c r="B124" s="11" t="s">
        <v>20</v>
      </c>
      <c r="C124" s="12">
        <v>48590</v>
      </c>
      <c r="D124" s="12">
        <v>15370</v>
      </c>
      <c r="E124" s="12">
        <v>33220</v>
      </c>
      <c r="F124" s="13">
        <v>0.9555555555555556</v>
      </c>
    </row>
    <row r="125" spans="1:6">
      <c r="A125" s="11">
        <v>124</v>
      </c>
      <c r="B125" s="11" t="s">
        <v>22</v>
      </c>
      <c r="C125" s="12">
        <v>47640</v>
      </c>
      <c r="D125" s="12">
        <v>15840</v>
      </c>
      <c r="E125" s="12">
        <v>31800</v>
      </c>
      <c r="F125" s="13">
        <v>0.95625000000000004</v>
      </c>
    </row>
    <row r="126" spans="1:6">
      <c r="A126" s="11">
        <v>125</v>
      </c>
      <c r="B126" s="11" t="s">
        <v>32</v>
      </c>
      <c r="C126" s="12">
        <v>46010</v>
      </c>
      <c r="D126" s="12">
        <v>15010</v>
      </c>
      <c r="E126" s="12">
        <v>31000</v>
      </c>
      <c r="F126" s="13">
        <v>0.95694444444444449</v>
      </c>
    </row>
    <row r="127" spans="1:6">
      <c r="A127" s="11">
        <v>126</v>
      </c>
      <c r="B127" s="11" t="s">
        <v>30</v>
      </c>
      <c r="C127" s="12">
        <v>47550</v>
      </c>
      <c r="D127" s="12">
        <v>15300</v>
      </c>
      <c r="E127" s="12">
        <v>32250</v>
      </c>
      <c r="F127" s="13">
        <v>0.95763888888888893</v>
      </c>
    </row>
    <row r="128" spans="1:6">
      <c r="A128" s="11">
        <v>127</v>
      </c>
      <c r="B128" s="11" t="s">
        <v>23</v>
      </c>
      <c r="C128" s="12">
        <v>47480</v>
      </c>
      <c r="D128" s="12">
        <v>15640</v>
      </c>
      <c r="E128" s="12">
        <v>31840</v>
      </c>
      <c r="F128" s="13">
        <v>0.95833333333333337</v>
      </c>
    </row>
    <row r="129" spans="1:6">
      <c r="A129" s="11">
        <v>128</v>
      </c>
      <c r="B129" s="11" t="s">
        <v>31</v>
      </c>
      <c r="C129" s="12">
        <v>50010</v>
      </c>
      <c r="D129" s="12">
        <v>14760</v>
      </c>
      <c r="E129" s="12">
        <v>35250</v>
      </c>
      <c r="F129" s="13">
        <v>0.95902777777777781</v>
      </c>
    </row>
    <row r="130" spans="1:6">
      <c r="A130" s="11">
        <v>129</v>
      </c>
      <c r="B130" s="11" t="s">
        <v>34</v>
      </c>
      <c r="C130" s="12">
        <v>47720</v>
      </c>
      <c r="D130" s="12">
        <v>14850</v>
      </c>
      <c r="E130" s="12">
        <v>32870</v>
      </c>
      <c r="F130" s="13">
        <v>0.96458333333333335</v>
      </c>
    </row>
    <row r="131" spans="1:6">
      <c r="A131" s="11">
        <v>130</v>
      </c>
      <c r="B131" s="11" t="s">
        <v>115</v>
      </c>
      <c r="C131" s="12">
        <v>44800</v>
      </c>
      <c r="D131" s="12">
        <v>14800</v>
      </c>
      <c r="E131" s="12">
        <v>30000</v>
      </c>
      <c r="F131" s="13">
        <v>0.98750000000000004</v>
      </c>
    </row>
    <row r="132" spans="1:6">
      <c r="A132" s="11">
        <v>131</v>
      </c>
      <c r="B132" s="11" t="s">
        <v>17</v>
      </c>
      <c r="C132" s="12">
        <v>52670</v>
      </c>
      <c r="D132" s="12">
        <v>15010</v>
      </c>
      <c r="E132" s="12">
        <v>37660</v>
      </c>
      <c r="F132" s="13">
        <v>0.98888888888888893</v>
      </c>
    </row>
    <row r="133" spans="1:6">
      <c r="A133" s="11">
        <v>132</v>
      </c>
      <c r="B133" s="11" t="s">
        <v>40</v>
      </c>
      <c r="C133" s="12">
        <v>47150</v>
      </c>
      <c r="D133" s="12">
        <v>14610</v>
      </c>
      <c r="E133" s="12">
        <v>32540</v>
      </c>
      <c r="F133" s="13">
        <v>4.9305555555555554E-2</v>
      </c>
    </row>
    <row r="134" spans="1:6">
      <c r="A134" s="11">
        <v>133</v>
      </c>
      <c r="B134" s="11" t="s">
        <v>44</v>
      </c>
      <c r="C134" s="12">
        <v>46880</v>
      </c>
      <c r="D134" s="12">
        <v>15390</v>
      </c>
      <c r="E134" s="12">
        <v>31490</v>
      </c>
      <c r="F134" s="13">
        <v>5.0694444444444445E-2</v>
      </c>
    </row>
    <row r="135" spans="1:6">
      <c r="A135" s="11">
        <v>134</v>
      </c>
      <c r="B135" s="11" t="s">
        <v>43</v>
      </c>
      <c r="C135" s="12">
        <v>48530</v>
      </c>
      <c r="D135" s="12">
        <v>15330</v>
      </c>
      <c r="E135" s="12">
        <v>33200</v>
      </c>
      <c r="F135" s="13">
        <v>5.1388888888888887E-2</v>
      </c>
    </row>
    <row r="136" spans="1:6">
      <c r="A136" s="11">
        <v>135</v>
      </c>
      <c r="B136" s="11" t="s">
        <v>35</v>
      </c>
      <c r="C136" s="12">
        <v>48810</v>
      </c>
      <c r="D136" s="12">
        <v>14210</v>
      </c>
      <c r="E136" s="12">
        <v>34600</v>
      </c>
      <c r="F136" s="13">
        <v>8.3333333333333329E-2</v>
      </c>
    </row>
    <row r="137" spans="1:6">
      <c r="A137" s="11">
        <v>136</v>
      </c>
      <c r="B137" s="11" t="s">
        <v>37</v>
      </c>
      <c r="C137" s="12">
        <v>50050</v>
      </c>
      <c r="D137" s="12">
        <v>15940</v>
      </c>
      <c r="E137" s="12">
        <v>34110</v>
      </c>
      <c r="F137" s="13">
        <v>9.166666666666666E-2</v>
      </c>
    </row>
    <row r="138" spans="1:6">
      <c r="A138" s="11">
        <v>137</v>
      </c>
      <c r="B138" s="11" t="s">
        <v>36</v>
      </c>
      <c r="C138" s="12">
        <v>49170</v>
      </c>
      <c r="D138" s="12">
        <v>15810</v>
      </c>
      <c r="E138" s="12">
        <v>33360</v>
      </c>
      <c r="F138" s="13">
        <v>9.3055555555555558E-2</v>
      </c>
    </row>
    <row r="139" spans="1:6">
      <c r="A139" s="11">
        <v>138</v>
      </c>
      <c r="B139" s="11" t="s">
        <v>116</v>
      </c>
      <c r="C139" s="12">
        <v>88790</v>
      </c>
      <c r="D139" s="12">
        <v>26130</v>
      </c>
      <c r="E139" s="12">
        <v>62660</v>
      </c>
      <c r="F139" s="13">
        <v>9.375E-2</v>
      </c>
    </row>
    <row r="140" spans="1:6">
      <c r="A140" s="11">
        <v>139</v>
      </c>
      <c r="B140" s="11" t="s">
        <v>16</v>
      </c>
      <c r="C140" s="12">
        <v>47420</v>
      </c>
      <c r="D140" s="12">
        <v>15240</v>
      </c>
      <c r="E140" s="12">
        <v>32180</v>
      </c>
      <c r="F140" s="13">
        <v>0.1986111111111111</v>
      </c>
    </row>
    <row r="141" spans="1:6">
      <c r="A141" s="11">
        <v>140</v>
      </c>
      <c r="B141" s="11" t="s">
        <v>117</v>
      </c>
      <c r="C141" s="12">
        <v>48300</v>
      </c>
      <c r="D141" s="12">
        <v>14840</v>
      </c>
      <c r="E141" s="12">
        <v>33460</v>
      </c>
      <c r="F141" s="13">
        <v>0.1986111111111111</v>
      </c>
    </row>
    <row r="142" spans="1:6">
      <c r="A142" s="11">
        <v>141</v>
      </c>
      <c r="B142" s="11" t="s">
        <v>45</v>
      </c>
      <c r="C142" s="12">
        <v>48300</v>
      </c>
      <c r="D142" s="12">
        <v>15080</v>
      </c>
      <c r="E142" s="12">
        <v>33220</v>
      </c>
      <c r="F142" s="13">
        <v>0.62638888888888888</v>
      </c>
    </row>
    <row r="143" spans="1:6">
      <c r="F143" s="1"/>
    </row>
    <row r="144" spans="1:6">
      <c r="F144" s="1"/>
    </row>
    <row r="145" spans="6:6">
      <c r="F145" s="1"/>
    </row>
    <row r="146" spans="6:6">
      <c r="F146" s="1"/>
    </row>
    <row r="147" spans="6:6">
      <c r="F147" s="1"/>
    </row>
    <row r="148" spans="6:6">
      <c r="F148" s="1"/>
    </row>
    <row r="149" spans="6:6">
      <c r="F149" s="1"/>
    </row>
    <row r="150" spans="6:6">
      <c r="F150" s="1"/>
    </row>
    <row r="151" spans="6:6">
      <c r="F151" s="1"/>
    </row>
    <row r="152" spans="6:6">
      <c r="F152" s="1"/>
    </row>
    <row r="153" spans="6:6">
      <c r="F153" s="1"/>
    </row>
    <row r="154" spans="6:6">
      <c r="F154" s="1"/>
    </row>
    <row r="155" spans="6:6">
      <c r="F155" s="1"/>
    </row>
    <row r="156" spans="6:6">
      <c r="F156" s="1"/>
    </row>
    <row r="157" spans="6:6">
      <c r="F157" s="1"/>
    </row>
    <row r="158" spans="6:6">
      <c r="F158" s="1"/>
    </row>
    <row r="159" spans="6:6">
      <c r="F159" s="1"/>
    </row>
    <row r="160" spans="6:6">
      <c r="F160" s="1"/>
    </row>
    <row r="161" spans="6:6">
      <c r="F161" s="1"/>
    </row>
    <row r="162" spans="6:6">
      <c r="F162" s="1"/>
    </row>
    <row r="163" spans="6:6">
      <c r="F163" s="1"/>
    </row>
  </sheetData>
  <autoFilter ref="B1:B163" xr:uid="{6625AFB0-F70C-41B4-855D-2D355A6B1787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43D4-A3B0-FD41-9B41-49B33DB4B468}">
  <dimension ref="A1:H142"/>
  <sheetViews>
    <sheetView zoomScale="248" workbookViewId="0">
      <selection activeCell="D40" sqref="D40"/>
    </sheetView>
  </sheetViews>
  <sheetFormatPr baseColWidth="10" defaultRowHeight="15"/>
  <sheetData>
    <row r="1" spans="1:8" ht="24">
      <c r="A1" s="2" t="s">
        <v>118</v>
      </c>
      <c r="B1" s="3" t="s">
        <v>119</v>
      </c>
      <c r="C1" s="3" t="s">
        <v>120</v>
      </c>
      <c r="D1" s="4" t="s">
        <v>121</v>
      </c>
      <c r="E1" s="4" t="s">
        <v>122</v>
      </c>
      <c r="F1" s="4" t="s">
        <v>123</v>
      </c>
      <c r="G1" s="4" t="s">
        <v>124</v>
      </c>
      <c r="H1" s="4" t="s">
        <v>125</v>
      </c>
    </row>
    <row r="2" spans="1:8">
      <c r="A2" s="5" t="s">
        <v>15</v>
      </c>
      <c r="B2" s="6">
        <v>0.35069444444444442</v>
      </c>
      <c r="C2" s="6">
        <v>0.3611111111111111</v>
      </c>
      <c r="D2" s="7">
        <v>48700</v>
      </c>
      <c r="E2" s="8">
        <v>15020</v>
      </c>
      <c r="F2" s="8">
        <v>33680</v>
      </c>
      <c r="G2" s="9" t="s">
        <v>126</v>
      </c>
      <c r="H2" s="9" t="s">
        <v>127</v>
      </c>
    </row>
    <row r="3" spans="1:8">
      <c r="A3" s="5" t="s">
        <v>14</v>
      </c>
      <c r="B3" s="6">
        <v>0.35138888888888886</v>
      </c>
      <c r="C3" s="6">
        <v>0.37013888888888891</v>
      </c>
      <c r="D3" s="7">
        <v>47770</v>
      </c>
      <c r="E3" s="8">
        <v>15360</v>
      </c>
      <c r="F3" s="8">
        <v>32410</v>
      </c>
      <c r="G3" s="9" t="s">
        <v>126</v>
      </c>
      <c r="H3" s="9" t="s">
        <v>127</v>
      </c>
    </row>
    <row r="4" spans="1:8">
      <c r="A4" s="5" t="s">
        <v>41</v>
      </c>
      <c r="B4" s="6">
        <v>0.3527777777777778</v>
      </c>
      <c r="C4" s="6">
        <v>0.37291666666666667</v>
      </c>
      <c r="D4" s="7">
        <v>50230</v>
      </c>
      <c r="E4" s="8">
        <v>15930</v>
      </c>
      <c r="F4" s="8">
        <v>34300</v>
      </c>
      <c r="G4" s="9" t="s">
        <v>126</v>
      </c>
      <c r="H4" s="9" t="s">
        <v>127</v>
      </c>
    </row>
    <row r="5" spans="1:8">
      <c r="A5" s="5" t="s">
        <v>42</v>
      </c>
      <c r="B5" s="6">
        <v>0.35208333333333336</v>
      </c>
      <c r="C5" s="6">
        <v>0.37430555555555556</v>
      </c>
      <c r="D5" s="7">
        <v>47660</v>
      </c>
      <c r="E5" s="8">
        <v>14980</v>
      </c>
      <c r="F5" s="8">
        <v>32680</v>
      </c>
      <c r="G5" s="9" t="s">
        <v>126</v>
      </c>
      <c r="H5" s="9" t="s">
        <v>127</v>
      </c>
    </row>
    <row r="6" spans="1:8">
      <c r="A6" s="5" t="s">
        <v>13</v>
      </c>
      <c r="B6" s="6">
        <v>0.35347222222222224</v>
      </c>
      <c r="C6" s="6">
        <v>0.40277777777777779</v>
      </c>
      <c r="D6" s="7">
        <v>48450</v>
      </c>
      <c r="E6" s="8">
        <v>15450</v>
      </c>
      <c r="F6" s="8">
        <v>33000</v>
      </c>
      <c r="G6" s="9" t="s">
        <v>126</v>
      </c>
      <c r="H6" s="9" t="s">
        <v>127</v>
      </c>
    </row>
    <row r="7" spans="1:8">
      <c r="A7" s="5" t="s">
        <v>16</v>
      </c>
      <c r="B7" s="6">
        <v>0.3527777777777778</v>
      </c>
      <c r="C7" s="6">
        <v>0.38055555555555554</v>
      </c>
      <c r="D7" s="7">
        <v>49310</v>
      </c>
      <c r="E7" s="8">
        <v>15380</v>
      </c>
      <c r="F7" s="8">
        <v>33930</v>
      </c>
      <c r="G7" s="9" t="s">
        <v>126</v>
      </c>
      <c r="H7" s="9" t="s">
        <v>127</v>
      </c>
    </row>
    <row r="8" spans="1:8">
      <c r="A8" s="5" t="s">
        <v>17</v>
      </c>
      <c r="B8" s="6">
        <v>0.35416666666666669</v>
      </c>
      <c r="C8" s="6">
        <v>0.38611111111111113</v>
      </c>
      <c r="D8" s="7">
        <v>51180</v>
      </c>
      <c r="E8" s="8">
        <v>15090</v>
      </c>
      <c r="F8" s="8">
        <v>36090</v>
      </c>
      <c r="G8" s="9" t="s">
        <v>126</v>
      </c>
      <c r="H8" s="9" t="s">
        <v>127</v>
      </c>
    </row>
    <row r="9" spans="1:8">
      <c r="A9" s="5" t="s">
        <v>7</v>
      </c>
      <c r="B9" s="6">
        <v>0.35486111111111113</v>
      </c>
      <c r="C9" s="6">
        <v>0.38819444444444445</v>
      </c>
      <c r="D9" s="7">
        <v>50620</v>
      </c>
      <c r="E9" s="8">
        <v>15330</v>
      </c>
      <c r="F9" s="8">
        <v>35290</v>
      </c>
      <c r="G9" s="9" t="s">
        <v>126</v>
      </c>
      <c r="H9" s="9" t="s">
        <v>127</v>
      </c>
    </row>
    <row r="10" spans="1:8">
      <c r="A10" s="5" t="s">
        <v>8</v>
      </c>
      <c r="B10" s="6">
        <v>0.35486111111111113</v>
      </c>
      <c r="C10" s="6">
        <v>0.39374999999999999</v>
      </c>
      <c r="D10" s="7">
        <v>50660</v>
      </c>
      <c r="E10" s="8">
        <v>15590</v>
      </c>
      <c r="F10" s="8">
        <v>35070</v>
      </c>
      <c r="G10" s="9" t="s">
        <v>126</v>
      </c>
      <c r="H10" s="9" t="s">
        <v>127</v>
      </c>
    </row>
    <row r="11" spans="1:8">
      <c r="A11" s="5" t="s">
        <v>11</v>
      </c>
      <c r="B11" s="6">
        <v>0.35555555555555557</v>
      </c>
      <c r="C11" s="6">
        <v>0.40069444444444446</v>
      </c>
      <c r="D11" s="7">
        <v>50530</v>
      </c>
      <c r="E11" s="8">
        <v>15730</v>
      </c>
      <c r="F11" s="8">
        <v>34800</v>
      </c>
      <c r="G11" s="9" t="s">
        <v>126</v>
      </c>
      <c r="H11" s="9" t="s">
        <v>127</v>
      </c>
    </row>
    <row r="12" spans="1:8">
      <c r="A12" s="5" t="s">
        <v>28</v>
      </c>
      <c r="B12" s="6">
        <v>0.39513888888888887</v>
      </c>
      <c r="C12" s="6">
        <v>0.40555555555555556</v>
      </c>
      <c r="D12" s="7">
        <v>48240</v>
      </c>
      <c r="E12" s="8">
        <v>13900</v>
      </c>
      <c r="F12" s="8">
        <v>34340</v>
      </c>
      <c r="G12" s="9" t="s">
        <v>126</v>
      </c>
      <c r="H12" s="9" t="s">
        <v>127</v>
      </c>
    </row>
    <row r="13" spans="1:8">
      <c r="A13" s="5" t="s">
        <v>9</v>
      </c>
      <c r="B13" s="6">
        <v>0.39513888888888887</v>
      </c>
      <c r="C13" s="6">
        <v>0.40694444444444444</v>
      </c>
      <c r="D13" s="7">
        <v>47000</v>
      </c>
      <c r="E13" s="8">
        <v>14080</v>
      </c>
      <c r="F13" s="8">
        <v>32920</v>
      </c>
      <c r="G13" s="9" t="s">
        <v>126</v>
      </c>
      <c r="H13" s="9" t="s">
        <v>127</v>
      </c>
    </row>
    <row r="14" spans="1:8">
      <c r="A14" s="5" t="s">
        <v>12</v>
      </c>
      <c r="B14" s="6">
        <v>0.39583333333333331</v>
      </c>
      <c r="C14" s="6">
        <v>0.40902777777777777</v>
      </c>
      <c r="D14" s="7">
        <v>48680</v>
      </c>
      <c r="E14" s="8">
        <v>15280</v>
      </c>
      <c r="F14" s="8">
        <v>33400</v>
      </c>
      <c r="G14" s="9" t="s">
        <v>126</v>
      </c>
      <c r="H14" s="9" t="s">
        <v>127</v>
      </c>
    </row>
    <row r="15" spans="1:8">
      <c r="A15" s="5" t="s">
        <v>10</v>
      </c>
      <c r="B15" s="6">
        <v>0.39583333333333331</v>
      </c>
      <c r="C15" s="6">
        <v>0.41180555555555554</v>
      </c>
      <c r="D15" s="7">
        <v>47250</v>
      </c>
      <c r="E15" s="8">
        <v>15090</v>
      </c>
      <c r="F15" s="8">
        <v>32160</v>
      </c>
      <c r="G15" s="9" t="s">
        <v>126</v>
      </c>
      <c r="H15" s="9" t="s">
        <v>127</v>
      </c>
    </row>
    <row r="16" spans="1:8">
      <c r="A16" s="5" t="s">
        <v>6</v>
      </c>
      <c r="B16" s="6">
        <v>0.39652777777777776</v>
      </c>
      <c r="C16" s="6">
        <v>0.41319444444444442</v>
      </c>
      <c r="D16" s="7">
        <v>47540</v>
      </c>
      <c r="E16" s="8">
        <v>14730</v>
      </c>
      <c r="F16" s="8">
        <v>32810</v>
      </c>
      <c r="G16" s="9" t="s">
        <v>126</v>
      </c>
      <c r="H16" s="9" t="s">
        <v>127</v>
      </c>
    </row>
    <row r="17" spans="1:8">
      <c r="A17" s="5" t="s">
        <v>20</v>
      </c>
      <c r="B17" s="6">
        <v>0.41388888888888886</v>
      </c>
      <c r="C17" s="6">
        <v>0.41944444444444445</v>
      </c>
      <c r="D17" s="7">
        <v>49010</v>
      </c>
      <c r="E17" s="8">
        <v>15420</v>
      </c>
      <c r="F17" s="8">
        <v>33590</v>
      </c>
      <c r="G17" s="9" t="s">
        <v>126</v>
      </c>
      <c r="H17" s="9" t="s">
        <v>127</v>
      </c>
    </row>
    <row r="18" spans="1:8">
      <c r="A18" s="5" t="s">
        <v>19</v>
      </c>
      <c r="B18" s="6">
        <v>0.4152777777777778</v>
      </c>
      <c r="C18" s="6">
        <v>0.42291666666666666</v>
      </c>
      <c r="D18" s="7">
        <v>48120</v>
      </c>
      <c r="E18" s="8">
        <v>15390</v>
      </c>
      <c r="F18" s="8">
        <v>32730</v>
      </c>
      <c r="G18" s="9" t="s">
        <v>126</v>
      </c>
      <c r="H18" s="9" t="s">
        <v>127</v>
      </c>
    </row>
    <row r="19" spans="1:8">
      <c r="A19" s="5" t="s">
        <v>29</v>
      </c>
      <c r="B19" s="6">
        <v>0.41736111111111113</v>
      </c>
      <c r="C19" s="6">
        <v>0.4236111111111111</v>
      </c>
      <c r="D19" s="7">
        <v>49810</v>
      </c>
      <c r="E19" s="8">
        <v>14790</v>
      </c>
      <c r="F19" s="8">
        <v>35020</v>
      </c>
      <c r="G19" s="9" t="s">
        <v>126</v>
      </c>
      <c r="H19" s="9" t="s">
        <v>127</v>
      </c>
    </row>
    <row r="20" spans="1:8">
      <c r="A20" s="5" t="s">
        <v>26</v>
      </c>
      <c r="B20" s="6">
        <v>0.41597222222222224</v>
      </c>
      <c r="C20" s="6">
        <v>0.42708333333333331</v>
      </c>
      <c r="D20" s="7">
        <v>51770</v>
      </c>
      <c r="E20" s="8">
        <v>14440</v>
      </c>
      <c r="F20" s="8">
        <v>37330</v>
      </c>
      <c r="G20" s="9" t="s">
        <v>126</v>
      </c>
      <c r="H20" s="9" t="s">
        <v>127</v>
      </c>
    </row>
    <row r="21" spans="1:8">
      <c r="A21" s="5" t="s">
        <v>25</v>
      </c>
      <c r="B21" s="6">
        <v>0.41597222222222224</v>
      </c>
      <c r="C21" s="6">
        <v>0.43055555555555558</v>
      </c>
      <c r="D21" s="7">
        <v>47670</v>
      </c>
      <c r="E21" s="8">
        <v>14430</v>
      </c>
      <c r="F21" s="8">
        <v>33240</v>
      </c>
      <c r="G21" s="9" t="s">
        <v>126</v>
      </c>
      <c r="H21" s="9" t="s">
        <v>127</v>
      </c>
    </row>
    <row r="22" spans="1:8">
      <c r="A22" s="5" t="s">
        <v>18</v>
      </c>
      <c r="B22" s="6">
        <v>0.41666666666666669</v>
      </c>
      <c r="C22" s="6">
        <v>0.43194444444444446</v>
      </c>
      <c r="D22" s="7">
        <v>48490</v>
      </c>
      <c r="E22" s="8">
        <v>14690</v>
      </c>
      <c r="F22" s="8">
        <v>33800</v>
      </c>
      <c r="G22" s="9" t="s">
        <v>126</v>
      </c>
      <c r="H22" s="9" t="s">
        <v>127</v>
      </c>
    </row>
    <row r="23" spans="1:8">
      <c r="A23" s="5" t="s">
        <v>22</v>
      </c>
      <c r="B23" s="6">
        <v>0.42569444444444443</v>
      </c>
      <c r="C23" s="6">
        <v>0.43680555555555556</v>
      </c>
      <c r="D23" s="7">
        <v>49170</v>
      </c>
      <c r="E23" s="8">
        <v>15760</v>
      </c>
      <c r="F23" s="8">
        <v>33410</v>
      </c>
      <c r="G23" s="9" t="s">
        <v>126</v>
      </c>
      <c r="H23" s="9" t="s">
        <v>127</v>
      </c>
    </row>
    <row r="24" spans="1:8">
      <c r="A24" s="5" t="s">
        <v>21</v>
      </c>
      <c r="B24" s="6">
        <v>0.41736111111111113</v>
      </c>
      <c r="C24" s="6">
        <v>0.43888888888888888</v>
      </c>
      <c r="D24" s="7">
        <v>49980</v>
      </c>
      <c r="E24" s="8">
        <v>16080</v>
      </c>
      <c r="F24" s="8">
        <v>33900</v>
      </c>
      <c r="G24" s="9" t="s">
        <v>126</v>
      </c>
      <c r="H24" s="9" t="s">
        <v>127</v>
      </c>
    </row>
    <row r="25" spans="1:8">
      <c r="A25" s="5" t="s">
        <v>24</v>
      </c>
      <c r="B25" s="6">
        <v>0.42499999999999999</v>
      </c>
      <c r="C25" s="6">
        <v>0.44236111111111109</v>
      </c>
      <c r="D25" s="7">
        <v>49890</v>
      </c>
      <c r="E25" s="8">
        <v>15460</v>
      </c>
      <c r="F25" s="8">
        <v>34430</v>
      </c>
      <c r="G25" s="9" t="s">
        <v>126</v>
      </c>
      <c r="H25" s="9" t="s">
        <v>127</v>
      </c>
    </row>
    <row r="26" spans="1:8">
      <c r="A26" s="5" t="s">
        <v>23</v>
      </c>
      <c r="B26" s="6">
        <v>0.42569444444444443</v>
      </c>
      <c r="C26" s="6">
        <v>0.44513888888888886</v>
      </c>
      <c r="D26" s="7">
        <v>49660</v>
      </c>
      <c r="E26" s="8">
        <v>15730</v>
      </c>
      <c r="F26" s="8">
        <v>33930</v>
      </c>
      <c r="G26" s="9" t="s">
        <v>126</v>
      </c>
      <c r="H26" s="9" t="s">
        <v>127</v>
      </c>
    </row>
    <row r="27" spans="1:8">
      <c r="A27" s="5" t="s">
        <v>51</v>
      </c>
      <c r="B27" s="6">
        <v>0.43333333333333335</v>
      </c>
      <c r="C27" s="6">
        <v>0.44722222222222224</v>
      </c>
      <c r="D27" s="7">
        <v>49810</v>
      </c>
      <c r="E27" s="8">
        <v>13370</v>
      </c>
      <c r="F27" s="8">
        <v>36440</v>
      </c>
      <c r="G27" s="9" t="s">
        <v>126</v>
      </c>
      <c r="H27" s="9" t="s">
        <v>127</v>
      </c>
    </row>
    <row r="28" spans="1:8">
      <c r="A28" s="5" t="s">
        <v>50</v>
      </c>
      <c r="B28" s="6">
        <v>0.43402777777777779</v>
      </c>
      <c r="C28" s="6">
        <v>0.45</v>
      </c>
      <c r="D28" s="7">
        <v>44400</v>
      </c>
      <c r="E28" s="8">
        <v>12850</v>
      </c>
      <c r="F28" s="8">
        <v>31550</v>
      </c>
      <c r="G28" s="9" t="s">
        <v>126</v>
      </c>
      <c r="H28" s="9" t="s">
        <v>127</v>
      </c>
    </row>
    <row r="29" spans="1:8">
      <c r="A29" s="5" t="s">
        <v>52</v>
      </c>
      <c r="B29" s="6">
        <v>0.43402777777777779</v>
      </c>
      <c r="C29" s="6">
        <v>0.4513888888888889</v>
      </c>
      <c r="D29" s="7">
        <v>48380</v>
      </c>
      <c r="E29" s="8">
        <v>12630</v>
      </c>
      <c r="F29" s="8">
        <v>35750</v>
      </c>
      <c r="G29" s="9" t="s">
        <v>126</v>
      </c>
      <c r="H29" s="9" t="s">
        <v>127</v>
      </c>
    </row>
    <row r="30" spans="1:8">
      <c r="A30" s="5" t="s">
        <v>27</v>
      </c>
      <c r="B30" s="6">
        <v>0.44374999999999998</v>
      </c>
      <c r="C30" s="6">
        <v>0.45694444444444443</v>
      </c>
      <c r="D30" s="7">
        <v>48710</v>
      </c>
      <c r="E30" s="8">
        <v>15170</v>
      </c>
      <c r="F30" s="8">
        <v>33540</v>
      </c>
      <c r="G30" s="9" t="s">
        <v>126</v>
      </c>
      <c r="H30" s="9" t="s">
        <v>127</v>
      </c>
    </row>
    <row r="31" spans="1:8">
      <c r="A31" s="5" t="s">
        <v>30</v>
      </c>
      <c r="B31" s="6">
        <v>0.44374999999999998</v>
      </c>
      <c r="C31" s="6">
        <v>0.45763888888888887</v>
      </c>
      <c r="D31" s="7">
        <v>49820</v>
      </c>
      <c r="E31" s="8">
        <v>15360</v>
      </c>
      <c r="F31" s="8">
        <v>34460</v>
      </c>
      <c r="G31" s="9" t="s">
        <v>126</v>
      </c>
      <c r="H31" s="9" t="s">
        <v>127</v>
      </c>
    </row>
    <row r="32" spans="1:8">
      <c r="A32" s="5" t="s">
        <v>35</v>
      </c>
      <c r="B32" s="6">
        <v>0.45277777777777778</v>
      </c>
      <c r="C32" s="6">
        <v>0.46180555555555558</v>
      </c>
      <c r="D32" s="7">
        <v>49960</v>
      </c>
      <c r="E32" s="8">
        <v>14190</v>
      </c>
      <c r="F32" s="8">
        <v>35770</v>
      </c>
      <c r="G32" s="9" t="s">
        <v>126</v>
      </c>
      <c r="H32" s="9" t="s">
        <v>127</v>
      </c>
    </row>
    <row r="33" spans="1:8">
      <c r="A33" s="5" t="s">
        <v>33</v>
      </c>
      <c r="B33" s="6">
        <v>0.44444444444444442</v>
      </c>
      <c r="C33" s="6">
        <v>0.46527777777777779</v>
      </c>
      <c r="D33" s="7">
        <v>63070</v>
      </c>
      <c r="E33" s="8">
        <v>19440</v>
      </c>
      <c r="F33" s="8">
        <v>43630</v>
      </c>
      <c r="G33" s="9" t="s">
        <v>126</v>
      </c>
      <c r="H33" s="9" t="s">
        <v>127</v>
      </c>
    </row>
    <row r="34" spans="1:8">
      <c r="A34" s="5" t="s">
        <v>36</v>
      </c>
      <c r="B34" s="6">
        <v>0.45347222222222222</v>
      </c>
      <c r="C34" s="6">
        <v>0.46666666666666667</v>
      </c>
      <c r="D34" s="7">
        <v>51730</v>
      </c>
      <c r="E34" s="8">
        <v>15720</v>
      </c>
      <c r="F34" s="8">
        <v>36010</v>
      </c>
      <c r="G34" s="9" t="s">
        <v>126</v>
      </c>
      <c r="H34" s="9" t="s">
        <v>127</v>
      </c>
    </row>
    <row r="35" spans="1:8">
      <c r="A35" s="5" t="s">
        <v>37</v>
      </c>
      <c r="B35" s="6">
        <v>0.45416666666666666</v>
      </c>
      <c r="C35" s="6">
        <v>0.47013888888888888</v>
      </c>
      <c r="D35" s="7">
        <v>50100</v>
      </c>
      <c r="E35" s="8">
        <v>15980</v>
      </c>
      <c r="F35" s="8">
        <v>34120</v>
      </c>
      <c r="G35" s="9" t="s">
        <v>126</v>
      </c>
      <c r="H35" s="9" t="s">
        <v>127</v>
      </c>
    </row>
    <row r="36" spans="1:8">
      <c r="A36" s="5" t="s">
        <v>32</v>
      </c>
      <c r="B36" s="6">
        <v>0.45416666666666666</v>
      </c>
      <c r="C36" s="6">
        <v>0.47152777777777777</v>
      </c>
      <c r="D36" s="7">
        <v>49570</v>
      </c>
      <c r="E36" s="8">
        <v>15100</v>
      </c>
      <c r="F36" s="8">
        <v>34470</v>
      </c>
      <c r="G36" s="9" t="s">
        <v>126</v>
      </c>
      <c r="H36" s="9" t="s">
        <v>127</v>
      </c>
    </row>
    <row r="37" spans="1:8">
      <c r="A37" s="5" t="s">
        <v>31</v>
      </c>
      <c r="B37" s="6">
        <v>0.4548611111111111</v>
      </c>
      <c r="C37" s="6">
        <v>0.47569444444444442</v>
      </c>
      <c r="D37" s="7">
        <v>49200</v>
      </c>
      <c r="E37" s="8">
        <v>14840</v>
      </c>
      <c r="F37" s="8">
        <v>34360</v>
      </c>
      <c r="G37" s="9" t="s">
        <v>126</v>
      </c>
      <c r="H37" s="9" t="s">
        <v>127</v>
      </c>
    </row>
    <row r="38" spans="1:8">
      <c r="A38" s="5" t="s">
        <v>39</v>
      </c>
      <c r="B38" s="6">
        <v>0.46319444444444446</v>
      </c>
      <c r="C38" s="6">
        <v>0.4777777777777778</v>
      </c>
      <c r="D38" s="7">
        <v>49570</v>
      </c>
      <c r="E38" s="8">
        <v>13820</v>
      </c>
      <c r="F38" s="8">
        <v>35750</v>
      </c>
      <c r="G38" s="9" t="s">
        <v>126</v>
      </c>
      <c r="H38" s="9" t="s">
        <v>127</v>
      </c>
    </row>
    <row r="39" spans="1:8">
      <c r="A39" s="5" t="s">
        <v>40</v>
      </c>
      <c r="B39" s="6">
        <v>0.46388888888888891</v>
      </c>
      <c r="C39" s="6">
        <v>0.47986111111111113</v>
      </c>
      <c r="D39" s="7">
        <v>49410</v>
      </c>
      <c r="E39" s="8">
        <v>14510</v>
      </c>
      <c r="F39" s="8">
        <v>34900</v>
      </c>
      <c r="G39" s="9" t="s">
        <v>126</v>
      </c>
      <c r="H39" s="9" t="s">
        <v>127</v>
      </c>
    </row>
    <row r="40" spans="1:8">
      <c r="A40" s="5" t="s">
        <v>128</v>
      </c>
      <c r="B40" s="6">
        <v>0.46458333333333335</v>
      </c>
      <c r="C40" s="6">
        <v>0.4826388888888889</v>
      </c>
      <c r="D40" s="7">
        <v>47800</v>
      </c>
      <c r="E40" s="8">
        <v>14780</v>
      </c>
      <c r="F40" s="8">
        <v>33020</v>
      </c>
      <c r="G40" s="9" t="s">
        <v>126</v>
      </c>
      <c r="H40" s="9" t="s">
        <v>127</v>
      </c>
    </row>
    <row r="41" spans="1:8">
      <c r="A41" s="5" t="s">
        <v>38</v>
      </c>
      <c r="B41" s="6">
        <v>0.46388888888888891</v>
      </c>
      <c r="C41" s="6">
        <v>0.48402777777777778</v>
      </c>
      <c r="D41" s="7">
        <v>51880</v>
      </c>
      <c r="E41" s="8">
        <v>15240</v>
      </c>
      <c r="F41" s="8">
        <v>36640</v>
      </c>
      <c r="G41" s="9" t="s">
        <v>126</v>
      </c>
      <c r="H41" s="9" t="s">
        <v>127</v>
      </c>
    </row>
    <row r="42" spans="1:8">
      <c r="A42" s="5" t="s">
        <v>45</v>
      </c>
      <c r="B42" s="6">
        <v>0.47291666666666665</v>
      </c>
      <c r="C42" s="6">
        <v>0.48749999999999999</v>
      </c>
      <c r="D42" s="7">
        <v>47120</v>
      </c>
      <c r="E42" s="8">
        <v>15100</v>
      </c>
      <c r="F42" s="8">
        <v>32020</v>
      </c>
      <c r="G42" s="9" t="s">
        <v>126</v>
      </c>
      <c r="H42" s="9" t="s">
        <v>127</v>
      </c>
    </row>
    <row r="43" spans="1:8">
      <c r="A43" s="5" t="s">
        <v>44</v>
      </c>
      <c r="B43" s="6">
        <v>0.47291666666666665</v>
      </c>
      <c r="C43" s="6">
        <v>0.48888888888888887</v>
      </c>
      <c r="D43" s="7">
        <v>50320</v>
      </c>
      <c r="E43" s="8">
        <v>15460</v>
      </c>
      <c r="F43" s="8">
        <v>34860</v>
      </c>
      <c r="G43" s="9" t="s">
        <v>126</v>
      </c>
      <c r="H43" s="9" t="s">
        <v>127</v>
      </c>
    </row>
    <row r="44" spans="1:8">
      <c r="A44" s="5" t="s">
        <v>43</v>
      </c>
      <c r="B44" s="6">
        <v>0.47361111111111109</v>
      </c>
      <c r="C44" s="6">
        <v>0.49166666666666664</v>
      </c>
      <c r="D44" s="7">
        <v>50040</v>
      </c>
      <c r="E44" s="8">
        <v>15430</v>
      </c>
      <c r="F44" s="8">
        <v>34610</v>
      </c>
      <c r="G44" s="9" t="s">
        <v>126</v>
      </c>
      <c r="H44" s="9" t="s">
        <v>127</v>
      </c>
    </row>
    <row r="45" spans="1:8">
      <c r="A45" s="5" t="s">
        <v>54</v>
      </c>
      <c r="B45" s="6">
        <v>0.48541666666666666</v>
      </c>
      <c r="C45" s="6">
        <v>0.49444444444444446</v>
      </c>
      <c r="D45" s="7">
        <v>49130</v>
      </c>
      <c r="E45" s="8">
        <v>14860</v>
      </c>
      <c r="F45" s="8">
        <v>34270</v>
      </c>
      <c r="G45" s="9" t="s">
        <v>126</v>
      </c>
      <c r="H45" s="9" t="s">
        <v>127</v>
      </c>
    </row>
    <row r="46" spans="1:8">
      <c r="A46" s="5" t="s">
        <v>55</v>
      </c>
      <c r="B46" s="6">
        <v>0.47361111111111109</v>
      </c>
      <c r="C46" s="6">
        <v>0.50138888888888888</v>
      </c>
      <c r="D46" s="7">
        <v>87560</v>
      </c>
      <c r="E46" s="8">
        <v>23220</v>
      </c>
      <c r="F46" s="8">
        <v>64340</v>
      </c>
      <c r="G46" s="9" t="s">
        <v>126</v>
      </c>
      <c r="H46" s="9" t="s">
        <v>127</v>
      </c>
    </row>
    <row r="47" spans="1:8">
      <c r="A47" s="5" t="s">
        <v>58</v>
      </c>
      <c r="B47" s="6">
        <v>0.48541666666666666</v>
      </c>
      <c r="C47" s="6">
        <v>0.55833333333333335</v>
      </c>
      <c r="D47" s="7">
        <v>82640</v>
      </c>
      <c r="E47" s="8">
        <v>25900</v>
      </c>
      <c r="F47" s="8">
        <v>56740</v>
      </c>
      <c r="G47" s="9" t="s">
        <v>126</v>
      </c>
      <c r="H47" s="9" t="s">
        <v>127</v>
      </c>
    </row>
    <row r="48" spans="1:8">
      <c r="A48" s="5" t="s">
        <v>112</v>
      </c>
      <c r="B48" s="6">
        <v>0.54722222222222228</v>
      </c>
      <c r="C48" s="6">
        <v>0.55763888888888891</v>
      </c>
      <c r="D48" s="7">
        <v>80870</v>
      </c>
      <c r="E48" s="8">
        <v>25840</v>
      </c>
      <c r="F48" s="8">
        <v>55030</v>
      </c>
      <c r="G48" s="9" t="s">
        <v>126</v>
      </c>
      <c r="H48" s="9" t="s">
        <v>127</v>
      </c>
    </row>
    <row r="49" spans="1:8">
      <c r="A49" s="5" t="s">
        <v>57</v>
      </c>
      <c r="B49" s="6">
        <v>0.4861111111111111</v>
      </c>
      <c r="C49" s="6">
        <v>0.56874999999999998</v>
      </c>
      <c r="D49" s="7">
        <v>84460</v>
      </c>
      <c r="E49" s="8">
        <v>26680</v>
      </c>
      <c r="F49" s="8">
        <v>57780</v>
      </c>
      <c r="G49" s="9" t="s">
        <v>126</v>
      </c>
      <c r="H49" s="9" t="s">
        <v>127</v>
      </c>
    </row>
    <row r="50" spans="1:8">
      <c r="A50" s="5" t="s">
        <v>113</v>
      </c>
      <c r="B50" s="6">
        <v>0.54791666666666672</v>
      </c>
      <c r="C50" s="6">
        <v>0.5708333333333333</v>
      </c>
      <c r="D50" s="7">
        <v>81360</v>
      </c>
      <c r="E50" s="8">
        <v>25970</v>
      </c>
      <c r="F50" s="8">
        <v>55390</v>
      </c>
      <c r="G50" s="9" t="s">
        <v>126</v>
      </c>
      <c r="H50" s="9" t="s">
        <v>127</v>
      </c>
    </row>
    <row r="51" spans="1:8">
      <c r="A51" s="5" t="s">
        <v>53</v>
      </c>
      <c r="B51" s="6">
        <v>0.5493055555555556</v>
      </c>
      <c r="C51" s="6">
        <v>0.57777777777777772</v>
      </c>
      <c r="D51" s="7">
        <v>81100</v>
      </c>
      <c r="E51" s="8">
        <v>26040</v>
      </c>
      <c r="F51" s="8">
        <v>55060</v>
      </c>
      <c r="G51" s="9" t="s">
        <v>126</v>
      </c>
      <c r="H51" s="9" t="s">
        <v>127</v>
      </c>
    </row>
    <row r="52" spans="1:8">
      <c r="A52" s="5" t="s">
        <v>114</v>
      </c>
      <c r="B52" s="6">
        <v>0.54861111111111116</v>
      </c>
      <c r="C52" s="6">
        <v>0.57916666666666672</v>
      </c>
      <c r="D52" s="7">
        <v>84500</v>
      </c>
      <c r="E52" s="8">
        <v>25920</v>
      </c>
      <c r="F52" s="8">
        <v>58580</v>
      </c>
      <c r="G52" s="9" t="s">
        <v>126</v>
      </c>
      <c r="H52" s="9" t="s">
        <v>127</v>
      </c>
    </row>
    <row r="53" spans="1:8">
      <c r="A53" s="5" t="s">
        <v>77</v>
      </c>
      <c r="B53" s="6">
        <v>0.5493055555555556</v>
      </c>
      <c r="C53" s="6">
        <v>0.5805555555555556</v>
      </c>
      <c r="D53" s="7">
        <v>47720</v>
      </c>
      <c r="E53" s="8">
        <v>13020</v>
      </c>
      <c r="F53" s="8">
        <v>34700</v>
      </c>
      <c r="G53" s="9" t="s">
        <v>126</v>
      </c>
      <c r="H53" s="9" t="s">
        <v>127</v>
      </c>
    </row>
    <row r="54" spans="1:8">
      <c r="A54" s="5" t="s">
        <v>73</v>
      </c>
      <c r="B54" s="6">
        <v>0.55000000000000004</v>
      </c>
      <c r="C54" s="6">
        <v>0.58402777777777781</v>
      </c>
      <c r="D54" s="7">
        <v>44730</v>
      </c>
      <c r="E54" s="8">
        <v>13210</v>
      </c>
      <c r="F54" s="8">
        <v>31520</v>
      </c>
      <c r="G54" s="9" t="s">
        <v>126</v>
      </c>
      <c r="H54" s="9" t="s">
        <v>127</v>
      </c>
    </row>
    <row r="55" spans="1:8">
      <c r="A55" s="5" t="s">
        <v>71</v>
      </c>
      <c r="B55" s="6">
        <v>0.55000000000000004</v>
      </c>
      <c r="C55" s="6">
        <v>0.58472222222222225</v>
      </c>
      <c r="D55" s="7">
        <v>47710</v>
      </c>
      <c r="E55" s="8">
        <v>13790</v>
      </c>
      <c r="F55" s="8">
        <v>33920</v>
      </c>
      <c r="G55" s="9" t="s">
        <v>126</v>
      </c>
      <c r="H55" s="9" t="s">
        <v>127</v>
      </c>
    </row>
    <row r="56" spans="1:8">
      <c r="A56" s="5" t="s">
        <v>70</v>
      </c>
      <c r="B56" s="6">
        <v>0.55069444444444449</v>
      </c>
      <c r="C56" s="6">
        <v>0.58611111111111114</v>
      </c>
      <c r="D56" s="7">
        <v>43630</v>
      </c>
      <c r="E56" s="8">
        <v>13210</v>
      </c>
      <c r="F56" s="8">
        <v>30420</v>
      </c>
      <c r="G56" s="9" t="s">
        <v>126</v>
      </c>
      <c r="H56" s="9" t="s">
        <v>127</v>
      </c>
    </row>
    <row r="57" spans="1:8">
      <c r="A57" s="5" t="s">
        <v>75</v>
      </c>
      <c r="B57" s="6">
        <v>0.55069444444444449</v>
      </c>
      <c r="C57" s="6">
        <v>0.58680555555555558</v>
      </c>
      <c r="D57" s="7">
        <v>45070</v>
      </c>
      <c r="E57" s="8">
        <v>13530</v>
      </c>
      <c r="F57" s="8">
        <v>31540</v>
      </c>
      <c r="G57" s="9" t="s">
        <v>126</v>
      </c>
      <c r="H57" s="9" t="s">
        <v>127</v>
      </c>
    </row>
    <row r="58" spans="1:8">
      <c r="A58" s="5" t="s">
        <v>74</v>
      </c>
      <c r="B58" s="6">
        <v>0.55138888888888893</v>
      </c>
      <c r="C58" s="6">
        <v>0.59166666666666667</v>
      </c>
      <c r="D58" s="7">
        <v>46840</v>
      </c>
      <c r="E58" s="8">
        <v>13120</v>
      </c>
      <c r="F58" s="8">
        <v>33720</v>
      </c>
      <c r="G58" s="9" t="s">
        <v>126</v>
      </c>
      <c r="H58" s="9" t="s">
        <v>127</v>
      </c>
    </row>
    <row r="59" spans="1:8">
      <c r="A59" s="5" t="s">
        <v>72</v>
      </c>
      <c r="B59" s="6">
        <v>0.58194444444444449</v>
      </c>
      <c r="C59" s="6">
        <v>0.59236111111111112</v>
      </c>
      <c r="D59" s="7">
        <v>50760</v>
      </c>
      <c r="E59" s="8">
        <v>13880</v>
      </c>
      <c r="F59" s="8">
        <v>36880</v>
      </c>
      <c r="G59" s="9" t="s">
        <v>126</v>
      </c>
      <c r="H59" s="9" t="s">
        <v>127</v>
      </c>
    </row>
    <row r="60" spans="1:8">
      <c r="A60" s="5" t="s">
        <v>49</v>
      </c>
      <c r="B60" s="6">
        <v>0.58194444444444449</v>
      </c>
      <c r="C60" s="6">
        <v>0.59375</v>
      </c>
      <c r="D60" s="7">
        <v>48240</v>
      </c>
      <c r="E60" s="8">
        <v>14800</v>
      </c>
      <c r="F60" s="8">
        <v>33440</v>
      </c>
      <c r="G60" s="9" t="s">
        <v>126</v>
      </c>
      <c r="H60" s="9" t="s">
        <v>127</v>
      </c>
    </row>
    <row r="61" spans="1:8">
      <c r="A61" s="5" t="s">
        <v>48</v>
      </c>
      <c r="B61" s="6">
        <v>0.58263888888888893</v>
      </c>
      <c r="C61" s="6">
        <v>0.59513888888888888</v>
      </c>
      <c r="D61" s="7">
        <v>84460</v>
      </c>
      <c r="E61" s="8">
        <v>25890</v>
      </c>
      <c r="F61" s="8">
        <v>58570</v>
      </c>
      <c r="G61" s="9" t="s">
        <v>126</v>
      </c>
      <c r="H61" s="9" t="s">
        <v>127</v>
      </c>
    </row>
    <row r="62" spans="1:8">
      <c r="A62" s="5" t="s">
        <v>47</v>
      </c>
      <c r="B62" s="6">
        <v>0.58888888888888891</v>
      </c>
      <c r="C62" s="6">
        <v>0.60138888888888886</v>
      </c>
      <c r="D62" s="7">
        <v>90700</v>
      </c>
      <c r="E62" s="8">
        <v>23730</v>
      </c>
      <c r="F62" s="8">
        <v>66970</v>
      </c>
      <c r="G62" s="9" t="s">
        <v>126</v>
      </c>
      <c r="H62" s="9" t="s">
        <v>127</v>
      </c>
    </row>
    <row r="63" spans="1:8">
      <c r="A63" s="5" t="s">
        <v>46</v>
      </c>
      <c r="B63" s="6">
        <v>0.58888888888888891</v>
      </c>
      <c r="C63" s="6">
        <v>0.60277777777777775</v>
      </c>
      <c r="D63" s="7">
        <v>83850</v>
      </c>
      <c r="E63" s="8">
        <v>25790</v>
      </c>
      <c r="F63" s="8">
        <v>58060</v>
      </c>
      <c r="G63" s="9" t="s">
        <v>126</v>
      </c>
      <c r="H63" s="9" t="s">
        <v>127</v>
      </c>
    </row>
    <row r="64" spans="1:8">
      <c r="A64" s="5" t="s">
        <v>111</v>
      </c>
      <c r="B64" s="6">
        <v>0.59027777777777779</v>
      </c>
      <c r="C64" s="6">
        <v>0.60902777777777772</v>
      </c>
      <c r="D64" s="7">
        <v>89090</v>
      </c>
      <c r="E64" s="8">
        <v>25700</v>
      </c>
      <c r="F64" s="8">
        <v>63390</v>
      </c>
      <c r="G64" s="9" t="s">
        <v>126</v>
      </c>
      <c r="H64" s="9" t="s">
        <v>127</v>
      </c>
    </row>
    <row r="65" spans="1:8">
      <c r="A65" s="5" t="s">
        <v>56</v>
      </c>
      <c r="B65" s="6">
        <v>0.58958333333333335</v>
      </c>
      <c r="C65" s="6">
        <v>0.61458333333333337</v>
      </c>
      <c r="D65" s="7">
        <v>81670</v>
      </c>
      <c r="E65" s="8">
        <v>29620</v>
      </c>
      <c r="F65" s="8">
        <v>52050</v>
      </c>
      <c r="G65" s="9" t="s">
        <v>126</v>
      </c>
      <c r="H65" s="9" t="s">
        <v>127</v>
      </c>
    </row>
    <row r="66" spans="1:8">
      <c r="A66" s="5" t="s">
        <v>94</v>
      </c>
      <c r="B66" s="6">
        <v>0.59652777777777777</v>
      </c>
      <c r="C66" s="6">
        <v>0.61597222222222225</v>
      </c>
      <c r="D66" s="7">
        <v>53120</v>
      </c>
      <c r="E66" s="8">
        <v>14730</v>
      </c>
      <c r="F66" s="8">
        <v>38390</v>
      </c>
      <c r="G66" s="9" t="s">
        <v>126</v>
      </c>
      <c r="H66" s="9" t="s">
        <v>127</v>
      </c>
    </row>
    <row r="67" spans="1:8">
      <c r="A67" s="5" t="s">
        <v>97</v>
      </c>
      <c r="B67" s="6">
        <v>0.59027777777777779</v>
      </c>
      <c r="C67" s="6">
        <v>0.61736111111111114</v>
      </c>
      <c r="D67" s="7">
        <v>49470</v>
      </c>
      <c r="E67" s="8">
        <v>13900</v>
      </c>
      <c r="F67" s="8">
        <v>35570</v>
      </c>
      <c r="G67" s="9" t="s">
        <v>126</v>
      </c>
      <c r="H67" s="9" t="s">
        <v>127</v>
      </c>
    </row>
    <row r="68" spans="1:8">
      <c r="A68" s="5" t="s">
        <v>93</v>
      </c>
      <c r="B68" s="6">
        <v>0.59097222222222223</v>
      </c>
      <c r="C68" s="6">
        <v>0.61875000000000002</v>
      </c>
      <c r="D68" s="7">
        <v>50890</v>
      </c>
      <c r="E68" s="8">
        <v>14710</v>
      </c>
      <c r="F68" s="8">
        <v>36180</v>
      </c>
      <c r="G68" s="9" t="s">
        <v>126</v>
      </c>
      <c r="H68" s="9" t="s">
        <v>127</v>
      </c>
    </row>
    <row r="69" spans="1:8">
      <c r="A69" s="5" t="s">
        <v>59</v>
      </c>
      <c r="B69" s="6">
        <v>0.59722222222222221</v>
      </c>
      <c r="C69" s="6">
        <v>0.61944444444444446</v>
      </c>
      <c r="D69" s="7">
        <v>49430</v>
      </c>
      <c r="E69" s="8">
        <v>14970</v>
      </c>
      <c r="F69" s="8">
        <v>34460</v>
      </c>
      <c r="G69" s="9" t="s">
        <v>126</v>
      </c>
      <c r="H69" s="9" t="s">
        <v>127</v>
      </c>
    </row>
    <row r="70" spans="1:8">
      <c r="A70" s="5" t="s">
        <v>96</v>
      </c>
      <c r="B70" s="6">
        <v>0.59722222222222221</v>
      </c>
      <c r="C70" s="6">
        <v>0.62152777777777779</v>
      </c>
      <c r="D70" s="7">
        <v>53100</v>
      </c>
      <c r="E70" s="8">
        <v>15640</v>
      </c>
      <c r="F70" s="8">
        <v>37460</v>
      </c>
      <c r="G70" s="9" t="s">
        <v>126</v>
      </c>
      <c r="H70" s="9" t="s">
        <v>127</v>
      </c>
    </row>
    <row r="71" spans="1:8">
      <c r="A71" s="5" t="s">
        <v>83</v>
      </c>
      <c r="B71" s="6">
        <v>0.6118055555555556</v>
      </c>
      <c r="C71" s="6">
        <v>0.62291666666666667</v>
      </c>
      <c r="D71" s="7">
        <v>48670</v>
      </c>
      <c r="E71" s="8">
        <v>13640</v>
      </c>
      <c r="F71" s="8">
        <v>35030</v>
      </c>
      <c r="G71" s="9" t="s">
        <v>126</v>
      </c>
      <c r="H71" s="9" t="s">
        <v>127</v>
      </c>
    </row>
    <row r="72" spans="1:8">
      <c r="A72" s="5" t="s">
        <v>109</v>
      </c>
      <c r="B72" s="6">
        <v>0.61041666666666672</v>
      </c>
      <c r="C72" s="6">
        <v>0.62361111111111112</v>
      </c>
      <c r="D72" s="7">
        <v>49710</v>
      </c>
      <c r="E72" s="8">
        <v>14850</v>
      </c>
      <c r="F72" s="8">
        <v>34860</v>
      </c>
      <c r="G72" s="9" t="s">
        <v>126</v>
      </c>
      <c r="H72" s="9" t="s">
        <v>127</v>
      </c>
    </row>
    <row r="73" spans="1:8">
      <c r="A73" s="5" t="s">
        <v>116</v>
      </c>
      <c r="B73" s="6">
        <v>0.61111111111111116</v>
      </c>
      <c r="C73" s="6">
        <v>0.625</v>
      </c>
      <c r="D73" s="7">
        <v>88790</v>
      </c>
      <c r="E73" s="8">
        <v>26130</v>
      </c>
      <c r="F73" s="8">
        <v>62660</v>
      </c>
      <c r="G73" s="9" t="s">
        <v>126</v>
      </c>
      <c r="H73" s="9" t="s">
        <v>127</v>
      </c>
    </row>
    <row r="74" spans="1:8">
      <c r="A74" s="5" t="s">
        <v>85</v>
      </c>
      <c r="B74" s="6">
        <v>0.61111111111111116</v>
      </c>
      <c r="C74" s="6">
        <v>0.62638888888888888</v>
      </c>
      <c r="D74" s="7">
        <v>52100</v>
      </c>
      <c r="E74" s="8">
        <v>14570</v>
      </c>
      <c r="F74" s="8">
        <v>37530</v>
      </c>
      <c r="G74" s="9" t="s">
        <v>126</v>
      </c>
      <c r="H74" s="9" t="s">
        <v>127</v>
      </c>
    </row>
    <row r="75" spans="1:8">
      <c r="A75" s="5" t="s">
        <v>98</v>
      </c>
      <c r="B75" s="6">
        <v>0.61319444444444449</v>
      </c>
      <c r="C75" s="6">
        <v>0.63124999999999998</v>
      </c>
      <c r="D75" s="7">
        <v>49030</v>
      </c>
      <c r="E75" s="8">
        <v>14790</v>
      </c>
      <c r="F75" s="8">
        <v>34240</v>
      </c>
      <c r="G75" s="9" t="s">
        <v>126</v>
      </c>
      <c r="H75" s="9" t="s">
        <v>127</v>
      </c>
    </row>
    <row r="76" spans="1:8">
      <c r="A76" s="5" t="s">
        <v>95</v>
      </c>
      <c r="B76" s="6">
        <v>0.61250000000000004</v>
      </c>
      <c r="C76" s="6">
        <v>0.63263888888888886</v>
      </c>
      <c r="D76" s="7">
        <v>54070</v>
      </c>
      <c r="E76" s="8">
        <v>14740</v>
      </c>
      <c r="F76" s="8">
        <v>39330</v>
      </c>
      <c r="G76" s="9" t="s">
        <v>126</v>
      </c>
      <c r="H76" s="9" t="s">
        <v>127</v>
      </c>
    </row>
    <row r="77" spans="1:8">
      <c r="A77" s="5" t="s">
        <v>84</v>
      </c>
      <c r="B77" s="6">
        <v>0.6118055555555556</v>
      </c>
      <c r="C77" s="6">
        <v>0.63402777777777775</v>
      </c>
      <c r="D77" s="7">
        <v>51060</v>
      </c>
      <c r="E77" s="8">
        <v>15450</v>
      </c>
      <c r="F77" s="8">
        <v>35610</v>
      </c>
      <c r="G77" s="9" t="s">
        <v>126</v>
      </c>
      <c r="H77" s="9" t="s">
        <v>127</v>
      </c>
    </row>
    <row r="78" spans="1:8">
      <c r="A78" s="5" t="s">
        <v>65</v>
      </c>
      <c r="B78" s="6">
        <v>0.61250000000000004</v>
      </c>
      <c r="C78" s="6">
        <v>0.63541666666666663</v>
      </c>
      <c r="D78" s="7">
        <v>45850</v>
      </c>
      <c r="E78" s="8">
        <v>14670</v>
      </c>
      <c r="F78" s="8">
        <v>31180</v>
      </c>
      <c r="G78" s="9" t="s">
        <v>126</v>
      </c>
      <c r="H78" s="9" t="s">
        <v>127</v>
      </c>
    </row>
    <row r="79" spans="1:8">
      <c r="A79" s="5" t="s">
        <v>63</v>
      </c>
      <c r="B79" s="6">
        <v>0.61319444444444449</v>
      </c>
      <c r="C79" s="6">
        <v>0.63611111111111107</v>
      </c>
      <c r="D79" s="7">
        <v>43600</v>
      </c>
      <c r="E79" s="8">
        <v>12690</v>
      </c>
      <c r="F79" s="8">
        <v>30910</v>
      </c>
      <c r="G79" s="9" t="s">
        <v>126</v>
      </c>
      <c r="H79" s="9" t="s">
        <v>127</v>
      </c>
    </row>
    <row r="80" spans="1:8">
      <c r="A80" s="5" t="s">
        <v>62</v>
      </c>
      <c r="B80" s="6">
        <v>0.62847222222222221</v>
      </c>
      <c r="C80" s="6">
        <v>0.63749999999999996</v>
      </c>
      <c r="D80" s="7">
        <v>48670</v>
      </c>
      <c r="E80" s="8">
        <v>15590</v>
      </c>
      <c r="F80" s="8">
        <v>33080</v>
      </c>
      <c r="G80" s="9" t="s">
        <v>126</v>
      </c>
      <c r="H80" s="9" t="s">
        <v>127</v>
      </c>
    </row>
    <row r="81" spans="1:8">
      <c r="A81" s="5" t="s">
        <v>64</v>
      </c>
      <c r="B81" s="6">
        <v>0.61388888888888893</v>
      </c>
      <c r="C81" s="6">
        <v>0.64097222222222228</v>
      </c>
      <c r="D81" s="7">
        <v>50920</v>
      </c>
      <c r="E81" s="8">
        <v>14490</v>
      </c>
      <c r="F81" s="8">
        <v>36430</v>
      </c>
      <c r="G81" s="9" t="s">
        <v>126</v>
      </c>
      <c r="H81" s="9" t="s">
        <v>127</v>
      </c>
    </row>
    <row r="82" spans="1:8">
      <c r="A82" s="5" t="s">
        <v>100</v>
      </c>
      <c r="B82" s="6">
        <v>0.62847222222222221</v>
      </c>
      <c r="C82" s="6">
        <v>0.64166666666666672</v>
      </c>
      <c r="D82" s="7">
        <v>46830</v>
      </c>
      <c r="E82" s="8">
        <v>14680</v>
      </c>
      <c r="F82" s="8">
        <v>32150</v>
      </c>
      <c r="G82" s="9" t="s">
        <v>126</v>
      </c>
      <c r="H82" s="9" t="s">
        <v>127</v>
      </c>
    </row>
    <row r="83" spans="1:8">
      <c r="A83" s="5" t="s">
        <v>106</v>
      </c>
      <c r="B83" s="6">
        <v>0.62916666666666665</v>
      </c>
      <c r="C83" s="6">
        <v>0.6430555555555556</v>
      </c>
      <c r="D83" s="7">
        <v>54890</v>
      </c>
      <c r="E83" s="8">
        <v>15030</v>
      </c>
      <c r="F83" s="8">
        <v>39860</v>
      </c>
      <c r="G83" s="9" t="s">
        <v>126</v>
      </c>
      <c r="H83" s="9" t="s">
        <v>127</v>
      </c>
    </row>
    <row r="84" spans="1:8">
      <c r="A84" s="5" t="s">
        <v>60</v>
      </c>
      <c r="B84" s="6">
        <v>0.62916666666666665</v>
      </c>
      <c r="C84" s="6">
        <v>0.64375000000000004</v>
      </c>
      <c r="D84" s="7">
        <v>48320</v>
      </c>
      <c r="E84" s="8">
        <v>14350</v>
      </c>
      <c r="F84" s="8">
        <v>33970</v>
      </c>
      <c r="G84" s="9" t="s">
        <v>126</v>
      </c>
      <c r="H84" s="9" t="s">
        <v>127</v>
      </c>
    </row>
    <row r="85" spans="1:8">
      <c r="A85" s="5" t="s">
        <v>107</v>
      </c>
      <c r="B85" s="6">
        <v>0.63888888888888884</v>
      </c>
      <c r="C85" s="6">
        <v>0.64583333333333337</v>
      </c>
      <c r="D85" s="7">
        <v>53100</v>
      </c>
      <c r="E85" s="8">
        <v>15080</v>
      </c>
      <c r="F85" s="8">
        <v>38020</v>
      </c>
      <c r="G85" s="9" t="s">
        <v>126</v>
      </c>
      <c r="H85" s="9" t="s">
        <v>127</v>
      </c>
    </row>
    <row r="86" spans="1:8">
      <c r="A86" s="5" t="s">
        <v>61</v>
      </c>
      <c r="B86" s="6">
        <v>0.62986111111111109</v>
      </c>
      <c r="C86" s="6">
        <v>0.64930555555555558</v>
      </c>
      <c r="D86" s="7">
        <v>52610</v>
      </c>
      <c r="E86" s="8">
        <v>14200</v>
      </c>
      <c r="F86" s="8">
        <v>38410</v>
      </c>
      <c r="G86" s="9" t="s">
        <v>126</v>
      </c>
      <c r="H86" s="9" t="s">
        <v>127</v>
      </c>
    </row>
    <row r="87" spans="1:8">
      <c r="A87" s="5" t="s">
        <v>108</v>
      </c>
      <c r="B87" s="6">
        <v>0.63888888888888884</v>
      </c>
      <c r="C87" s="6">
        <v>0.65069444444444446</v>
      </c>
      <c r="D87" s="7">
        <v>50530</v>
      </c>
      <c r="E87" s="8">
        <v>14580</v>
      </c>
      <c r="F87" s="8">
        <v>35950</v>
      </c>
      <c r="G87" s="9" t="s">
        <v>126</v>
      </c>
      <c r="H87" s="9" t="s">
        <v>127</v>
      </c>
    </row>
    <row r="88" spans="1:8">
      <c r="A88" s="5" t="s">
        <v>110</v>
      </c>
      <c r="B88" s="6">
        <v>0.63958333333333328</v>
      </c>
      <c r="C88" s="6">
        <v>0.65486111111111112</v>
      </c>
      <c r="D88" s="7">
        <v>52050</v>
      </c>
      <c r="E88" s="8">
        <v>14300</v>
      </c>
      <c r="F88" s="8">
        <v>37750</v>
      </c>
      <c r="G88" s="9" t="s">
        <v>126</v>
      </c>
      <c r="H88" s="9" t="s">
        <v>127</v>
      </c>
    </row>
    <row r="89" spans="1:8">
      <c r="A89" s="5" t="s">
        <v>66</v>
      </c>
      <c r="B89" s="6">
        <v>0.63958333333333328</v>
      </c>
      <c r="C89" s="6">
        <v>0.65625</v>
      </c>
      <c r="D89" s="7">
        <v>48410</v>
      </c>
      <c r="E89" s="8">
        <v>15030</v>
      </c>
      <c r="F89" s="8">
        <v>33380</v>
      </c>
      <c r="G89" s="9" t="s">
        <v>126</v>
      </c>
      <c r="H89" s="9" t="s">
        <v>127</v>
      </c>
    </row>
    <row r="90" spans="1:8">
      <c r="A90" s="5" t="s">
        <v>67</v>
      </c>
      <c r="B90" s="6">
        <v>0.64027777777777772</v>
      </c>
      <c r="C90" s="6">
        <v>0.65833333333333333</v>
      </c>
      <c r="D90" s="7">
        <v>46060</v>
      </c>
      <c r="E90" s="8">
        <v>14300</v>
      </c>
      <c r="F90" s="8">
        <v>31760</v>
      </c>
      <c r="G90" s="9" t="s">
        <v>126</v>
      </c>
      <c r="H90" s="9" t="s">
        <v>127</v>
      </c>
    </row>
    <row r="91" spans="1:8">
      <c r="A91" s="5" t="s">
        <v>68</v>
      </c>
      <c r="B91" s="6">
        <v>0.64027777777777772</v>
      </c>
      <c r="C91" s="6">
        <v>0.65972222222222221</v>
      </c>
      <c r="D91" s="7">
        <v>48590</v>
      </c>
      <c r="E91" s="8">
        <v>14480</v>
      </c>
      <c r="F91" s="8">
        <v>34110</v>
      </c>
      <c r="G91" s="9" t="s">
        <v>126</v>
      </c>
      <c r="H91" s="9" t="s">
        <v>127</v>
      </c>
    </row>
    <row r="92" spans="1:8">
      <c r="A92" s="5" t="s">
        <v>69</v>
      </c>
      <c r="B92" s="6">
        <v>0.64722222222222225</v>
      </c>
      <c r="C92" s="6">
        <v>0.66527777777777775</v>
      </c>
      <c r="D92" s="7">
        <v>47760</v>
      </c>
      <c r="E92" s="8">
        <v>15260</v>
      </c>
      <c r="F92" s="8">
        <v>32500</v>
      </c>
      <c r="G92" s="9" t="s">
        <v>126</v>
      </c>
      <c r="H92" s="9" t="s">
        <v>127</v>
      </c>
    </row>
    <row r="93" spans="1:8">
      <c r="A93" s="5" t="s">
        <v>79</v>
      </c>
      <c r="B93" s="6">
        <v>0.64722222222222225</v>
      </c>
      <c r="C93" s="6">
        <v>0.67013888888888884</v>
      </c>
      <c r="D93" s="7">
        <v>51560</v>
      </c>
      <c r="E93" s="8">
        <v>16630</v>
      </c>
      <c r="F93" s="8">
        <v>34930</v>
      </c>
      <c r="G93" s="9" t="s">
        <v>126</v>
      </c>
      <c r="H93" s="9" t="s">
        <v>127</v>
      </c>
    </row>
    <row r="94" spans="1:8">
      <c r="A94" s="5" t="s">
        <v>80</v>
      </c>
      <c r="B94" s="6">
        <v>0.64722222222222225</v>
      </c>
      <c r="C94" s="6">
        <v>0.67361111111111116</v>
      </c>
      <c r="D94" s="7">
        <v>50420</v>
      </c>
      <c r="E94" s="8">
        <v>15570</v>
      </c>
      <c r="F94" s="8">
        <v>34850</v>
      </c>
      <c r="G94" s="9" t="s">
        <v>126</v>
      </c>
      <c r="H94" s="9" t="s">
        <v>127</v>
      </c>
    </row>
    <row r="95" spans="1:8">
      <c r="A95" s="5" t="s">
        <v>82</v>
      </c>
      <c r="B95" s="6">
        <v>0.6479166666666667</v>
      </c>
      <c r="C95" s="6">
        <v>0.67708333333333337</v>
      </c>
      <c r="D95" s="7">
        <v>46940</v>
      </c>
      <c r="E95" s="8">
        <v>15430</v>
      </c>
      <c r="F95" s="8">
        <v>31510</v>
      </c>
      <c r="G95" s="9" t="s">
        <v>126</v>
      </c>
      <c r="H95" s="9" t="s">
        <v>127</v>
      </c>
    </row>
    <row r="96" spans="1:8">
      <c r="A96" s="5" t="s">
        <v>81</v>
      </c>
      <c r="B96" s="6">
        <v>0.6479166666666667</v>
      </c>
      <c r="C96" s="6">
        <v>0.67777777777777781</v>
      </c>
      <c r="D96" s="7">
        <v>44810</v>
      </c>
      <c r="E96" s="8">
        <v>13320</v>
      </c>
      <c r="F96" s="8">
        <v>31490</v>
      </c>
      <c r="G96" s="9" t="s">
        <v>126</v>
      </c>
      <c r="H96" s="9" t="s">
        <v>127</v>
      </c>
    </row>
    <row r="97" spans="1:8">
      <c r="A97" s="5" t="s">
        <v>78</v>
      </c>
      <c r="B97" s="6">
        <v>0.66249999999999998</v>
      </c>
      <c r="C97" s="6">
        <v>0.68194444444444446</v>
      </c>
      <c r="D97" s="7">
        <v>46260</v>
      </c>
      <c r="E97" s="8">
        <v>15740</v>
      </c>
      <c r="F97" s="8">
        <v>30520</v>
      </c>
      <c r="G97" s="9" t="s">
        <v>126</v>
      </c>
      <c r="H97" s="9" t="s">
        <v>127</v>
      </c>
    </row>
    <row r="98" spans="1:8">
      <c r="A98" s="5" t="s">
        <v>90</v>
      </c>
      <c r="B98" s="6">
        <v>0.66319444444444442</v>
      </c>
      <c r="C98" s="6">
        <v>0.68472222222222223</v>
      </c>
      <c r="D98" s="7">
        <v>50270</v>
      </c>
      <c r="E98" s="8">
        <v>14730</v>
      </c>
      <c r="F98" s="8">
        <v>35540</v>
      </c>
      <c r="G98" s="9" t="s">
        <v>126</v>
      </c>
      <c r="H98" s="9" t="s">
        <v>127</v>
      </c>
    </row>
    <row r="99" spans="1:8">
      <c r="A99" s="5" t="s">
        <v>91</v>
      </c>
      <c r="B99" s="6">
        <v>0.66319444444444442</v>
      </c>
      <c r="C99" s="6">
        <v>0.68611111111111112</v>
      </c>
      <c r="D99" s="7">
        <v>45030</v>
      </c>
      <c r="E99" s="8">
        <v>15040</v>
      </c>
      <c r="F99" s="8">
        <v>29990</v>
      </c>
      <c r="G99" s="9" t="s">
        <v>126</v>
      </c>
      <c r="H99" s="9" t="s">
        <v>127</v>
      </c>
    </row>
    <row r="100" spans="1:8">
      <c r="A100" s="5" t="s">
        <v>115</v>
      </c>
      <c r="B100" s="6">
        <v>0.66388888888888886</v>
      </c>
      <c r="C100" s="6">
        <v>0.68263888888888891</v>
      </c>
      <c r="D100" s="7">
        <v>45110</v>
      </c>
      <c r="E100" s="8">
        <v>14800</v>
      </c>
      <c r="F100" s="8">
        <v>30310</v>
      </c>
      <c r="G100" s="9" t="s">
        <v>126</v>
      </c>
      <c r="H100" s="9" t="s">
        <v>127</v>
      </c>
    </row>
    <row r="101" spans="1:8">
      <c r="A101" s="5" t="s">
        <v>76</v>
      </c>
      <c r="B101" s="6">
        <v>0.66388888888888886</v>
      </c>
      <c r="C101" s="6">
        <v>0.69097222222222221</v>
      </c>
      <c r="D101" s="7">
        <v>47250</v>
      </c>
      <c r="E101" s="8">
        <v>14010</v>
      </c>
      <c r="F101" s="8">
        <v>33240</v>
      </c>
      <c r="G101" s="9" t="s">
        <v>126</v>
      </c>
      <c r="H101" s="9" t="s">
        <v>127</v>
      </c>
    </row>
    <row r="102" spans="1:8">
      <c r="A102" s="5" t="s">
        <v>101</v>
      </c>
      <c r="B102" s="6">
        <v>0.6645833333333333</v>
      </c>
      <c r="C102" s="6">
        <v>0.69444444444444442</v>
      </c>
      <c r="D102" s="7">
        <v>47630</v>
      </c>
      <c r="E102" s="8">
        <v>14600</v>
      </c>
      <c r="F102" s="8">
        <v>33030</v>
      </c>
      <c r="G102" s="9" t="s">
        <v>126</v>
      </c>
      <c r="H102" s="9" t="s">
        <v>127</v>
      </c>
    </row>
    <row r="103" spans="1:8">
      <c r="A103" s="5" t="s">
        <v>87</v>
      </c>
      <c r="B103" s="6">
        <v>0.68055555555555558</v>
      </c>
      <c r="C103" s="6">
        <v>0.6958333333333333</v>
      </c>
      <c r="D103" s="7">
        <v>43520</v>
      </c>
      <c r="E103" s="8">
        <v>14400</v>
      </c>
      <c r="F103" s="8">
        <v>29120</v>
      </c>
      <c r="G103" s="9" t="s">
        <v>126</v>
      </c>
      <c r="H103" s="9" t="s">
        <v>127</v>
      </c>
    </row>
    <row r="104" spans="1:8">
      <c r="A104" s="5" t="s">
        <v>117</v>
      </c>
      <c r="B104" s="6">
        <v>0.67986111111111114</v>
      </c>
      <c r="C104" s="6">
        <v>0.69791666666666663</v>
      </c>
      <c r="D104" s="7">
        <v>48680</v>
      </c>
      <c r="E104" s="8">
        <v>14840</v>
      </c>
      <c r="F104" s="8">
        <v>33840</v>
      </c>
      <c r="G104" s="9" t="s">
        <v>126</v>
      </c>
      <c r="H104" s="9" t="s">
        <v>127</v>
      </c>
    </row>
    <row r="105" spans="1:8">
      <c r="A105" s="5" t="s">
        <v>86</v>
      </c>
      <c r="B105" s="6">
        <v>0.68055555555555558</v>
      </c>
      <c r="C105" s="6">
        <v>0.7</v>
      </c>
      <c r="D105" s="7">
        <v>43970</v>
      </c>
      <c r="E105" s="8">
        <v>14250</v>
      </c>
      <c r="F105" s="8">
        <v>29720</v>
      </c>
      <c r="G105" s="9" t="s">
        <v>126</v>
      </c>
      <c r="H105" s="9" t="s">
        <v>127</v>
      </c>
    </row>
    <row r="106" spans="1:8">
      <c r="A106" s="5" t="s">
        <v>92</v>
      </c>
      <c r="B106" s="6">
        <v>0.68125000000000002</v>
      </c>
      <c r="C106" s="6">
        <v>0.70347222222222228</v>
      </c>
      <c r="D106" s="7">
        <v>47180</v>
      </c>
      <c r="E106" s="8">
        <v>14470</v>
      </c>
      <c r="F106" s="8">
        <v>32710</v>
      </c>
      <c r="G106" s="9" t="s">
        <v>126</v>
      </c>
      <c r="H106" s="9" t="s">
        <v>127</v>
      </c>
    </row>
    <row r="107" spans="1:8">
      <c r="A107" s="5" t="s">
        <v>88</v>
      </c>
      <c r="B107" s="6">
        <v>0.67986111111111114</v>
      </c>
      <c r="C107" s="6">
        <v>0.70486111111111116</v>
      </c>
      <c r="D107" s="7">
        <v>47060</v>
      </c>
      <c r="E107" s="8">
        <v>14650</v>
      </c>
      <c r="F107" s="8">
        <v>32410</v>
      </c>
      <c r="G107" s="9" t="s">
        <v>126</v>
      </c>
      <c r="H107" s="9" t="s">
        <v>127</v>
      </c>
    </row>
    <row r="108" spans="1:8">
      <c r="A108" s="5" t="s">
        <v>99</v>
      </c>
      <c r="B108" s="6">
        <v>0.69236111111111109</v>
      </c>
      <c r="C108" s="6">
        <v>0.70902777777777781</v>
      </c>
      <c r="D108" s="7">
        <v>47030</v>
      </c>
      <c r="E108" s="8">
        <v>14950</v>
      </c>
      <c r="F108" s="8">
        <v>32080</v>
      </c>
      <c r="G108" s="9" t="s">
        <v>126</v>
      </c>
      <c r="H108" s="9" t="s">
        <v>127</v>
      </c>
    </row>
    <row r="109" spans="1:8">
      <c r="A109" s="5" t="s">
        <v>102</v>
      </c>
      <c r="B109" s="6">
        <v>0.69236111111111109</v>
      </c>
      <c r="C109" s="6">
        <v>0.71180555555555558</v>
      </c>
      <c r="D109" s="7">
        <v>47680</v>
      </c>
      <c r="E109" s="8">
        <v>15000</v>
      </c>
      <c r="F109" s="8">
        <v>32680</v>
      </c>
      <c r="G109" s="9" t="s">
        <v>126</v>
      </c>
      <c r="H109" s="9" t="s">
        <v>127</v>
      </c>
    </row>
    <row r="110" spans="1:8">
      <c r="A110" s="5" t="s">
        <v>89</v>
      </c>
      <c r="B110" s="6">
        <v>0.69305555555555554</v>
      </c>
      <c r="C110" s="6">
        <v>0.71250000000000002</v>
      </c>
      <c r="D110" s="7">
        <v>47410</v>
      </c>
      <c r="E110" s="8">
        <v>15140</v>
      </c>
      <c r="F110" s="8">
        <v>32270</v>
      </c>
      <c r="G110" s="9" t="s">
        <v>126</v>
      </c>
      <c r="H110" s="9" t="s">
        <v>127</v>
      </c>
    </row>
    <row r="111" spans="1:8">
      <c r="A111" s="5" t="s">
        <v>10</v>
      </c>
      <c r="B111" s="6">
        <v>0.69305555555555554</v>
      </c>
      <c r="C111" s="6">
        <v>0.71666666666666667</v>
      </c>
      <c r="D111" s="7">
        <v>47240</v>
      </c>
      <c r="E111" s="8">
        <v>15090</v>
      </c>
      <c r="F111" s="8">
        <v>32150</v>
      </c>
      <c r="G111" s="9" t="s">
        <v>126</v>
      </c>
      <c r="H111" s="9" t="s">
        <v>127</v>
      </c>
    </row>
    <row r="112" spans="1:8">
      <c r="A112" s="5" t="s">
        <v>8</v>
      </c>
      <c r="B112" s="6">
        <v>0.69374999999999998</v>
      </c>
      <c r="C112" s="6">
        <v>0.71944444444444444</v>
      </c>
      <c r="D112" s="7">
        <v>50280</v>
      </c>
      <c r="E112" s="8">
        <v>15520</v>
      </c>
      <c r="F112" s="8">
        <v>34760</v>
      </c>
      <c r="G112" s="9" t="s">
        <v>126</v>
      </c>
      <c r="H112" s="9" t="s">
        <v>127</v>
      </c>
    </row>
    <row r="113" spans="1:8">
      <c r="A113" s="5" t="s">
        <v>9</v>
      </c>
      <c r="B113" s="6">
        <v>0.70694444444444449</v>
      </c>
      <c r="C113" s="6">
        <v>0.72013888888888888</v>
      </c>
      <c r="D113" s="7">
        <v>46190</v>
      </c>
      <c r="E113" s="8">
        <v>13940</v>
      </c>
      <c r="F113" s="8">
        <v>32250</v>
      </c>
      <c r="G113" s="9" t="s">
        <v>126</v>
      </c>
      <c r="H113" s="9" t="s">
        <v>127</v>
      </c>
    </row>
    <row r="114" spans="1:8">
      <c r="A114" s="5" t="s">
        <v>15</v>
      </c>
      <c r="B114" s="6">
        <v>0.70763888888888893</v>
      </c>
      <c r="C114" s="6">
        <v>0.72430555555555554</v>
      </c>
      <c r="D114" s="7">
        <v>47420</v>
      </c>
      <c r="E114" s="8">
        <v>14930</v>
      </c>
      <c r="F114" s="8">
        <v>32490</v>
      </c>
      <c r="G114" s="9" t="s">
        <v>126</v>
      </c>
      <c r="H114" s="9" t="s">
        <v>127</v>
      </c>
    </row>
    <row r="115" spans="1:8">
      <c r="A115" s="5" t="s">
        <v>11</v>
      </c>
      <c r="B115" s="6">
        <v>0.70694444444444449</v>
      </c>
      <c r="C115" s="6">
        <v>0.7270833333333333</v>
      </c>
      <c r="D115" s="7">
        <v>51210</v>
      </c>
      <c r="E115" s="8">
        <v>15630</v>
      </c>
      <c r="F115" s="8">
        <v>35580</v>
      </c>
      <c r="G115" s="9" t="s">
        <v>126</v>
      </c>
      <c r="H115" s="9" t="s">
        <v>127</v>
      </c>
    </row>
    <row r="116" spans="1:8">
      <c r="A116" s="5" t="s">
        <v>16</v>
      </c>
      <c r="B116" s="6">
        <v>0.70763888888888893</v>
      </c>
      <c r="C116" s="6">
        <v>0.72847222222222219</v>
      </c>
      <c r="D116" s="7">
        <v>47720</v>
      </c>
      <c r="E116" s="8">
        <v>15240</v>
      </c>
      <c r="F116" s="8">
        <v>32480</v>
      </c>
      <c r="G116" s="9" t="s">
        <v>126</v>
      </c>
      <c r="H116" s="9" t="s">
        <v>127</v>
      </c>
    </row>
    <row r="117" spans="1:8">
      <c r="A117" s="5" t="s">
        <v>17</v>
      </c>
      <c r="B117" s="6">
        <v>0.72152777777777777</v>
      </c>
      <c r="C117" s="6">
        <v>0.7319444444444444</v>
      </c>
      <c r="D117" s="7">
        <v>53020</v>
      </c>
      <c r="E117" s="8">
        <v>15010</v>
      </c>
      <c r="F117" s="8">
        <v>38010</v>
      </c>
      <c r="G117" s="9" t="s">
        <v>126</v>
      </c>
      <c r="H117" s="9" t="s">
        <v>127</v>
      </c>
    </row>
    <row r="118" spans="1:8">
      <c r="A118" s="5" t="s">
        <v>13</v>
      </c>
      <c r="B118" s="6">
        <v>0.70833333333333337</v>
      </c>
      <c r="C118" s="6">
        <v>0.73472222222222228</v>
      </c>
      <c r="D118" s="7">
        <v>52670</v>
      </c>
      <c r="E118" s="8">
        <v>15310</v>
      </c>
      <c r="F118" s="8">
        <v>37360</v>
      </c>
      <c r="G118" s="9" t="s">
        <v>126</v>
      </c>
      <c r="H118" s="9" t="s">
        <v>127</v>
      </c>
    </row>
    <row r="119" spans="1:8">
      <c r="A119" s="5" t="s">
        <v>103</v>
      </c>
      <c r="B119" s="6">
        <v>0.72152777777777777</v>
      </c>
      <c r="C119" s="6">
        <v>0.73541666666666672</v>
      </c>
      <c r="D119" s="7">
        <v>49810</v>
      </c>
      <c r="E119" s="8">
        <v>14930</v>
      </c>
      <c r="F119" s="8">
        <v>34880</v>
      </c>
      <c r="G119" s="9" t="s">
        <v>126</v>
      </c>
      <c r="H119" s="9" t="s">
        <v>127</v>
      </c>
    </row>
    <row r="120" spans="1:8">
      <c r="A120" s="5" t="s">
        <v>105</v>
      </c>
      <c r="B120" s="6">
        <v>0.72222222222222221</v>
      </c>
      <c r="C120" s="6">
        <v>0.74027777777777781</v>
      </c>
      <c r="D120" s="7">
        <v>52010</v>
      </c>
      <c r="E120" s="8">
        <v>14990</v>
      </c>
      <c r="F120" s="8">
        <v>37020</v>
      </c>
      <c r="G120" s="9" t="s">
        <v>126</v>
      </c>
      <c r="H120" s="9" t="s">
        <v>127</v>
      </c>
    </row>
    <row r="121" spans="1:8">
      <c r="A121" s="5" t="s">
        <v>104</v>
      </c>
      <c r="B121" s="6">
        <v>0.72222222222222221</v>
      </c>
      <c r="C121" s="6">
        <v>0.74236111111111114</v>
      </c>
      <c r="D121" s="7">
        <v>50950</v>
      </c>
      <c r="E121" s="8">
        <v>14940</v>
      </c>
      <c r="F121" s="8">
        <v>36010</v>
      </c>
      <c r="G121" s="9" t="s">
        <v>126</v>
      </c>
      <c r="H121" s="9" t="s">
        <v>127</v>
      </c>
    </row>
    <row r="122" spans="1:8">
      <c r="A122" s="5" t="s">
        <v>19</v>
      </c>
      <c r="B122" s="6">
        <v>0.72291666666666665</v>
      </c>
      <c r="C122" s="6">
        <v>0.74375000000000002</v>
      </c>
      <c r="D122" s="7">
        <v>47700</v>
      </c>
      <c r="E122" s="8">
        <v>15310</v>
      </c>
      <c r="F122" s="8">
        <v>32390</v>
      </c>
      <c r="G122" s="9" t="s">
        <v>126</v>
      </c>
      <c r="H122" s="9" t="s">
        <v>127</v>
      </c>
    </row>
    <row r="123" spans="1:8">
      <c r="A123" s="5" t="s">
        <v>18</v>
      </c>
      <c r="B123" s="6">
        <v>0.72361111111111109</v>
      </c>
      <c r="C123" s="6">
        <v>0.74791666666666667</v>
      </c>
      <c r="D123" s="7">
        <v>46130</v>
      </c>
      <c r="E123" s="8">
        <v>14600</v>
      </c>
      <c r="F123" s="8">
        <v>31530</v>
      </c>
      <c r="G123" s="9" t="s">
        <v>126</v>
      </c>
      <c r="H123" s="9" t="s">
        <v>127</v>
      </c>
    </row>
    <row r="124" spans="1:8">
      <c r="A124" s="5" t="s">
        <v>20</v>
      </c>
      <c r="B124" s="6">
        <v>0.7368055555555556</v>
      </c>
      <c r="C124" s="6">
        <v>0.75138888888888888</v>
      </c>
      <c r="D124" s="7">
        <v>48920</v>
      </c>
      <c r="E124" s="8">
        <v>15370</v>
      </c>
      <c r="F124" s="8">
        <v>33550</v>
      </c>
      <c r="G124" s="9" t="s">
        <v>126</v>
      </c>
      <c r="H124" s="9" t="s">
        <v>127</v>
      </c>
    </row>
    <row r="125" spans="1:8">
      <c r="A125" s="5" t="s">
        <v>12</v>
      </c>
      <c r="B125" s="6">
        <v>0.73750000000000004</v>
      </c>
      <c r="C125" s="6">
        <v>0.75208333333333333</v>
      </c>
      <c r="D125" s="7">
        <v>46020</v>
      </c>
      <c r="E125" s="8">
        <v>15260</v>
      </c>
      <c r="F125" s="8">
        <v>30760</v>
      </c>
      <c r="G125" s="9" t="s">
        <v>126</v>
      </c>
      <c r="H125" s="9" t="s">
        <v>127</v>
      </c>
    </row>
    <row r="126" spans="1:8">
      <c r="A126" s="5" t="s">
        <v>23</v>
      </c>
      <c r="B126" s="6">
        <v>0.73750000000000004</v>
      </c>
      <c r="C126" s="6">
        <v>0.75555555555555554</v>
      </c>
      <c r="D126" s="7">
        <v>47770</v>
      </c>
      <c r="E126" s="8">
        <v>15640</v>
      </c>
      <c r="F126" s="8">
        <v>32130</v>
      </c>
      <c r="G126" s="9" t="s">
        <v>126</v>
      </c>
      <c r="H126" s="9" t="s">
        <v>127</v>
      </c>
    </row>
    <row r="127" spans="1:8">
      <c r="A127" s="5" t="s">
        <v>22</v>
      </c>
      <c r="B127" s="6">
        <v>0.73819444444444449</v>
      </c>
      <c r="C127" s="6">
        <v>0.75902777777777775</v>
      </c>
      <c r="D127" s="7">
        <v>47980</v>
      </c>
      <c r="E127" s="8">
        <v>15840</v>
      </c>
      <c r="F127" s="8">
        <v>32140</v>
      </c>
      <c r="G127" s="9" t="s">
        <v>126</v>
      </c>
      <c r="H127" s="9" t="s">
        <v>127</v>
      </c>
    </row>
    <row r="128" spans="1:8">
      <c r="A128" s="5" t="s">
        <v>14</v>
      </c>
      <c r="B128" s="6">
        <v>0.73819444444444449</v>
      </c>
      <c r="C128" s="6">
        <v>0.75972222222222219</v>
      </c>
      <c r="D128" s="7">
        <v>50100</v>
      </c>
      <c r="E128" s="8">
        <v>15270</v>
      </c>
      <c r="F128" s="8">
        <v>34830</v>
      </c>
      <c r="G128" s="9" t="s">
        <v>126</v>
      </c>
      <c r="H128" s="9" t="s">
        <v>127</v>
      </c>
    </row>
    <row r="129" spans="1:8">
      <c r="A129" s="5" t="s">
        <v>26</v>
      </c>
      <c r="B129" s="6">
        <v>0.73888888888888893</v>
      </c>
      <c r="C129" s="6">
        <v>0.76388888888888884</v>
      </c>
      <c r="D129" s="7">
        <v>47910</v>
      </c>
      <c r="E129" s="8">
        <v>14410</v>
      </c>
      <c r="F129" s="8">
        <v>33500</v>
      </c>
      <c r="G129" s="9" t="s">
        <v>126</v>
      </c>
      <c r="H129" s="9" t="s">
        <v>127</v>
      </c>
    </row>
    <row r="130" spans="1:8">
      <c r="A130" s="5" t="s">
        <v>25</v>
      </c>
      <c r="B130" s="6">
        <v>0.75347222222222221</v>
      </c>
      <c r="C130" s="6">
        <v>0.76666666666666672</v>
      </c>
      <c r="D130" s="7">
        <v>46550</v>
      </c>
      <c r="E130" s="8">
        <v>14360</v>
      </c>
      <c r="F130" s="8">
        <v>32190</v>
      </c>
      <c r="G130" s="9" t="s">
        <v>126</v>
      </c>
      <c r="H130" s="9" t="s">
        <v>127</v>
      </c>
    </row>
    <row r="131" spans="1:8">
      <c r="A131" s="5" t="s">
        <v>32</v>
      </c>
      <c r="B131" s="6">
        <v>0.75416666666666665</v>
      </c>
      <c r="C131" s="6">
        <v>0.77083333333333337</v>
      </c>
      <c r="D131" s="7">
        <v>46280</v>
      </c>
      <c r="E131" s="8">
        <v>15010</v>
      </c>
      <c r="F131" s="8">
        <v>31270</v>
      </c>
      <c r="G131" s="9" t="s">
        <v>126</v>
      </c>
      <c r="H131" s="9" t="s">
        <v>127</v>
      </c>
    </row>
    <row r="132" spans="1:8">
      <c r="A132" s="5" t="s">
        <v>30</v>
      </c>
      <c r="B132" s="6">
        <v>0.75416666666666665</v>
      </c>
      <c r="C132" s="6">
        <v>0.77430555555555558</v>
      </c>
      <c r="D132" s="7">
        <v>47850</v>
      </c>
      <c r="E132" s="8">
        <v>15300</v>
      </c>
      <c r="F132" s="8">
        <v>32550</v>
      </c>
      <c r="G132" s="9" t="s">
        <v>126</v>
      </c>
      <c r="H132" s="9" t="s">
        <v>127</v>
      </c>
    </row>
    <row r="133" spans="1:8">
      <c r="A133" s="5" t="s">
        <v>31</v>
      </c>
      <c r="B133" s="6">
        <v>0.75416666666666665</v>
      </c>
      <c r="C133" s="6">
        <v>0.76666666666666672</v>
      </c>
      <c r="D133" s="7">
        <v>50380</v>
      </c>
      <c r="E133" s="8">
        <v>14760</v>
      </c>
      <c r="F133" s="8">
        <v>35620</v>
      </c>
      <c r="G133" s="9" t="s">
        <v>126</v>
      </c>
      <c r="H133" s="9" t="s">
        <v>127</v>
      </c>
    </row>
    <row r="134" spans="1:8">
      <c r="A134" s="5" t="s">
        <v>36</v>
      </c>
      <c r="B134" s="6">
        <v>0.76249999999999996</v>
      </c>
      <c r="C134" s="6">
        <v>0.78333333333333333</v>
      </c>
      <c r="D134" s="7">
        <v>49480</v>
      </c>
      <c r="E134" s="8">
        <v>15810</v>
      </c>
      <c r="F134" s="8">
        <v>33670</v>
      </c>
      <c r="G134" s="9" t="s">
        <v>126</v>
      </c>
      <c r="H134" s="9" t="s">
        <v>127</v>
      </c>
    </row>
    <row r="135" spans="1:8">
      <c r="A135" s="5" t="s">
        <v>35</v>
      </c>
      <c r="B135" s="6">
        <v>0.7631944444444444</v>
      </c>
      <c r="C135" s="6">
        <v>0.78749999999999998</v>
      </c>
      <c r="D135" s="7">
        <v>49130</v>
      </c>
      <c r="E135" s="8">
        <v>14210</v>
      </c>
      <c r="F135" s="8">
        <v>34920</v>
      </c>
      <c r="G135" s="9" t="s">
        <v>126</v>
      </c>
      <c r="H135" s="9" t="s">
        <v>127</v>
      </c>
    </row>
    <row r="136" spans="1:8">
      <c r="A136" s="5" t="s">
        <v>33</v>
      </c>
      <c r="B136" s="6">
        <v>0.75486111111111109</v>
      </c>
      <c r="C136" s="6">
        <v>0.79097222222222219</v>
      </c>
      <c r="D136" s="7">
        <v>63840</v>
      </c>
      <c r="E136" s="8">
        <v>19400</v>
      </c>
      <c r="F136" s="8">
        <v>44440</v>
      </c>
      <c r="G136" s="9" t="s">
        <v>126</v>
      </c>
      <c r="H136" s="9" t="s">
        <v>127</v>
      </c>
    </row>
    <row r="137" spans="1:8">
      <c r="A137" s="5" t="s">
        <v>37</v>
      </c>
      <c r="B137" s="6">
        <v>0.7729166666666667</v>
      </c>
      <c r="C137" s="6">
        <v>0.79236111111111107</v>
      </c>
      <c r="D137" s="7">
        <v>50400</v>
      </c>
      <c r="E137" s="8">
        <v>15940</v>
      </c>
      <c r="F137" s="8">
        <v>34460</v>
      </c>
      <c r="G137" s="9" t="s">
        <v>126</v>
      </c>
      <c r="H137" s="9" t="s">
        <v>127</v>
      </c>
    </row>
    <row r="138" spans="1:8">
      <c r="A138" s="5" t="s">
        <v>40</v>
      </c>
      <c r="B138" s="6">
        <v>0.77222222222222225</v>
      </c>
      <c r="C138" s="6">
        <v>0.7944444444444444</v>
      </c>
      <c r="D138" s="7">
        <v>47460</v>
      </c>
      <c r="E138" s="8">
        <v>14610</v>
      </c>
      <c r="F138" s="8">
        <v>32850</v>
      </c>
      <c r="G138" s="9" t="s">
        <v>126</v>
      </c>
      <c r="H138" s="9" t="s">
        <v>127</v>
      </c>
    </row>
    <row r="139" spans="1:8">
      <c r="A139" s="5" t="s">
        <v>34</v>
      </c>
      <c r="B139" s="6">
        <v>0.77222222222222225</v>
      </c>
      <c r="C139" s="6">
        <v>0.79861111111111116</v>
      </c>
      <c r="D139" s="7">
        <v>48020</v>
      </c>
      <c r="E139" s="8">
        <v>14850</v>
      </c>
      <c r="F139" s="8">
        <v>33170</v>
      </c>
      <c r="G139" s="9" t="s">
        <v>126</v>
      </c>
      <c r="H139" s="9" t="s">
        <v>127</v>
      </c>
    </row>
    <row r="140" spans="1:8">
      <c r="A140" s="5" t="s">
        <v>44</v>
      </c>
      <c r="B140" s="6">
        <v>0.80555555555555558</v>
      </c>
      <c r="C140" s="6">
        <v>0.80972222222222223</v>
      </c>
      <c r="D140" s="7">
        <v>47180</v>
      </c>
      <c r="E140" s="8">
        <v>15390</v>
      </c>
      <c r="F140" s="8">
        <v>31790</v>
      </c>
      <c r="G140" s="9" t="s">
        <v>126</v>
      </c>
      <c r="H140" s="9" t="s">
        <v>127</v>
      </c>
    </row>
    <row r="141" spans="1:8">
      <c r="A141" s="5" t="s">
        <v>43</v>
      </c>
      <c r="B141" s="6">
        <v>0.80625000000000002</v>
      </c>
      <c r="C141" s="6">
        <v>0.81319444444444444</v>
      </c>
      <c r="D141" s="7">
        <v>48930</v>
      </c>
      <c r="E141" s="8">
        <v>15330</v>
      </c>
      <c r="F141" s="8">
        <v>33600</v>
      </c>
      <c r="G141" s="9" t="s">
        <v>126</v>
      </c>
      <c r="H141" s="9" t="s">
        <v>127</v>
      </c>
    </row>
    <row r="142" spans="1:8">
      <c r="A142" s="5" t="s">
        <v>45</v>
      </c>
      <c r="B142" s="6">
        <v>0.81111111111111112</v>
      </c>
      <c r="C142" s="6">
        <v>0.81736111111111109</v>
      </c>
      <c r="D142" s="7">
        <v>48660</v>
      </c>
      <c r="E142" s="8">
        <v>15080</v>
      </c>
      <c r="F142" s="8">
        <v>33580</v>
      </c>
      <c r="G142" s="9" t="s">
        <v>126</v>
      </c>
      <c r="H142" s="9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1855-5F54-A741-A0E7-990487EAC1BC}">
  <dimension ref="A1:M142"/>
  <sheetViews>
    <sheetView tabSelected="1" zoomScale="131" workbookViewId="0">
      <selection activeCell="F31" sqref="F31"/>
    </sheetView>
  </sheetViews>
  <sheetFormatPr baseColWidth="10" defaultRowHeight="15"/>
  <cols>
    <col min="1" max="1" width="4.1640625" bestFit="1" customWidth="1"/>
    <col min="2" max="2" width="10.6640625" bestFit="1" customWidth="1"/>
    <col min="3" max="3" width="13.33203125" bestFit="1" customWidth="1"/>
    <col min="4" max="4" width="13.5" bestFit="1" customWidth="1"/>
    <col min="5" max="5" width="13.1640625" bestFit="1" customWidth="1"/>
    <col min="6" max="6" width="12" bestFit="1" customWidth="1"/>
    <col min="7" max="7" width="13.1640625" bestFit="1" customWidth="1"/>
    <col min="8" max="8" width="9.83203125" bestFit="1" customWidth="1"/>
    <col min="9" max="9" width="14.5" bestFit="1" customWidth="1"/>
    <col min="10" max="10" width="10.1640625" bestFit="1" customWidth="1"/>
    <col min="11" max="11" width="9.1640625" bestFit="1" customWidth="1"/>
    <col min="12" max="12" width="10.33203125" bestFit="1" customWidth="1"/>
    <col min="13" max="13" width="12.33203125" bestFit="1" customWidth="1"/>
  </cols>
  <sheetData>
    <row r="1" spans="1:13">
      <c r="A1" s="19" t="s">
        <v>129</v>
      </c>
      <c r="B1" s="19" t="s">
        <v>118</v>
      </c>
      <c r="C1" s="19" t="s">
        <v>130</v>
      </c>
      <c r="D1" s="19" t="s">
        <v>131</v>
      </c>
      <c r="E1" s="19" t="s">
        <v>132</v>
      </c>
      <c r="F1" s="19" t="s">
        <v>133</v>
      </c>
      <c r="G1" s="19" t="s">
        <v>134</v>
      </c>
      <c r="H1" s="19" t="s">
        <v>135</v>
      </c>
      <c r="I1" s="19" t="s">
        <v>136</v>
      </c>
      <c r="J1" s="19" t="s">
        <v>137</v>
      </c>
      <c r="K1" s="19" t="s">
        <v>138</v>
      </c>
      <c r="L1" s="19" t="s">
        <v>139</v>
      </c>
      <c r="M1" s="19" t="s">
        <v>140</v>
      </c>
    </row>
    <row r="2" spans="1:13">
      <c r="A2" s="14">
        <v>1</v>
      </c>
      <c r="B2" s="15" t="str">
        <f>'Data Site'!A2</f>
        <v>HJI 325</v>
      </c>
      <c r="C2" s="16">
        <f>'Data Site'!B2</f>
        <v>0.35069444444444442</v>
      </c>
      <c r="D2" s="16">
        <f>'Data Site'!C2</f>
        <v>0.3611111111111111</v>
      </c>
      <c r="E2" s="17">
        <f>'Data Site'!D2</f>
        <v>48700</v>
      </c>
      <c r="F2" s="17">
        <f>'Data Site'!E2</f>
        <v>15020</v>
      </c>
      <c r="G2" s="17">
        <f>'Data Site'!F2</f>
        <v>33680</v>
      </c>
      <c r="H2" s="14" t="str">
        <f>'Data Site'!G2</f>
        <v>晴(Cerah)</v>
      </c>
      <c r="I2" s="14" t="str">
        <f>'Data Site'!H2</f>
        <v>精煤</v>
      </c>
      <c r="J2" s="18">
        <f>IFERROR(_xlfn.XLOOKUP(SUBSTITUTE($B2,"AL ","HJI "),'Jetty Data'!$B$2:$B$142,'Jetty Data'!$C$2:$C$142,""),"-")</f>
        <v>48160</v>
      </c>
      <c r="K2" s="18">
        <f>IFERROR(_xlfn.XLOOKUP(SUBSTITUTE($B2,"AL ","HJI "),'Jetty Data'!$B$2:$B$142,'Jetty Data'!$D$2:$D$142,""),"-")</f>
        <v>15020</v>
      </c>
      <c r="L2" s="18">
        <f>IFERROR(_xlfn.XLOOKUP(SUBSTITUTE($B2,"AL ","HJI "),'Jetty Data'!$B$2:$B$142,'Jetty Data'!$E$2:$E$142,""),"-")</f>
        <v>33140</v>
      </c>
      <c r="M2" s="16">
        <f>IFERROR(_xlfn.XLOOKUP(SUBSTITUTE($B2,"AL ","HJI "),'Jetty Data'!$B$2:$B$142,'Jetty Data'!$F$2:$F$142,""),"-")</f>
        <v>0.55347222222222225</v>
      </c>
    </row>
    <row r="3" spans="1:13">
      <c r="A3" s="14">
        <v>2</v>
      </c>
      <c r="B3" s="15" t="str">
        <f>'Data Site'!A3</f>
        <v>HJI 069</v>
      </c>
      <c r="C3" s="16">
        <f>'Data Site'!B3</f>
        <v>0.35138888888888886</v>
      </c>
      <c r="D3" s="16">
        <f>'Data Site'!C3</f>
        <v>0.37013888888888891</v>
      </c>
      <c r="E3" s="17">
        <f>'Data Site'!D3</f>
        <v>47770</v>
      </c>
      <c r="F3" s="17">
        <f>'Data Site'!E3</f>
        <v>15360</v>
      </c>
      <c r="G3" s="17">
        <f>'Data Site'!F3</f>
        <v>32410</v>
      </c>
      <c r="H3" s="14" t="str">
        <f>'Data Site'!G3</f>
        <v>晴(Cerah)</v>
      </c>
      <c r="I3" s="14" t="str">
        <f>'Data Site'!H3</f>
        <v>精煤</v>
      </c>
      <c r="J3" s="18">
        <f>IFERROR(_xlfn.XLOOKUP(SUBSTITUTE($B3,"AL ","HJI "),'Jetty Data'!$B$2:$B$142,'Jetty Data'!$C$2:$C$142,""),"-")</f>
        <v>47290</v>
      </c>
      <c r="K3" s="18">
        <f>IFERROR(_xlfn.XLOOKUP(SUBSTITUTE($B3,"AL ","HJI "),'Jetty Data'!$B$2:$B$142,'Jetty Data'!$D$2:$D$142,""),"-")</f>
        <v>15360</v>
      </c>
      <c r="L3" s="18">
        <f>IFERROR(_xlfn.XLOOKUP(SUBSTITUTE($B3,"AL ","HJI "),'Jetty Data'!$B$2:$B$142,'Jetty Data'!$E$2:$E$142,""),"-")</f>
        <v>31930</v>
      </c>
      <c r="M3" s="16">
        <f>IFERROR(_xlfn.XLOOKUP(SUBSTITUTE($B3,"AL ","HJI "),'Jetty Data'!$B$2:$B$142,'Jetty Data'!$F$2:$F$142,""),"-")</f>
        <v>0.55277777777777781</v>
      </c>
    </row>
    <row r="4" spans="1:13">
      <c r="A4" s="14">
        <v>3</v>
      </c>
      <c r="B4" s="15" t="str">
        <f>'Data Site'!A4</f>
        <v>HJI 289</v>
      </c>
      <c r="C4" s="16">
        <f>'Data Site'!B4</f>
        <v>0.3527777777777778</v>
      </c>
      <c r="D4" s="16">
        <f>'Data Site'!C4</f>
        <v>0.37291666666666667</v>
      </c>
      <c r="E4" s="17">
        <f>'Data Site'!D4</f>
        <v>50230</v>
      </c>
      <c r="F4" s="17">
        <f>'Data Site'!E4</f>
        <v>15930</v>
      </c>
      <c r="G4" s="17">
        <f>'Data Site'!F4</f>
        <v>34300</v>
      </c>
      <c r="H4" s="14" t="str">
        <f>'Data Site'!G4</f>
        <v>晴(Cerah)</v>
      </c>
      <c r="I4" s="14" t="str">
        <f>'Data Site'!H4</f>
        <v>精煤</v>
      </c>
      <c r="J4" s="18">
        <f>IFERROR(_xlfn.XLOOKUP(SUBSTITUTE($B4,"AL ","HJI "),'Jetty Data'!$B$2:$B$142,'Jetty Data'!$C$2:$C$142,""),"-")</f>
        <v>49930</v>
      </c>
      <c r="K4" s="18">
        <f>IFERROR(_xlfn.XLOOKUP(SUBSTITUTE($B4,"AL ","HJI "),'Jetty Data'!$B$2:$B$142,'Jetty Data'!$D$2:$D$142,""),"-")</f>
        <v>15930</v>
      </c>
      <c r="L4" s="18">
        <f>IFERROR(_xlfn.XLOOKUP(SUBSTITUTE($B4,"AL ","HJI "),'Jetty Data'!$B$2:$B$142,'Jetty Data'!$E$2:$E$142,""),"-")</f>
        <v>34000</v>
      </c>
      <c r="M4" s="16">
        <f>IFERROR(_xlfn.XLOOKUP(SUBSTITUTE($B4,"AL ","HJI "),'Jetty Data'!$B$2:$B$142,'Jetty Data'!$F$2:$F$142,""),"-")</f>
        <v>0.65902777777777777</v>
      </c>
    </row>
    <row r="5" spans="1:13">
      <c r="A5" s="14">
        <v>4</v>
      </c>
      <c r="B5" s="15" t="str">
        <f>'Data Site'!A5</f>
        <v>HJI 519</v>
      </c>
      <c r="C5" s="16">
        <f>'Data Site'!B5</f>
        <v>0.35208333333333336</v>
      </c>
      <c r="D5" s="16">
        <f>'Data Site'!C5</f>
        <v>0.37430555555555556</v>
      </c>
      <c r="E5" s="17">
        <f>'Data Site'!D5</f>
        <v>47660</v>
      </c>
      <c r="F5" s="17">
        <f>'Data Site'!E5</f>
        <v>14980</v>
      </c>
      <c r="G5" s="17">
        <f>'Data Site'!F5</f>
        <v>32680</v>
      </c>
      <c r="H5" s="14" t="str">
        <f>'Data Site'!G5</f>
        <v>晴(Cerah)</v>
      </c>
      <c r="I5" s="14" t="str">
        <f>'Data Site'!H5</f>
        <v>精煤</v>
      </c>
      <c r="J5" s="18">
        <f>IFERROR(_xlfn.XLOOKUP(SUBSTITUTE($B5,"AL ","HJI "),'Jetty Data'!$B$2:$B$142,'Jetty Data'!$C$2:$C$142,""),"-")</f>
        <v>47160</v>
      </c>
      <c r="K5" s="18">
        <f>IFERROR(_xlfn.XLOOKUP(SUBSTITUTE($B5,"AL ","HJI "),'Jetty Data'!$B$2:$B$142,'Jetty Data'!$D$2:$D$142,""),"-")</f>
        <v>14980</v>
      </c>
      <c r="L5" s="18">
        <f>IFERROR(_xlfn.XLOOKUP(SUBSTITUTE($B5,"AL ","HJI "),'Jetty Data'!$B$2:$B$142,'Jetty Data'!$E$2:$E$142,""),"-")</f>
        <v>32180</v>
      </c>
      <c r="M5" s="16">
        <f>IFERROR(_xlfn.XLOOKUP(SUBSTITUTE($B5,"AL ","HJI "),'Jetty Data'!$B$2:$B$142,'Jetty Data'!$F$2:$F$142,""),"-")</f>
        <v>0.65972222222222221</v>
      </c>
    </row>
    <row r="6" spans="1:13">
      <c r="A6" s="14">
        <v>5</v>
      </c>
      <c r="B6" s="15" t="str">
        <f>'Data Site'!A6</f>
        <v>HJI 410</v>
      </c>
      <c r="C6" s="16">
        <f>'Data Site'!B6</f>
        <v>0.35347222222222224</v>
      </c>
      <c r="D6" s="16">
        <f>'Data Site'!C6</f>
        <v>0.40277777777777779</v>
      </c>
      <c r="E6" s="17">
        <f>'Data Site'!D6</f>
        <v>48450</v>
      </c>
      <c r="F6" s="17">
        <f>'Data Site'!E6</f>
        <v>15450</v>
      </c>
      <c r="G6" s="17">
        <f>'Data Site'!F6</f>
        <v>33000</v>
      </c>
      <c r="H6" s="14" t="str">
        <f>'Data Site'!G6</f>
        <v>晴(Cerah)</v>
      </c>
      <c r="I6" s="14" t="str">
        <f>'Data Site'!H6</f>
        <v>精煤</v>
      </c>
      <c r="J6" s="18">
        <f>IFERROR(_xlfn.XLOOKUP(SUBSTITUTE($B6,"AL ","HJI "),'Jetty Data'!$B$2:$B$142,'Jetty Data'!$C$2:$C$142,""),"-")</f>
        <v>48130</v>
      </c>
      <c r="K6" s="18">
        <f>IFERROR(_xlfn.XLOOKUP(SUBSTITUTE($B6,"AL ","HJI "),'Jetty Data'!$B$2:$B$142,'Jetty Data'!$D$2:$D$142,""),"-")</f>
        <v>15450</v>
      </c>
      <c r="L6" s="18">
        <f>IFERROR(_xlfn.XLOOKUP(SUBSTITUTE($B6,"AL ","HJI "),'Jetty Data'!$B$2:$B$142,'Jetty Data'!$E$2:$E$142,""),"-")</f>
        <v>32680</v>
      </c>
      <c r="M6" s="16">
        <f>IFERROR(_xlfn.XLOOKUP(SUBSTITUTE($B6,"AL ","HJI "),'Jetty Data'!$B$2:$B$142,'Jetty Data'!$F$2:$F$142,""),"-")</f>
        <v>0.55069444444444449</v>
      </c>
    </row>
    <row r="7" spans="1:13">
      <c r="A7" s="14">
        <v>6</v>
      </c>
      <c r="B7" s="15" t="str">
        <f>'Data Site'!A7</f>
        <v>HJI 067</v>
      </c>
      <c r="C7" s="16">
        <f>'Data Site'!B7</f>
        <v>0.3527777777777778</v>
      </c>
      <c r="D7" s="16">
        <f>'Data Site'!C7</f>
        <v>0.38055555555555554</v>
      </c>
      <c r="E7" s="17">
        <f>'Data Site'!D7</f>
        <v>49310</v>
      </c>
      <c r="F7" s="17">
        <f>'Data Site'!E7</f>
        <v>15380</v>
      </c>
      <c r="G7" s="17">
        <f>'Data Site'!F7</f>
        <v>33930</v>
      </c>
      <c r="H7" s="14" t="str">
        <f>'Data Site'!G7</f>
        <v>晴(Cerah)</v>
      </c>
      <c r="I7" s="14" t="str">
        <f>'Data Site'!H7</f>
        <v>精煤</v>
      </c>
      <c r="J7" s="18">
        <f>IFERROR(_xlfn.XLOOKUP(SUBSTITUTE($B7,"AL ","HJI "),'Jetty Data'!$B$2:$B$142,'Jetty Data'!$C$2:$C$142,""),"-")</f>
        <v>48780</v>
      </c>
      <c r="K7" s="18">
        <f>IFERROR(_xlfn.XLOOKUP(SUBSTITUTE($B7,"AL ","HJI "),'Jetty Data'!$B$2:$B$142,'Jetty Data'!$D$2:$D$142,""),"-")</f>
        <v>15380</v>
      </c>
      <c r="L7" s="18">
        <f>IFERROR(_xlfn.XLOOKUP(SUBSTITUTE($B7,"AL ","HJI "),'Jetty Data'!$B$2:$B$142,'Jetty Data'!$E$2:$E$142,""),"-")</f>
        <v>33400</v>
      </c>
      <c r="M7" s="16">
        <f>IFERROR(_xlfn.XLOOKUP(SUBSTITUTE($B7,"AL ","HJI "),'Jetty Data'!$B$2:$B$142,'Jetty Data'!$F$2:$F$142,""),"-")</f>
        <v>0.5541666666666667</v>
      </c>
    </row>
    <row r="8" spans="1:13">
      <c r="A8" s="14">
        <v>7</v>
      </c>
      <c r="B8" s="15" t="str">
        <f>'Data Site'!A8</f>
        <v>HJI 290</v>
      </c>
      <c r="C8" s="16">
        <f>'Data Site'!B8</f>
        <v>0.35416666666666669</v>
      </c>
      <c r="D8" s="16">
        <f>'Data Site'!C8</f>
        <v>0.38611111111111113</v>
      </c>
      <c r="E8" s="17">
        <f>'Data Site'!D8</f>
        <v>51180</v>
      </c>
      <c r="F8" s="17">
        <f>'Data Site'!E8</f>
        <v>15090</v>
      </c>
      <c r="G8" s="17">
        <f>'Data Site'!F8</f>
        <v>36090</v>
      </c>
      <c r="H8" s="14" t="str">
        <f>'Data Site'!G8</f>
        <v>晴(Cerah)</v>
      </c>
      <c r="I8" s="14" t="str">
        <f>'Data Site'!H8</f>
        <v>精煤</v>
      </c>
      <c r="J8" s="18">
        <f>IFERROR(_xlfn.XLOOKUP(SUBSTITUTE($B8,"AL ","HJI "),'Jetty Data'!$B$2:$B$142,'Jetty Data'!$C$2:$C$142,""),"-")</f>
        <v>50790</v>
      </c>
      <c r="K8" s="18">
        <f>IFERROR(_xlfn.XLOOKUP(SUBSTITUTE($B8,"AL ","HJI "),'Jetty Data'!$B$2:$B$142,'Jetty Data'!$D$2:$D$142,""),"-")</f>
        <v>15090</v>
      </c>
      <c r="L8" s="18">
        <f>IFERROR(_xlfn.XLOOKUP(SUBSTITUTE($B8,"AL ","HJI "),'Jetty Data'!$B$2:$B$142,'Jetty Data'!$E$2:$E$142,""),"-")</f>
        <v>35700</v>
      </c>
      <c r="M8" s="16">
        <f>IFERROR(_xlfn.XLOOKUP(SUBSTITUTE($B8,"AL ","HJI "),'Jetty Data'!$B$2:$B$142,'Jetty Data'!$F$2:$F$142,""),"-")</f>
        <v>0.55486111111111114</v>
      </c>
    </row>
    <row r="9" spans="1:13">
      <c r="A9" s="14">
        <v>8</v>
      </c>
      <c r="B9" s="15" t="str">
        <f>'Data Site'!A9</f>
        <v>HJI 615</v>
      </c>
      <c r="C9" s="16">
        <f>'Data Site'!B9</f>
        <v>0.35486111111111113</v>
      </c>
      <c r="D9" s="16">
        <f>'Data Site'!C9</f>
        <v>0.38819444444444445</v>
      </c>
      <c r="E9" s="17">
        <f>'Data Site'!D9</f>
        <v>50620</v>
      </c>
      <c r="F9" s="17">
        <f>'Data Site'!E9</f>
        <v>15330</v>
      </c>
      <c r="G9" s="17">
        <f>'Data Site'!F9</f>
        <v>35290</v>
      </c>
      <c r="H9" s="14" t="str">
        <f>'Data Site'!G9</f>
        <v>晴(Cerah)</v>
      </c>
      <c r="I9" s="14" t="str">
        <f>'Data Site'!H9</f>
        <v>精煤</v>
      </c>
      <c r="J9" s="18">
        <f>IFERROR(_xlfn.XLOOKUP(SUBSTITUTE($B9,"AL ","HJI "),'Jetty Data'!$B$2:$B$142,'Jetty Data'!$C$2:$C$142,""),"-")</f>
        <v>49780</v>
      </c>
      <c r="K9" s="18">
        <f>IFERROR(_xlfn.XLOOKUP(SUBSTITUTE($B9,"AL ","HJI "),'Jetty Data'!$B$2:$B$142,'Jetty Data'!$D$2:$D$142,""),"-")</f>
        <v>15330</v>
      </c>
      <c r="L9" s="18">
        <f>IFERROR(_xlfn.XLOOKUP(SUBSTITUTE($B9,"AL ","HJI "),'Jetty Data'!$B$2:$B$142,'Jetty Data'!$E$2:$E$142,""),"-")</f>
        <v>34450</v>
      </c>
      <c r="M9" s="16">
        <f>IFERROR(_xlfn.XLOOKUP(SUBSTITUTE($B9,"AL ","HJI "),'Jetty Data'!$B$2:$B$142,'Jetty Data'!$F$2:$F$142,""),"-")</f>
        <v>0.54722222222222228</v>
      </c>
    </row>
    <row r="10" spans="1:13">
      <c r="A10" s="14">
        <v>9</v>
      </c>
      <c r="B10" s="15" t="str">
        <f>'Data Site'!A10</f>
        <v>HJI 624</v>
      </c>
      <c r="C10" s="16">
        <f>'Data Site'!B10</f>
        <v>0.35486111111111113</v>
      </c>
      <c r="D10" s="16">
        <f>'Data Site'!C10</f>
        <v>0.39374999999999999</v>
      </c>
      <c r="E10" s="17">
        <f>'Data Site'!D10</f>
        <v>50660</v>
      </c>
      <c r="F10" s="17">
        <f>'Data Site'!E10</f>
        <v>15590</v>
      </c>
      <c r="G10" s="17">
        <f>'Data Site'!F10</f>
        <v>35070</v>
      </c>
      <c r="H10" s="14" t="str">
        <f>'Data Site'!G10</f>
        <v>晴(Cerah)</v>
      </c>
      <c r="I10" s="14" t="str">
        <f>'Data Site'!H10</f>
        <v>精煤</v>
      </c>
      <c r="J10" s="18">
        <f>IFERROR(_xlfn.XLOOKUP(SUBSTITUTE($B10,"AL ","HJI "),'Jetty Data'!$B$2:$B$142,'Jetty Data'!$C$2:$C$142,""),"-")</f>
        <v>50200</v>
      </c>
      <c r="K10" s="18">
        <f>IFERROR(_xlfn.XLOOKUP(SUBSTITUTE($B10,"AL ","HJI "),'Jetty Data'!$B$2:$B$142,'Jetty Data'!$D$2:$D$142,""),"-")</f>
        <v>15590</v>
      </c>
      <c r="L10" s="18">
        <f>IFERROR(_xlfn.XLOOKUP(SUBSTITUTE($B10,"AL ","HJI "),'Jetty Data'!$B$2:$B$142,'Jetty Data'!$E$2:$E$142,""),"-")</f>
        <v>34610</v>
      </c>
      <c r="M10" s="16">
        <f>IFERROR(_xlfn.XLOOKUP(SUBSTITUTE($B10,"AL ","HJI "),'Jetty Data'!$B$2:$B$142,'Jetty Data'!$F$2:$F$142,""),"-")</f>
        <v>0.54791666666666672</v>
      </c>
    </row>
    <row r="11" spans="1:13">
      <c r="A11" s="14">
        <v>10</v>
      </c>
      <c r="B11" s="15" t="str">
        <f>'Data Site'!A11</f>
        <v>HJI 600</v>
      </c>
      <c r="C11" s="16">
        <f>'Data Site'!B11</f>
        <v>0.35555555555555557</v>
      </c>
      <c r="D11" s="16">
        <f>'Data Site'!C11</f>
        <v>0.40069444444444446</v>
      </c>
      <c r="E11" s="17">
        <f>'Data Site'!D11</f>
        <v>50530</v>
      </c>
      <c r="F11" s="17">
        <f>'Data Site'!E11</f>
        <v>15730</v>
      </c>
      <c r="G11" s="17">
        <f>'Data Site'!F11</f>
        <v>34800</v>
      </c>
      <c r="H11" s="14" t="str">
        <f>'Data Site'!G11</f>
        <v>晴(Cerah)</v>
      </c>
      <c r="I11" s="14" t="str">
        <f>'Data Site'!H11</f>
        <v>精煤</v>
      </c>
      <c r="J11" s="18">
        <f>IFERROR(_xlfn.XLOOKUP(SUBSTITUTE($B11,"AL ","HJI "),'Jetty Data'!$B$2:$B$142,'Jetty Data'!$C$2:$C$142,""),"-")</f>
        <v>50030</v>
      </c>
      <c r="K11" s="18">
        <f>IFERROR(_xlfn.XLOOKUP(SUBSTITUTE($B11,"AL ","HJI "),'Jetty Data'!$B$2:$B$142,'Jetty Data'!$D$2:$D$142,""),"-")</f>
        <v>15730</v>
      </c>
      <c r="L11" s="18">
        <f>IFERROR(_xlfn.XLOOKUP(SUBSTITUTE($B11,"AL ","HJI "),'Jetty Data'!$B$2:$B$142,'Jetty Data'!$E$2:$E$142,""),"-")</f>
        <v>34300</v>
      </c>
      <c r="M11" s="16">
        <f>IFERROR(_xlfn.XLOOKUP(SUBSTITUTE($B11,"AL ","HJI "),'Jetty Data'!$B$2:$B$142,'Jetty Data'!$F$2:$F$142,""),"-")</f>
        <v>0.55069444444444449</v>
      </c>
    </row>
    <row r="12" spans="1:13">
      <c r="A12" s="14">
        <v>11</v>
      </c>
      <c r="B12" s="15" t="str">
        <f>'Data Site'!A12</f>
        <v>HJI 042</v>
      </c>
      <c r="C12" s="16">
        <f>'Data Site'!B12</f>
        <v>0.39513888888888887</v>
      </c>
      <c r="D12" s="16">
        <f>'Data Site'!C12</f>
        <v>0.40555555555555556</v>
      </c>
      <c r="E12" s="17">
        <f>'Data Site'!D12</f>
        <v>48240</v>
      </c>
      <c r="F12" s="17">
        <f>'Data Site'!E12</f>
        <v>13900</v>
      </c>
      <c r="G12" s="17">
        <f>'Data Site'!F12</f>
        <v>34340</v>
      </c>
      <c r="H12" s="14" t="str">
        <f>'Data Site'!G12</f>
        <v>晴(Cerah)</v>
      </c>
      <c r="I12" s="14" t="str">
        <f>'Data Site'!H12</f>
        <v>精煤</v>
      </c>
      <c r="J12" s="18">
        <f>IFERROR(_xlfn.XLOOKUP(SUBSTITUTE($B12,"AL ","HJI "),'Jetty Data'!$B$2:$B$142,'Jetty Data'!$C$2:$C$142,""),"-")</f>
        <v>47830</v>
      </c>
      <c r="K12" s="18">
        <f>IFERROR(_xlfn.XLOOKUP(SUBSTITUTE($B12,"AL ","HJI "),'Jetty Data'!$B$2:$B$142,'Jetty Data'!$D$2:$D$142,""),"-")</f>
        <v>13900</v>
      </c>
      <c r="L12" s="18">
        <f>IFERROR(_xlfn.XLOOKUP(SUBSTITUTE($B12,"AL ","HJI "),'Jetty Data'!$B$2:$B$142,'Jetty Data'!$E$2:$E$142,""),"-")</f>
        <v>33930</v>
      </c>
      <c r="M12" s="16">
        <f>IFERROR(_xlfn.XLOOKUP(SUBSTITUTE($B12,"AL ","HJI "),'Jetty Data'!$B$2:$B$142,'Jetty Data'!$F$2:$F$142,""),"-")</f>
        <v>0.62152777777777779</v>
      </c>
    </row>
    <row r="13" spans="1:13">
      <c r="A13" s="14">
        <v>12</v>
      </c>
      <c r="B13" s="15" t="str">
        <f>'Data Site'!A13</f>
        <v>HJI 629</v>
      </c>
      <c r="C13" s="16">
        <f>'Data Site'!B13</f>
        <v>0.39513888888888887</v>
      </c>
      <c r="D13" s="16">
        <f>'Data Site'!C13</f>
        <v>0.40694444444444444</v>
      </c>
      <c r="E13" s="17">
        <f>'Data Site'!D13</f>
        <v>47000</v>
      </c>
      <c r="F13" s="17">
        <f>'Data Site'!E13</f>
        <v>14080</v>
      </c>
      <c r="G13" s="17">
        <f>'Data Site'!F13</f>
        <v>32920</v>
      </c>
      <c r="H13" s="14" t="str">
        <f>'Data Site'!G13</f>
        <v>晴(Cerah)</v>
      </c>
      <c r="I13" s="14" t="str">
        <f>'Data Site'!H13</f>
        <v>精煤</v>
      </c>
      <c r="J13" s="18">
        <f>IFERROR(_xlfn.XLOOKUP(SUBSTITUTE($B13,"AL ","HJI "),'Jetty Data'!$B$2:$B$142,'Jetty Data'!$C$2:$C$142,""),"-")</f>
        <v>46610</v>
      </c>
      <c r="K13" s="18">
        <f>IFERROR(_xlfn.XLOOKUP(SUBSTITUTE($B13,"AL ","HJI "),'Jetty Data'!$B$2:$B$142,'Jetty Data'!$D$2:$D$142,""),"-")</f>
        <v>14080</v>
      </c>
      <c r="L13" s="18">
        <f>IFERROR(_xlfn.XLOOKUP(SUBSTITUTE($B13,"AL ","HJI "),'Jetty Data'!$B$2:$B$142,'Jetty Data'!$E$2:$E$142,""),"-")</f>
        <v>32530</v>
      </c>
      <c r="M13" s="16">
        <f>IFERROR(_xlfn.XLOOKUP(SUBSTITUTE($B13,"AL ","HJI "),'Jetty Data'!$B$2:$B$142,'Jetty Data'!$F$2:$F$142,""),"-")</f>
        <v>0.5493055555555556</v>
      </c>
    </row>
    <row r="14" spans="1:13">
      <c r="A14" s="14">
        <v>13</v>
      </c>
      <c r="B14" s="15" t="str">
        <f>'Data Site'!A14</f>
        <v>HJI 610</v>
      </c>
      <c r="C14" s="16">
        <f>'Data Site'!B14</f>
        <v>0.39583333333333331</v>
      </c>
      <c r="D14" s="16">
        <f>'Data Site'!C14</f>
        <v>0.40902777777777777</v>
      </c>
      <c r="E14" s="17">
        <f>'Data Site'!D14</f>
        <v>48680</v>
      </c>
      <c r="F14" s="17">
        <f>'Data Site'!E14</f>
        <v>15280</v>
      </c>
      <c r="G14" s="17">
        <f>'Data Site'!F14</f>
        <v>33400</v>
      </c>
      <c r="H14" s="14" t="str">
        <f>'Data Site'!G14</f>
        <v>晴(Cerah)</v>
      </c>
      <c r="I14" s="14" t="str">
        <f>'Data Site'!H14</f>
        <v>精煤</v>
      </c>
      <c r="J14" s="18">
        <f>IFERROR(_xlfn.XLOOKUP(SUBSTITUTE($B14,"AL ","HJI "),'Jetty Data'!$B$2:$B$142,'Jetty Data'!$C$2:$C$142,""),"-")</f>
        <v>48240</v>
      </c>
      <c r="K14" s="18">
        <f>IFERROR(_xlfn.XLOOKUP(SUBSTITUTE($B14,"AL ","HJI "),'Jetty Data'!$B$2:$B$142,'Jetty Data'!$D$2:$D$142,""),"-")</f>
        <v>15280</v>
      </c>
      <c r="L14" s="18">
        <f>IFERROR(_xlfn.XLOOKUP(SUBSTITUTE($B14,"AL ","HJI "),'Jetty Data'!$B$2:$B$142,'Jetty Data'!$E$2:$E$142,""),"-")</f>
        <v>32960</v>
      </c>
      <c r="M14" s="16">
        <f>IFERROR(_xlfn.XLOOKUP(SUBSTITUTE($B14,"AL ","HJI "),'Jetty Data'!$B$2:$B$142,'Jetty Data'!$F$2:$F$142,""),"-")</f>
        <v>0.55138888888888893</v>
      </c>
    </row>
    <row r="15" spans="1:13">
      <c r="A15" s="14">
        <v>14</v>
      </c>
      <c r="B15" s="15" t="str">
        <f>'Data Site'!A15</f>
        <v>HJI 604</v>
      </c>
      <c r="C15" s="16">
        <f>'Data Site'!B15</f>
        <v>0.39583333333333331</v>
      </c>
      <c r="D15" s="16">
        <f>'Data Site'!C15</f>
        <v>0.41180555555555554</v>
      </c>
      <c r="E15" s="17">
        <f>'Data Site'!D15</f>
        <v>47250</v>
      </c>
      <c r="F15" s="17">
        <f>'Data Site'!E15</f>
        <v>15090</v>
      </c>
      <c r="G15" s="17">
        <f>'Data Site'!F15</f>
        <v>32160</v>
      </c>
      <c r="H15" s="14" t="str">
        <f>'Data Site'!G15</f>
        <v>晴(Cerah)</v>
      </c>
      <c r="I15" s="14" t="str">
        <f>'Data Site'!H15</f>
        <v>精煤</v>
      </c>
      <c r="J15" s="18">
        <f>IFERROR(_xlfn.XLOOKUP(SUBSTITUTE($B15,"AL ","HJI "),'Jetty Data'!$B$2:$B$142,'Jetty Data'!$C$2:$C$142,""),"-")</f>
        <v>46870</v>
      </c>
      <c r="K15" s="18">
        <f>IFERROR(_xlfn.XLOOKUP(SUBSTITUTE($B15,"AL ","HJI "),'Jetty Data'!$B$2:$B$142,'Jetty Data'!$D$2:$D$142,""),"-")</f>
        <v>15090</v>
      </c>
      <c r="L15" s="18">
        <f>IFERROR(_xlfn.XLOOKUP(SUBSTITUTE($B15,"AL ","HJI "),'Jetty Data'!$B$2:$B$142,'Jetty Data'!$E$2:$E$142,""),"-")</f>
        <v>31780</v>
      </c>
      <c r="M15" s="16">
        <f>IFERROR(_xlfn.XLOOKUP(SUBSTITUTE($B15,"AL ","HJI "),'Jetty Data'!$B$2:$B$142,'Jetty Data'!$F$2:$F$142,""),"-")</f>
        <v>0.55000000000000004</v>
      </c>
    </row>
    <row r="16" spans="1:13">
      <c r="A16" s="14">
        <v>15</v>
      </c>
      <c r="B16" s="15" t="str">
        <f>'Data Site'!A16</f>
        <v>HJI 620</v>
      </c>
      <c r="C16" s="16">
        <f>'Data Site'!B16</f>
        <v>0.39652777777777776</v>
      </c>
      <c r="D16" s="16">
        <f>'Data Site'!C16</f>
        <v>0.41319444444444442</v>
      </c>
      <c r="E16" s="17">
        <f>'Data Site'!D16</f>
        <v>47540</v>
      </c>
      <c r="F16" s="17">
        <f>'Data Site'!E16</f>
        <v>14730</v>
      </c>
      <c r="G16" s="17">
        <f>'Data Site'!F16</f>
        <v>32810</v>
      </c>
      <c r="H16" s="14" t="str">
        <f>'Data Site'!G16</f>
        <v>晴(Cerah)</v>
      </c>
      <c r="I16" s="14" t="str">
        <f>'Data Site'!H16</f>
        <v>精煤</v>
      </c>
      <c r="J16" s="18">
        <f>IFERROR(_xlfn.XLOOKUP(SUBSTITUTE($B16,"AL ","HJI "),'Jetty Data'!$B$2:$B$142,'Jetty Data'!$C$2:$C$142,""),"-")</f>
        <v>47120</v>
      </c>
      <c r="K16" s="18">
        <f>IFERROR(_xlfn.XLOOKUP(SUBSTITUTE($B16,"AL ","HJI "),'Jetty Data'!$B$2:$B$142,'Jetty Data'!$D$2:$D$142,""),"-")</f>
        <v>14730</v>
      </c>
      <c r="L16" s="18">
        <f>IFERROR(_xlfn.XLOOKUP(SUBSTITUTE($B16,"AL ","HJI "),'Jetty Data'!$B$2:$B$142,'Jetty Data'!$E$2:$E$142,""),"-")</f>
        <v>32390</v>
      </c>
      <c r="M16" s="16">
        <f>IFERROR(_xlfn.XLOOKUP(SUBSTITUTE($B16,"AL ","HJI "),'Jetty Data'!$B$2:$B$142,'Jetty Data'!$F$2:$F$142,""),"-")</f>
        <v>0.54652777777777772</v>
      </c>
    </row>
    <row r="17" spans="1:13">
      <c r="A17" s="14">
        <v>16</v>
      </c>
      <c r="B17" s="15" t="str">
        <f>'Data Site'!A17</f>
        <v>HJI 607</v>
      </c>
      <c r="C17" s="16">
        <f>'Data Site'!B17</f>
        <v>0.41388888888888886</v>
      </c>
      <c r="D17" s="16">
        <f>'Data Site'!C17</f>
        <v>0.41944444444444445</v>
      </c>
      <c r="E17" s="17">
        <f>'Data Site'!D17</f>
        <v>49010</v>
      </c>
      <c r="F17" s="17">
        <f>'Data Site'!E17</f>
        <v>15420</v>
      </c>
      <c r="G17" s="17">
        <f>'Data Site'!F17</f>
        <v>33590</v>
      </c>
      <c r="H17" s="14" t="str">
        <f>'Data Site'!G17</f>
        <v>晴(Cerah)</v>
      </c>
      <c r="I17" s="14" t="str">
        <f>'Data Site'!H17</f>
        <v>精煤</v>
      </c>
      <c r="J17" s="18">
        <f>IFERROR(_xlfn.XLOOKUP(SUBSTITUTE($B17,"AL ","HJI "),'Jetty Data'!$B$2:$B$142,'Jetty Data'!$C$2:$C$142,""),"-")</f>
        <v>48580</v>
      </c>
      <c r="K17" s="18">
        <f>IFERROR(_xlfn.XLOOKUP(SUBSTITUTE($B17,"AL ","HJI "),'Jetty Data'!$B$2:$B$142,'Jetty Data'!$D$2:$D$142,""),"-")</f>
        <v>15420</v>
      </c>
      <c r="L17" s="18">
        <f>IFERROR(_xlfn.XLOOKUP(SUBSTITUTE($B17,"AL ","HJI "),'Jetty Data'!$B$2:$B$142,'Jetty Data'!$E$2:$E$142,""),"-")</f>
        <v>33160</v>
      </c>
      <c r="M17" s="16">
        <f>IFERROR(_xlfn.XLOOKUP(SUBSTITUTE($B17,"AL ","HJI "),'Jetty Data'!$B$2:$B$142,'Jetty Data'!$F$2:$F$142,""),"-")</f>
        <v>0.56597222222222221</v>
      </c>
    </row>
    <row r="18" spans="1:13">
      <c r="A18" s="14">
        <v>17</v>
      </c>
      <c r="B18" s="15" t="str">
        <f>'Data Site'!A18</f>
        <v>HJI 609</v>
      </c>
      <c r="C18" s="16">
        <f>'Data Site'!B18</f>
        <v>0.4152777777777778</v>
      </c>
      <c r="D18" s="16">
        <f>'Data Site'!C18</f>
        <v>0.42291666666666666</v>
      </c>
      <c r="E18" s="17">
        <f>'Data Site'!D18</f>
        <v>48120</v>
      </c>
      <c r="F18" s="17">
        <f>'Data Site'!E18</f>
        <v>15390</v>
      </c>
      <c r="G18" s="17">
        <f>'Data Site'!F18</f>
        <v>32730</v>
      </c>
      <c r="H18" s="14" t="str">
        <f>'Data Site'!G18</f>
        <v>晴(Cerah)</v>
      </c>
      <c r="I18" s="14" t="str">
        <f>'Data Site'!H18</f>
        <v>精煤</v>
      </c>
      <c r="J18" s="18">
        <f>IFERROR(_xlfn.XLOOKUP(SUBSTITUTE($B18,"AL ","HJI "),'Jetty Data'!$B$2:$B$142,'Jetty Data'!$C$2:$C$142,""),"-")</f>
        <v>47660</v>
      </c>
      <c r="K18" s="18">
        <f>IFERROR(_xlfn.XLOOKUP(SUBSTITUTE($B18,"AL ","HJI "),'Jetty Data'!$B$2:$B$142,'Jetty Data'!$D$2:$D$142,""),"-")</f>
        <v>15390</v>
      </c>
      <c r="L18" s="18">
        <f>IFERROR(_xlfn.XLOOKUP(SUBSTITUTE($B18,"AL ","HJI "),'Jetty Data'!$B$2:$B$142,'Jetty Data'!$E$2:$E$142,""),"-")</f>
        <v>32270</v>
      </c>
      <c r="M18" s="16">
        <f>IFERROR(_xlfn.XLOOKUP(SUBSTITUTE($B18,"AL ","HJI "),'Jetty Data'!$B$2:$B$142,'Jetty Data'!$F$2:$F$142,""),"-")</f>
        <v>0.56527777777777777</v>
      </c>
    </row>
    <row r="19" spans="1:13">
      <c r="A19" s="14">
        <v>18</v>
      </c>
      <c r="B19" s="15" t="str">
        <f>'Data Site'!A19</f>
        <v>HJI 046</v>
      </c>
      <c r="C19" s="16">
        <f>'Data Site'!B19</f>
        <v>0.41736111111111113</v>
      </c>
      <c r="D19" s="16">
        <f>'Data Site'!C19</f>
        <v>0.4236111111111111</v>
      </c>
      <c r="E19" s="17">
        <f>'Data Site'!D19</f>
        <v>49810</v>
      </c>
      <c r="F19" s="17">
        <f>'Data Site'!E19</f>
        <v>14790</v>
      </c>
      <c r="G19" s="17">
        <f>'Data Site'!F19</f>
        <v>35020</v>
      </c>
      <c r="H19" s="14" t="str">
        <f>'Data Site'!G19</f>
        <v>晴(Cerah)</v>
      </c>
      <c r="I19" s="14" t="str">
        <f>'Data Site'!H19</f>
        <v>精煤</v>
      </c>
      <c r="J19" s="18">
        <f>IFERROR(_xlfn.XLOOKUP(SUBSTITUTE($B19,"AL ","HJI "),'Jetty Data'!$B$2:$B$142,'Jetty Data'!$C$2:$C$142,""),"-")</f>
        <v>49380</v>
      </c>
      <c r="K19" s="18">
        <f>IFERROR(_xlfn.XLOOKUP(SUBSTITUTE($B19,"AL ","HJI "),'Jetty Data'!$B$2:$B$142,'Jetty Data'!$D$2:$D$142,""),"-")</f>
        <v>14790</v>
      </c>
      <c r="L19" s="18">
        <f>IFERROR(_xlfn.XLOOKUP(SUBSTITUTE($B19,"AL ","HJI "),'Jetty Data'!$B$2:$B$142,'Jetty Data'!$E$2:$E$142,""),"-")</f>
        <v>34590</v>
      </c>
      <c r="M19" s="16">
        <f>IFERROR(_xlfn.XLOOKUP(SUBSTITUTE($B19,"AL ","HJI "),'Jetty Data'!$B$2:$B$142,'Jetty Data'!$F$2:$F$142,""),"-")</f>
        <v>0.62222222222222223</v>
      </c>
    </row>
    <row r="20" spans="1:13">
      <c r="A20" s="14">
        <v>19</v>
      </c>
      <c r="B20" s="15" t="str">
        <f>'Data Site'!A20</f>
        <v>HJI 339</v>
      </c>
      <c r="C20" s="16">
        <f>'Data Site'!B20</f>
        <v>0.41597222222222224</v>
      </c>
      <c r="D20" s="16">
        <f>'Data Site'!C20</f>
        <v>0.42708333333333331</v>
      </c>
      <c r="E20" s="17">
        <f>'Data Site'!D20</f>
        <v>51770</v>
      </c>
      <c r="F20" s="17">
        <f>'Data Site'!E20</f>
        <v>14440</v>
      </c>
      <c r="G20" s="17">
        <f>'Data Site'!F20</f>
        <v>37330</v>
      </c>
      <c r="H20" s="14" t="str">
        <f>'Data Site'!G20</f>
        <v>晴(Cerah)</v>
      </c>
      <c r="I20" s="14" t="str">
        <f>'Data Site'!H20</f>
        <v>精煤</v>
      </c>
      <c r="J20" s="18">
        <f>IFERROR(_xlfn.XLOOKUP(SUBSTITUTE($B20,"AL ","HJI "),'Jetty Data'!$B$2:$B$142,'Jetty Data'!$C$2:$C$142,""),"-")</f>
        <v>50870</v>
      </c>
      <c r="K20" s="18">
        <f>IFERROR(_xlfn.XLOOKUP(SUBSTITUTE($B20,"AL ","HJI "),'Jetty Data'!$B$2:$B$142,'Jetty Data'!$D$2:$D$142,""),"-")</f>
        <v>14440</v>
      </c>
      <c r="L20" s="18">
        <f>IFERROR(_xlfn.XLOOKUP(SUBSTITUTE($B20,"AL ","HJI "),'Jetty Data'!$B$2:$B$142,'Jetty Data'!$E$2:$E$142,""),"-")</f>
        <v>36430</v>
      </c>
      <c r="M20" s="16">
        <f>IFERROR(_xlfn.XLOOKUP(SUBSTITUTE($B20,"AL ","HJI "),'Jetty Data'!$B$2:$B$142,'Jetty Data'!$F$2:$F$142,""),"-")</f>
        <v>0.60069444444444442</v>
      </c>
    </row>
    <row r="21" spans="1:13">
      <c r="A21" s="14">
        <v>20</v>
      </c>
      <c r="B21" s="15" t="str">
        <f>'Data Site'!A21</f>
        <v>HJI 337</v>
      </c>
      <c r="C21" s="16">
        <f>'Data Site'!B21</f>
        <v>0.41597222222222224</v>
      </c>
      <c r="D21" s="16">
        <f>'Data Site'!C21</f>
        <v>0.43055555555555558</v>
      </c>
      <c r="E21" s="17">
        <f>'Data Site'!D21</f>
        <v>47670</v>
      </c>
      <c r="F21" s="17">
        <f>'Data Site'!E21</f>
        <v>14430</v>
      </c>
      <c r="G21" s="17">
        <f>'Data Site'!F21</f>
        <v>33240</v>
      </c>
      <c r="H21" s="14" t="str">
        <f>'Data Site'!G21</f>
        <v>晴(Cerah)</v>
      </c>
      <c r="I21" s="14" t="str">
        <f>'Data Site'!H21</f>
        <v>精煤</v>
      </c>
      <c r="J21" s="18">
        <f>IFERROR(_xlfn.XLOOKUP(SUBSTITUTE($B21,"AL ","HJI "),'Jetty Data'!$B$2:$B$142,'Jetty Data'!$C$2:$C$142,""),"-")</f>
        <v>46990</v>
      </c>
      <c r="K21" s="18">
        <f>IFERROR(_xlfn.XLOOKUP(SUBSTITUTE($B21,"AL ","HJI "),'Jetty Data'!$B$2:$B$142,'Jetty Data'!$D$2:$D$142,""),"-")</f>
        <v>14430</v>
      </c>
      <c r="L21" s="18">
        <f>IFERROR(_xlfn.XLOOKUP(SUBSTITUTE($B21,"AL ","HJI "),'Jetty Data'!$B$2:$B$142,'Jetty Data'!$E$2:$E$142,""),"-")</f>
        <v>32560</v>
      </c>
      <c r="M21" s="16">
        <f>IFERROR(_xlfn.XLOOKUP(SUBSTITUTE($B21,"AL ","HJI "),'Jetty Data'!$B$2:$B$142,'Jetty Data'!$F$2:$F$142,""),"-")</f>
        <v>0.59930555555555554</v>
      </c>
    </row>
    <row r="22" spans="1:13">
      <c r="A22" s="14">
        <v>21</v>
      </c>
      <c r="B22" s="15" t="str">
        <f>'Data Site'!A22</f>
        <v>HJI 601</v>
      </c>
      <c r="C22" s="16">
        <f>'Data Site'!B22</f>
        <v>0.41666666666666669</v>
      </c>
      <c r="D22" s="16">
        <f>'Data Site'!C22</f>
        <v>0.43194444444444446</v>
      </c>
      <c r="E22" s="17">
        <f>'Data Site'!D22</f>
        <v>48490</v>
      </c>
      <c r="F22" s="17">
        <f>'Data Site'!E22</f>
        <v>14690</v>
      </c>
      <c r="G22" s="17">
        <f>'Data Site'!F22</f>
        <v>33800</v>
      </c>
      <c r="H22" s="14" t="str">
        <f>'Data Site'!G22</f>
        <v>晴(Cerah)</v>
      </c>
      <c r="I22" s="14" t="str">
        <f>'Data Site'!H22</f>
        <v>精煤</v>
      </c>
      <c r="J22" s="18">
        <f>IFERROR(_xlfn.XLOOKUP(SUBSTITUTE($B22,"AL ","HJI "),'Jetty Data'!$B$2:$B$142,'Jetty Data'!$C$2:$C$142,""),"-")</f>
        <v>48070</v>
      </c>
      <c r="K22" s="18">
        <f>IFERROR(_xlfn.XLOOKUP(SUBSTITUTE($B22,"AL ","HJI "),'Jetty Data'!$B$2:$B$142,'Jetty Data'!$D$2:$D$142,""),"-")</f>
        <v>14690</v>
      </c>
      <c r="L22" s="18">
        <f>IFERROR(_xlfn.XLOOKUP(SUBSTITUTE($B22,"AL ","HJI "),'Jetty Data'!$B$2:$B$142,'Jetty Data'!$E$2:$E$142,""),"-")</f>
        <v>33380</v>
      </c>
      <c r="M22" s="16">
        <f>IFERROR(_xlfn.XLOOKUP(SUBSTITUTE($B22,"AL ","HJI "),'Jetty Data'!$B$2:$B$142,'Jetty Data'!$F$2:$F$142,""),"-")</f>
        <v>0.56458333333333333</v>
      </c>
    </row>
    <row r="23" spans="1:13">
      <c r="A23" s="14">
        <v>22</v>
      </c>
      <c r="B23" s="15" t="str">
        <f>'Data Site'!A23</f>
        <v>HJI 602</v>
      </c>
      <c r="C23" s="16">
        <f>'Data Site'!B23</f>
        <v>0.42569444444444443</v>
      </c>
      <c r="D23" s="16">
        <f>'Data Site'!C23</f>
        <v>0.43680555555555556</v>
      </c>
      <c r="E23" s="17">
        <f>'Data Site'!D23</f>
        <v>49170</v>
      </c>
      <c r="F23" s="17">
        <f>'Data Site'!E23</f>
        <v>15760</v>
      </c>
      <c r="G23" s="17">
        <f>'Data Site'!F23</f>
        <v>33410</v>
      </c>
      <c r="H23" s="14" t="str">
        <f>'Data Site'!G23</f>
        <v>晴(Cerah)</v>
      </c>
      <c r="I23" s="14" t="str">
        <f>'Data Site'!H23</f>
        <v>精煤</v>
      </c>
      <c r="J23" s="18">
        <f>IFERROR(_xlfn.XLOOKUP(SUBSTITUTE($B23,"AL ","HJI "),'Jetty Data'!$B$2:$B$142,'Jetty Data'!$C$2:$C$142,""),"-")</f>
        <v>48700</v>
      </c>
      <c r="K23" s="18">
        <f>IFERROR(_xlfn.XLOOKUP(SUBSTITUTE($B23,"AL ","HJI "),'Jetty Data'!$B$2:$B$142,'Jetty Data'!$D$2:$D$142,""),"-")</f>
        <v>15760</v>
      </c>
      <c r="L23" s="18">
        <f>IFERROR(_xlfn.XLOOKUP(SUBSTITUTE($B23,"AL ","HJI "),'Jetty Data'!$B$2:$B$142,'Jetty Data'!$E$2:$E$142,""),"-")</f>
        <v>32940</v>
      </c>
      <c r="M23" s="16">
        <f>IFERROR(_xlfn.XLOOKUP(SUBSTITUTE($B23,"AL ","HJI "),'Jetty Data'!$B$2:$B$142,'Jetty Data'!$F$2:$F$142,""),"-")</f>
        <v>0.58402777777777781</v>
      </c>
    </row>
    <row r="24" spans="1:13">
      <c r="A24" s="14">
        <v>23</v>
      </c>
      <c r="B24" s="15" t="str">
        <f>'Data Site'!A24</f>
        <v>HJI 631</v>
      </c>
      <c r="C24" s="16">
        <f>'Data Site'!B24</f>
        <v>0.41736111111111113</v>
      </c>
      <c r="D24" s="16">
        <f>'Data Site'!C24</f>
        <v>0.43888888888888888</v>
      </c>
      <c r="E24" s="17">
        <f>'Data Site'!D24</f>
        <v>49980</v>
      </c>
      <c r="F24" s="17">
        <f>'Data Site'!E24</f>
        <v>16080</v>
      </c>
      <c r="G24" s="17">
        <f>'Data Site'!F24</f>
        <v>33900</v>
      </c>
      <c r="H24" s="14" t="str">
        <f>'Data Site'!G24</f>
        <v>晴(Cerah)</v>
      </c>
      <c r="I24" s="14" t="str">
        <f>'Data Site'!H24</f>
        <v>精煤</v>
      </c>
      <c r="J24" s="18">
        <f>IFERROR(_xlfn.XLOOKUP(SUBSTITUTE($B24,"AL ","HJI "),'Jetty Data'!$B$2:$B$142,'Jetty Data'!$C$2:$C$142,""),"-")</f>
        <v>49510</v>
      </c>
      <c r="K24" s="18">
        <f>IFERROR(_xlfn.XLOOKUP(SUBSTITUTE($B24,"AL ","HJI "),'Jetty Data'!$B$2:$B$142,'Jetty Data'!$D$2:$D$142,""),"-")</f>
        <v>16080</v>
      </c>
      <c r="L24" s="18">
        <f>IFERROR(_xlfn.XLOOKUP(SUBSTITUTE($B24,"AL ","HJI "),'Jetty Data'!$B$2:$B$142,'Jetty Data'!$E$2:$E$142,""),"-")</f>
        <v>33430</v>
      </c>
      <c r="M24" s="16">
        <f>IFERROR(_xlfn.XLOOKUP(SUBSTITUTE($B24,"AL ","HJI "),'Jetty Data'!$B$2:$B$142,'Jetty Data'!$F$2:$F$142,""),"-")</f>
        <v>0.5756944444444444</v>
      </c>
    </row>
    <row r="25" spans="1:13">
      <c r="A25" s="14">
        <v>24</v>
      </c>
      <c r="B25" s="15" t="str">
        <f>'Data Site'!A25</f>
        <v>HJI 068</v>
      </c>
      <c r="C25" s="16">
        <f>'Data Site'!B25</f>
        <v>0.42499999999999999</v>
      </c>
      <c r="D25" s="16">
        <f>'Data Site'!C25</f>
        <v>0.44236111111111109</v>
      </c>
      <c r="E25" s="17">
        <f>'Data Site'!D25</f>
        <v>49890</v>
      </c>
      <c r="F25" s="17">
        <f>'Data Site'!E25</f>
        <v>15460</v>
      </c>
      <c r="G25" s="17">
        <f>'Data Site'!F25</f>
        <v>34430</v>
      </c>
      <c r="H25" s="14" t="str">
        <f>'Data Site'!G25</f>
        <v>晴(Cerah)</v>
      </c>
      <c r="I25" s="14" t="str">
        <f>'Data Site'!H25</f>
        <v>精煤</v>
      </c>
      <c r="J25" s="18">
        <f>IFERROR(_xlfn.XLOOKUP(SUBSTITUTE($B25,"AL ","HJI "),'Jetty Data'!$B$2:$B$142,'Jetty Data'!$C$2:$C$142,""),"-")</f>
        <v>49490</v>
      </c>
      <c r="K25" s="18">
        <f>IFERROR(_xlfn.XLOOKUP(SUBSTITUTE($B25,"AL ","HJI "),'Jetty Data'!$B$2:$B$142,'Jetty Data'!$D$2:$D$142,""),"-")</f>
        <v>15460</v>
      </c>
      <c r="L25" s="18">
        <f>IFERROR(_xlfn.XLOOKUP(SUBSTITUTE($B25,"AL ","HJI "),'Jetty Data'!$B$2:$B$142,'Jetty Data'!$E$2:$E$142,""),"-")</f>
        <v>34030</v>
      </c>
      <c r="M25" s="16">
        <f>IFERROR(_xlfn.XLOOKUP(SUBSTITUTE($B25,"AL ","HJI "),'Jetty Data'!$B$2:$B$142,'Jetty Data'!$F$2:$F$142,""),"-")</f>
        <v>0.59236111111111112</v>
      </c>
    </row>
    <row r="26" spans="1:13">
      <c r="A26" s="14">
        <v>25</v>
      </c>
      <c r="B26" s="15" t="str">
        <f>'Data Site'!A26</f>
        <v>HJI 644</v>
      </c>
      <c r="C26" s="16">
        <f>'Data Site'!B26</f>
        <v>0.42569444444444443</v>
      </c>
      <c r="D26" s="16">
        <f>'Data Site'!C26</f>
        <v>0.44513888888888886</v>
      </c>
      <c r="E26" s="17">
        <f>'Data Site'!D26</f>
        <v>49660</v>
      </c>
      <c r="F26" s="17">
        <f>'Data Site'!E26</f>
        <v>15730</v>
      </c>
      <c r="G26" s="17">
        <f>'Data Site'!F26</f>
        <v>33930</v>
      </c>
      <c r="H26" s="14" t="str">
        <f>'Data Site'!G26</f>
        <v>晴(Cerah)</v>
      </c>
      <c r="I26" s="14" t="str">
        <f>'Data Site'!H26</f>
        <v>精煤</v>
      </c>
      <c r="J26" s="18">
        <f>IFERROR(_xlfn.XLOOKUP(SUBSTITUTE($B26,"AL ","HJI "),'Jetty Data'!$B$2:$B$142,'Jetty Data'!$C$2:$C$142,""),"-")</f>
        <v>49240</v>
      </c>
      <c r="K26" s="18">
        <f>IFERROR(_xlfn.XLOOKUP(SUBSTITUTE($B26,"AL ","HJI "),'Jetty Data'!$B$2:$B$142,'Jetty Data'!$D$2:$D$142,""),"-")</f>
        <v>15730</v>
      </c>
      <c r="L26" s="18">
        <f>IFERROR(_xlfn.XLOOKUP(SUBSTITUTE($B26,"AL ","HJI "),'Jetty Data'!$B$2:$B$142,'Jetty Data'!$E$2:$E$142,""),"-")</f>
        <v>33510</v>
      </c>
      <c r="M26" s="16">
        <f>IFERROR(_xlfn.XLOOKUP(SUBSTITUTE($B26,"AL ","HJI "),'Jetty Data'!$B$2:$B$142,'Jetty Data'!$F$2:$F$142,""),"-")</f>
        <v>0.5854166666666667</v>
      </c>
    </row>
    <row r="27" spans="1:13">
      <c r="A27" s="14">
        <v>26</v>
      </c>
      <c r="B27" s="15" t="str">
        <f>'Data Site'!A27</f>
        <v>HJI 353</v>
      </c>
      <c r="C27" s="16">
        <f>'Data Site'!B27</f>
        <v>0.43333333333333335</v>
      </c>
      <c r="D27" s="16">
        <f>'Data Site'!C27</f>
        <v>0.44722222222222224</v>
      </c>
      <c r="E27" s="17">
        <f>'Data Site'!D27</f>
        <v>49810</v>
      </c>
      <c r="F27" s="17">
        <f>'Data Site'!E27</f>
        <v>13370</v>
      </c>
      <c r="G27" s="17">
        <f>'Data Site'!F27</f>
        <v>36440</v>
      </c>
      <c r="H27" s="14" t="str">
        <f>'Data Site'!G27</f>
        <v>晴(Cerah)</v>
      </c>
      <c r="I27" s="14" t="str">
        <f>'Data Site'!H27</f>
        <v>精煤</v>
      </c>
      <c r="J27" s="18">
        <f>IFERROR(_xlfn.XLOOKUP(SUBSTITUTE($B27,"AL ","HJI "),'Jetty Data'!$B$2:$B$142,'Jetty Data'!$C$2:$C$142,""),"-")</f>
        <v>49340</v>
      </c>
      <c r="K27" s="18">
        <f>IFERROR(_xlfn.XLOOKUP(SUBSTITUTE($B27,"AL ","HJI "),'Jetty Data'!$B$2:$B$142,'Jetty Data'!$D$2:$D$142,""),"-")</f>
        <v>13370</v>
      </c>
      <c r="L27" s="18">
        <f>IFERROR(_xlfn.XLOOKUP(SUBSTITUTE($B27,"AL ","HJI "),'Jetty Data'!$B$2:$B$142,'Jetty Data'!$E$2:$E$142,""),"-")</f>
        <v>35970</v>
      </c>
      <c r="M27" s="16">
        <f>IFERROR(_xlfn.XLOOKUP(SUBSTITUTE($B27,"AL ","HJI "),'Jetty Data'!$B$2:$B$142,'Jetty Data'!$F$2:$F$142,""),"-")</f>
        <v>0.7270833333333333</v>
      </c>
    </row>
    <row r="28" spans="1:13">
      <c r="A28" s="14">
        <v>27</v>
      </c>
      <c r="B28" s="15" t="str">
        <f>'Data Site'!A28</f>
        <v>HJI 401</v>
      </c>
      <c r="C28" s="16">
        <f>'Data Site'!B28</f>
        <v>0.43402777777777779</v>
      </c>
      <c r="D28" s="16">
        <f>'Data Site'!C28</f>
        <v>0.45</v>
      </c>
      <c r="E28" s="17">
        <f>'Data Site'!D28</f>
        <v>44400</v>
      </c>
      <c r="F28" s="17">
        <f>'Data Site'!E28</f>
        <v>12850</v>
      </c>
      <c r="G28" s="17">
        <f>'Data Site'!F28</f>
        <v>31550</v>
      </c>
      <c r="H28" s="14" t="str">
        <f>'Data Site'!G28</f>
        <v>晴(Cerah)</v>
      </c>
      <c r="I28" s="14" t="str">
        <f>'Data Site'!H28</f>
        <v>精煤</v>
      </c>
      <c r="J28" s="18">
        <f>IFERROR(_xlfn.XLOOKUP(SUBSTITUTE($B28,"AL ","HJI "),'Jetty Data'!$B$2:$B$142,'Jetty Data'!$C$2:$C$142,""),"-")</f>
        <v>44000</v>
      </c>
      <c r="K28" s="18">
        <f>IFERROR(_xlfn.XLOOKUP(SUBSTITUTE($B28,"AL ","HJI "),'Jetty Data'!$B$2:$B$142,'Jetty Data'!$D$2:$D$142,""),"-")</f>
        <v>12850</v>
      </c>
      <c r="L28" s="18">
        <f>IFERROR(_xlfn.XLOOKUP(SUBSTITUTE($B28,"AL ","HJI "),'Jetty Data'!$B$2:$B$142,'Jetty Data'!$E$2:$E$142,""),"-")</f>
        <v>31150</v>
      </c>
      <c r="M28" s="16">
        <f>IFERROR(_xlfn.XLOOKUP(SUBSTITUTE($B28,"AL ","HJI "),'Jetty Data'!$B$2:$B$142,'Jetty Data'!$F$2:$F$142,""),"-")</f>
        <v>0.72777777777777775</v>
      </c>
    </row>
    <row r="29" spans="1:13">
      <c r="A29" s="14">
        <v>28</v>
      </c>
      <c r="B29" s="15" t="str">
        <f>'Data Site'!A29</f>
        <v>HJI 354</v>
      </c>
      <c r="C29" s="16">
        <f>'Data Site'!B29</f>
        <v>0.43402777777777779</v>
      </c>
      <c r="D29" s="16">
        <f>'Data Site'!C29</f>
        <v>0.4513888888888889</v>
      </c>
      <c r="E29" s="17">
        <f>'Data Site'!D29</f>
        <v>48380</v>
      </c>
      <c r="F29" s="17">
        <f>'Data Site'!E29</f>
        <v>12630</v>
      </c>
      <c r="G29" s="17">
        <f>'Data Site'!F29</f>
        <v>35750</v>
      </c>
      <c r="H29" s="14" t="str">
        <f>'Data Site'!G29</f>
        <v>晴(Cerah)</v>
      </c>
      <c r="I29" s="14" t="str">
        <f>'Data Site'!H29</f>
        <v>精煤</v>
      </c>
      <c r="J29" s="18">
        <f>IFERROR(_xlfn.XLOOKUP(SUBSTITUTE($B29,"AL ","HJI "),'Jetty Data'!$B$2:$B$142,'Jetty Data'!$C$2:$C$142,""),"-")</f>
        <v>47910</v>
      </c>
      <c r="K29" s="18">
        <f>IFERROR(_xlfn.XLOOKUP(SUBSTITUTE($B29,"AL ","HJI "),'Jetty Data'!$B$2:$B$142,'Jetty Data'!$D$2:$D$142,""),"-")</f>
        <v>12630</v>
      </c>
      <c r="L29" s="18">
        <f>IFERROR(_xlfn.XLOOKUP(SUBSTITUTE($B29,"AL ","HJI "),'Jetty Data'!$B$2:$B$142,'Jetty Data'!$E$2:$E$142,""),"-")</f>
        <v>35280</v>
      </c>
      <c r="M29" s="16">
        <f>IFERROR(_xlfn.XLOOKUP(SUBSTITUTE($B29,"AL ","HJI "),'Jetty Data'!$B$2:$B$142,'Jetty Data'!$F$2:$F$142,""),"-")</f>
        <v>0.72638888888888886</v>
      </c>
    </row>
    <row r="30" spans="1:13">
      <c r="A30" s="14">
        <v>29</v>
      </c>
      <c r="B30" s="15" t="str">
        <f>'Data Site'!A30</f>
        <v>HJI 621</v>
      </c>
      <c r="C30" s="16">
        <f>'Data Site'!B30</f>
        <v>0.44374999999999998</v>
      </c>
      <c r="D30" s="16">
        <f>'Data Site'!C30</f>
        <v>0.45694444444444443</v>
      </c>
      <c r="E30" s="17">
        <f>'Data Site'!D30</f>
        <v>48710</v>
      </c>
      <c r="F30" s="17">
        <f>'Data Site'!E30</f>
        <v>15170</v>
      </c>
      <c r="G30" s="17">
        <f>'Data Site'!F30</f>
        <v>33540</v>
      </c>
      <c r="H30" s="14" t="str">
        <f>'Data Site'!G30</f>
        <v>晴(Cerah)</v>
      </c>
      <c r="I30" s="14" t="str">
        <f>'Data Site'!H30</f>
        <v>精煤</v>
      </c>
      <c r="J30" s="18">
        <f>IFERROR(_xlfn.XLOOKUP(SUBSTITUTE($B30,"AL ","HJI "),'Jetty Data'!$B$2:$B$142,'Jetty Data'!$C$2:$C$142,""),"-")</f>
        <v>48260</v>
      </c>
      <c r="K30" s="18">
        <f>IFERROR(_xlfn.XLOOKUP(SUBSTITUTE($B30,"AL ","HJI "),'Jetty Data'!$B$2:$B$142,'Jetty Data'!$D$2:$D$142,""),"-")</f>
        <v>15170</v>
      </c>
      <c r="L30" s="18">
        <f>IFERROR(_xlfn.XLOOKUP(SUBSTITUTE($B30,"AL ","HJI "),'Jetty Data'!$B$2:$B$142,'Jetty Data'!$E$2:$E$142,""),"-")</f>
        <v>33090</v>
      </c>
      <c r="M30" s="16">
        <f>IFERROR(_xlfn.XLOOKUP(SUBSTITUTE($B30,"AL ","HJI "),'Jetty Data'!$B$2:$B$142,'Jetty Data'!$F$2:$F$142,""),"-")</f>
        <v>0.60486111111111107</v>
      </c>
    </row>
    <row r="31" spans="1:13">
      <c r="A31" s="14">
        <v>30</v>
      </c>
      <c r="B31" s="15" t="str">
        <f>'Data Site'!A31</f>
        <v>HJI 613</v>
      </c>
      <c r="C31" s="16">
        <f>'Data Site'!B31</f>
        <v>0.44374999999999998</v>
      </c>
      <c r="D31" s="16">
        <f>'Data Site'!C31</f>
        <v>0.45763888888888887</v>
      </c>
      <c r="E31" s="17">
        <f>'Data Site'!D31</f>
        <v>49820</v>
      </c>
      <c r="F31" s="17">
        <f>'Data Site'!E31</f>
        <v>15360</v>
      </c>
      <c r="G31" s="17">
        <f>'Data Site'!F31</f>
        <v>34460</v>
      </c>
      <c r="H31" s="14" t="str">
        <f>'Data Site'!G31</f>
        <v>晴(Cerah)</v>
      </c>
      <c r="I31" s="14" t="str">
        <f>'Data Site'!H31</f>
        <v>精煤</v>
      </c>
      <c r="J31" s="18">
        <f>IFERROR(_xlfn.XLOOKUP(SUBSTITUTE($B31,"AL ","HJI "),'Jetty Data'!$B$2:$B$142,'Jetty Data'!$C$2:$C$142,""),"-")</f>
        <v>49550</v>
      </c>
      <c r="K31" s="18">
        <f>IFERROR(_xlfn.XLOOKUP(SUBSTITUTE($B31,"AL ","HJI "),'Jetty Data'!$B$2:$B$142,'Jetty Data'!$D$2:$D$142,""),"-")</f>
        <v>15360</v>
      </c>
      <c r="L31" s="18">
        <f>IFERROR(_xlfn.XLOOKUP(SUBSTITUTE($B31,"AL ","HJI "),'Jetty Data'!$B$2:$B$142,'Jetty Data'!$E$2:$E$142,""),"-")</f>
        <v>34190</v>
      </c>
      <c r="M31" s="16">
        <f>IFERROR(_xlfn.XLOOKUP(SUBSTITUTE($B31,"AL ","HJI "),'Jetty Data'!$B$2:$B$142,'Jetty Data'!$F$2:$F$142,""),"-")</f>
        <v>0.625</v>
      </c>
    </row>
    <row r="32" spans="1:13">
      <c r="A32" s="14">
        <v>31</v>
      </c>
      <c r="B32" s="15" t="str">
        <f>'Data Site'!A32</f>
        <v>HJI 908</v>
      </c>
      <c r="C32" s="16">
        <f>'Data Site'!B32</f>
        <v>0.45277777777777778</v>
      </c>
      <c r="D32" s="16">
        <f>'Data Site'!C32</f>
        <v>0.46180555555555558</v>
      </c>
      <c r="E32" s="17">
        <f>'Data Site'!D32</f>
        <v>49960</v>
      </c>
      <c r="F32" s="17">
        <f>'Data Site'!E32</f>
        <v>14190</v>
      </c>
      <c r="G32" s="17">
        <f>'Data Site'!F32</f>
        <v>35770</v>
      </c>
      <c r="H32" s="14" t="str">
        <f>'Data Site'!G32</f>
        <v>晴(Cerah)</v>
      </c>
      <c r="I32" s="14" t="str">
        <f>'Data Site'!H32</f>
        <v>精煤</v>
      </c>
      <c r="J32" s="18">
        <f>IFERROR(_xlfn.XLOOKUP(SUBSTITUTE($B32,"AL ","HJI "),'Jetty Data'!$B$2:$B$142,'Jetty Data'!$C$2:$C$142,""),"-")</f>
        <v>49470</v>
      </c>
      <c r="K32" s="18">
        <f>IFERROR(_xlfn.XLOOKUP(SUBSTITUTE($B32,"AL ","HJI "),'Jetty Data'!$B$2:$B$142,'Jetty Data'!$D$2:$D$142,""),"-")</f>
        <v>14190</v>
      </c>
      <c r="L32" s="18">
        <f>IFERROR(_xlfn.XLOOKUP(SUBSTITUTE($B32,"AL ","HJI "),'Jetty Data'!$B$2:$B$142,'Jetty Data'!$E$2:$E$142,""),"-")</f>
        <v>35280</v>
      </c>
      <c r="M32" s="16">
        <f>IFERROR(_xlfn.XLOOKUP(SUBSTITUTE($B32,"AL ","HJI "),'Jetty Data'!$B$2:$B$142,'Jetty Data'!$F$2:$F$142,""),"-")</f>
        <v>0.63124999999999998</v>
      </c>
    </row>
    <row r="33" spans="1:13">
      <c r="A33" s="14">
        <v>32</v>
      </c>
      <c r="B33" s="15" t="str">
        <f>'Data Site'!A33</f>
        <v>HJI 313</v>
      </c>
      <c r="C33" s="16">
        <f>'Data Site'!B33</f>
        <v>0.44444444444444442</v>
      </c>
      <c r="D33" s="16">
        <f>'Data Site'!C33</f>
        <v>0.46527777777777779</v>
      </c>
      <c r="E33" s="17">
        <f>'Data Site'!D33</f>
        <v>63070</v>
      </c>
      <c r="F33" s="17">
        <f>'Data Site'!E33</f>
        <v>19440</v>
      </c>
      <c r="G33" s="17">
        <f>'Data Site'!F33</f>
        <v>43630</v>
      </c>
      <c r="H33" s="14" t="str">
        <f>'Data Site'!G33</f>
        <v>晴(Cerah)</v>
      </c>
      <c r="I33" s="14" t="str">
        <f>'Data Site'!H33</f>
        <v>精煤</v>
      </c>
      <c r="J33" s="18">
        <f>IFERROR(_xlfn.XLOOKUP(SUBSTITUTE($B33,"AL ","HJI "),'Jetty Data'!$B$2:$B$142,'Jetty Data'!$C$2:$C$142,""),"-")</f>
        <v>63070</v>
      </c>
      <c r="K33" s="18">
        <f>IFERROR(_xlfn.XLOOKUP(SUBSTITUTE($B33,"AL ","HJI "),'Jetty Data'!$B$2:$B$142,'Jetty Data'!$D$2:$D$142,""),"-")</f>
        <v>19440</v>
      </c>
      <c r="L33" s="18">
        <f>IFERROR(_xlfn.XLOOKUP(SUBSTITUTE($B33,"AL ","HJI "),'Jetty Data'!$B$2:$B$142,'Jetty Data'!$E$2:$E$142,""),"-")</f>
        <v>43630</v>
      </c>
      <c r="M33" s="16">
        <f>IFERROR(_xlfn.XLOOKUP(SUBSTITUTE($B33,"AL ","HJI "),'Jetty Data'!$B$2:$B$142,'Jetty Data'!$F$2:$F$142,""),"-")</f>
        <v>0.62569444444444444</v>
      </c>
    </row>
    <row r="34" spans="1:13">
      <c r="A34" s="14">
        <v>33</v>
      </c>
      <c r="B34" s="15" t="str">
        <f>'Data Site'!A34</f>
        <v>HJI 903</v>
      </c>
      <c r="C34" s="16">
        <f>'Data Site'!B34</f>
        <v>0.45347222222222222</v>
      </c>
      <c r="D34" s="16">
        <f>'Data Site'!C34</f>
        <v>0.46666666666666667</v>
      </c>
      <c r="E34" s="17">
        <f>'Data Site'!D34</f>
        <v>51730</v>
      </c>
      <c r="F34" s="17">
        <f>'Data Site'!E34</f>
        <v>15720</v>
      </c>
      <c r="G34" s="17">
        <f>'Data Site'!F34</f>
        <v>36010</v>
      </c>
      <c r="H34" s="14" t="str">
        <f>'Data Site'!G34</f>
        <v>晴(Cerah)</v>
      </c>
      <c r="I34" s="14" t="str">
        <f>'Data Site'!H34</f>
        <v>精煤</v>
      </c>
      <c r="J34" s="18">
        <f>IFERROR(_xlfn.XLOOKUP(SUBSTITUTE($B34,"AL ","HJI "),'Jetty Data'!$B$2:$B$142,'Jetty Data'!$C$2:$C$142,""),"-")</f>
        <v>51340</v>
      </c>
      <c r="K34" s="18">
        <f>IFERROR(_xlfn.XLOOKUP(SUBSTITUTE($B34,"AL ","HJI "),'Jetty Data'!$B$2:$B$142,'Jetty Data'!$D$2:$D$142,""),"-")</f>
        <v>15720</v>
      </c>
      <c r="L34" s="18">
        <f>IFERROR(_xlfn.XLOOKUP(SUBSTITUTE($B34,"AL ","HJI "),'Jetty Data'!$B$2:$B$142,'Jetty Data'!$E$2:$E$142,""),"-")</f>
        <v>35620</v>
      </c>
      <c r="M34" s="16">
        <f>IFERROR(_xlfn.XLOOKUP(SUBSTITUTE($B34,"AL ","HJI "),'Jetty Data'!$B$2:$B$142,'Jetty Data'!$F$2:$F$142,""),"-")</f>
        <v>0.63194444444444442</v>
      </c>
    </row>
    <row r="35" spans="1:13">
      <c r="A35" s="14">
        <v>34</v>
      </c>
      <c r="B35" s="15" t="str">
        <f>'Data Site'!A35</f>
        <v>HJI 901</v>
      </c>
      <c r="C35" s="16">
        <f>'Data Site'!B35</f>
        <v>0.45416666666666666</v>
      </c>
      <c r="D35" s="16">
        <f>'Data Site'!C35</f>
        <v>0.47013888888888888</v>
      </c>
      <c r="E35" s="17">
        <f>'Data Site'!D35</f>
        <v>50100</v>
      </c>
      <c r="F35" s="17">
        <f>'Data Site'!E35</f>
        <v>15980</v>
      </c>
      <c r="G35" s="17">
        <f>'Data Site'!F35</f>
        <v>34120</v>
      </c>
      <c r="H35" s="14" t="str">
        <f>'Data Site'!G35</f>
        <v>晴(Cerah)</v>
      </c>
      <c r="I35" s="14" t="str">
        <f>'Data Site'!H35</f>
        <v>精煤</v>
      </c>
      <c r="J35" s="18">
        <f>IFERROR(_xlfn.XLOOKUP(SUBSTITUTE($B35,"AL ","HJI "),'Jetty Data'!$B$2:$B$142,'Jetty Data'!$C$2:$C$142,""),"-")</f>
        <v>49700</v>
      </c>
      <c r="K35" s="18">
        <f>IFERROR(_xlfn.XLOOKUP(SUBSTITUTE($B35,"AL ","HJI "),'Jetty Data'!$B$2:$B$142,'Jetty Data'!$D$2:$D$142,""),"-")</f>
        <v>15980</v>
      </c>
      <c r="L35" s="18">
        <f>IFERROR(_xlfn.XLOOKUP(SUBSTITUTE($B35,"AL ","HJI "),'Jetty Data'!$B$2:$B$142,'Jetty Data'!$E$2:$E$142,""),"-")</f>
        <v>33720</v>
      </c>
      <c r="M35" s="16">
        <f>IFERROR(_xlfn.XLOOKUP(SUBSTITUTE($B35,"AL ","HJI "),'Jetty Data'!$B$2:$B$142,'Jetty Data'!$F$2:$F$142,""),"-")</f>
        <v>0.63263888888888886</v>
      </c>
    </row>
    <row r="36" spans="1:13">
      <c r="A36" s="14">
        <v>35</v>
      </c>
      <c r="B36" s="15" t="str">
        <f>'Data Site'!A36</f>
        <v>HJI 611</v>
      </c>
      <c r="C36" s="16">
        <f>'Data Site'!B36</f>
        <v>0.45416666666666666</v>
      </c>
      <c r="D36" s="16">
        <f>'Data Site'!C36</f>
        <v>0.47152777777777777</v>
      </c>
      <c r="E36" s="17">
        <f>'Data Site'!D36</f>
        <v>49570</v>
      </c>
      <c r="F36" s="17">
        <f>'Data Site'!E36</f>
        <v>15100</v>
      </c>
      <c r="G36" s="17">
        <f>'Data Site'!F36</f>
        <v>34470</v>
      </c>
      <c r="H36" s="14" t="str">
        <f>'Data Site'!G36</f>
        <v>晴(Cerah)</v>
      </c>
      <c r="I36" s="14" t="str">
        <f>'Data Site'!H36</f>
        <v>精煤</v>
      </c>
      <c r="J36" s="18">
        <f>IFERROR(_xlfn.XLOOKUP(SUBSTITUTE($B36,"AL ","HJI "),'Jetty Data'!$B$2:$B$142,'Jetty Data'!$C$2:$C$142,""),"-")</f>
        <v>49170</v>
      </c>
      <c r="K36" s="18">
        <f>IFERROR(_xlfn.XLOOKUP(SUBSTITUTE($B36,"AL ","HJI "),'Jetty Data'!$B$2:$B$142,'Jetty Data'!$D$2:$D$142,""),"-")</f>
        <v>15100</v>
      </c>
      <c r="L36" s="18">
        <f>IFERROR(_xlfn.XLOOKUP(SUBSTITUTE($B36,"AL ","HJI "),'Jetty Data'!$B$2:$B$142,'Jetty Data'!$E$2:$E$142,""),"-")</f>
        <v>34070</v>
      </c>
      <c r="M36" s="16">
        <f>IFERROR(_xlfn.XLOOKUP(SUBSTITUTE($B36,"AL ","HJI "),'Jetty Data'!$B$2:$B$142,'Jetty Data'!$F$2:$F$142,""),"-")</f>
        <v>0.62430555555555556</v>
      </c>
    </row>
    <row r="37" spans="1:13">
      <c r="A37" s="14">
        <v>36</v>
      </c>
      <c r="B37" s="15" t="str">
        <f>'Data Site'!A37</f>
        <v>HJI 617</v>
      </c>
      <c r="C37" s="16">
        <f>'Data Site'!B37</f>
        <v>0.4548611111111111</v>
      </c>
      <c r="D37" s="16">
        <f>'Data Site'!C37</f>
        <v>0.47569444444444442</v>
      </c>
      <c r="E37" s="17">
        <f>'Data Site'!D37</f>
        <v>49200</v>
      </c>
      <c r="F37" s="17">
        <f>'Data Site'!E37</f>
        <v>14840</v>
      </c>
      <c r="G37" s="17">
        <f>'Data Site'!F37</f>
        <v>34360</v>
      </c>
      <c r="H37" s="14" t="str">
        <f>'Data Site'!G37</f>
        <v>晴(Cerah)</v>
      </c>
      <c r="I37" s="14" t="str">
        <f>'Data Site'!H37</f>
        <v>精煤</v>
      </c>
      <c r="J37" s="18">
        <f>IFERROR(_xlfn.XLOOKUP(SUBSTITUTE($B37,"AL ","HJI "),'Jetty Data'!$B$2:$B$142,'Jetty Data'!$C$2:$C$142,""),"-")</f>
        <v>48770</v>
      </c>
      <c r="K37" s="18">
        <f>IFERROR(_xlfn.XLOOKUP(SUBSTITUTE($B37,"AL ","HJI "),'Jetty Data'!$B$2:$B$142,'Jetty Data'!$D$2:$D$142,""),"-")</f>
        <v>14840</v>
      </c>
      <c r="L37" s="18">
        <f>IFERROR(_xlfn.XLOOKUP(SUBSTITUTE($B37,"AL ","HJI "),'Jetty Data'!$B$2:$B$142,'Jetty Data'!$E$2:$E$142,""),"-")</f>
        <v>33930</v>
      </c>
      <c r="M37" s="16">
        <f>IFERROR(_xlfn.XLOOKUP(SUBSTITUTE($B37,"AL ","HJI "),'Jetty Data'!$B$2:$B$142,'Jetty Data'!$F$2:$F$142,""),"-")</f>
        <v>0.625</v>
      </c>
    </row>
    <row r="38" spans="1:13">
      <c r="A38" s="14">
        <v>37</v>
      </c>
      <c r="B38" s="15" t="str">
        <f>'Data Site'!A38</f>
        <v>HJI 051</v>
      </c>
      <c r="C38" s="16">
        <f>'Data Site'!B38</f>
        <v>0.46319444444444446</v>
      </c>
      <c r="D38" s="16">
        <f>'Data Site'!C38</f>
        <v>0.4777777777777778</v>
      </c>
      <c r="E38" s="17">
        <f>'Data Site'!D38</f>
        <v>49570</v>
      </c>
      <c r="F38" s="17">
        <f>'Data Site'!E38</f>
        <v>13820</v>
      </c>
      <c r="G38" s="17">
        <f>'Data Site'!F38</f>
        <v>35750</v>
      </c>
      <c r="H38" s="14" t="str">
        <f>'Data Site'!G38</f>
        <v>晴(Cerah)</v>
      </c>
      <c r="I38" s="14" t="str">
        <f>'Data Site'!H38</f>
        <v>精煤</v>
      </c>
      <c r="J38" s="18">
        <f>IFERROR(_xlfn.XLOOKUP(SUBSTITUTE($B38,"AL ","HJI "),'Jetty Data'!$B$2:$B$142,'Jetty Data'!$C$2:$C$142,""),"-")</f>
        <v>49110</v>
      </c>
      <c r="K38" s="18">
        <f>IFERROR(_xlfn.XLOOKUP(SUBSTITUTE($B38,"AL ","HJI "),'Jetty Data'!$B$2:$B$142,'Jetty Data'!$D$2:$D$142,""),"-")</f>
        <v>13820</v>
      </c>
      <c r="L38" s="18">
        <f>IFERROR(_xlfn.XLOOKUP(SUBSTITUTE($B38,"AL ","HJI "),'Jetty Data'!$B$2:$B$142,'Jetty Data'!$E$2:$E$142,""),"-")</f>
        <v>35290</v>
      </c>
      <c r="M38" s="16">
        <f>IFERROR(_xlfn.XLOOKUP(SUBSTITUTE($B38,"AL ","HJI "),'Jetty Data'!$B$2:$B$142,'Jetty Data'!$F$2:$F$142,""),"-")</f>
        <v>0.64861111111111114</v>
      </c>
    </row>
    <row r="39" spans="1:13">
      <c r="A39" s="14">
        <v>38</v>
      </c>
      <c r="B39" s="15" t="str">
        <f>'Data Site'!A39</f>
        <v>HJI 219</v>
      </c>
      <c r="C39" s="16">
        <f>'Data Site'!B39</f>
        <v>0.46388888888888891</v>
      </c>
      <c r="D39" s="16">
        <f>'Data Site'!C39</f>
        <v>0.47986111111111113</v>
      </c>
      <c r="E39" s="17">
        <f>'Data Site'!D39</f>
        <v>49410</v>
      </c>
      <c r="F39" s="17">
        <f>'Data Site'!E39</f>
        <v>14510</v>
      </c>
      <c r="G39" s="17">
        <f>'Data Site'!F39</f>
        <v>34900</v>
      </c>
      <c r="H39" s="14" t="str">
        <f>'Data Site'!G39</f>
        <v>晴(Cerah)</v>
      </c>
      <c r="I39" s="14" t="str">
        <f>'Data Site'!H39</f>
        <v>精煤</v>
      </c>
      <c r="J39" s="18">
        <f>IFERROR(_xlfn.XLOOKUP(SUBSTITUTE($B39,"AL ","HJI "),'Jetty Data'!$B$2:$B$142,'Jetty Data'!$C$2:$C$142,""),"-")</f>
        <v>49090</v>
      </c>
      <c r="K39" s="18">
        <f>IFERROR(_xlfn.XLOOKUP(SUBSTITUTE($B39,"AL ","HJI "),'Jetty Data'!$B$2:$B$142,'Jetty Data'!$D$2:$D$142,""),"-")</f>
        <v>14510</v>
      </c>
      <c r="L39" s="18">
        <f>IFERROR(_xlfn.XLOOKUP(SUBSTITUTE($B39,"AL ","HJI "),'Jetty Data'!$B$2:$B$142,'Jetty Data'!$E$2:$E$142,""),"-")</f>
        <v>34580</v>
      </c>
      <c r="M39" s="16">
        <f>IFERROR(_xlfn.XLOOKUP(SUBSTITUTE($B39,"AL ","HJI "),'Jetty Data'!$B$2:$B$142,'Jetty Data'!$F$2:$F$142,""),"-")</f>
        <v>0.65625</v>
      </c>
    </row>
    <row r="40" spans="1:13">
      <c r="A40" s="14">
        <v>39</v>
      </c>
      <c r="B40" s="15" t="str">
        <f>'Data Site'!A40</f>
        <v>HJI 892</v>
      </c>
      <c r="C40" s="16">
        <f>'Data Site'!B40</f>
        <v>0.46458333333333335</v>
      </c>
      <c r="D40" s="16">
        <f>'Data Site'!C40</f>
        <v>0.4826388888888889</v>
      </c>
      <c r="E40" s="17">
        <f>'Data Site'!D40</f>
        <v>47800</v>
      </c>
      <c r="F40" s="17">
        <f>'Data Site'!E40</f>
        <v>14780</v>
      </c>
      <c r="G40" s="17">
        <f>'Data Site'!F40</f>
        <v>33020</v>
      </c>
      <c r="H40" s="14" t="str">
        <f>'Data Site'!G40</f>
        <v>晴(Cerah)</v>
      </c>
      <c r="I40" s="14" t="str">
        <f>'Data Site'!H40</f>
        <v>精煤</v>
      </c>
      <c r="J40" s="18">
        <f>IFERROR(_xlfn.XLOOKUP(SUBSTITUTE($B40,"AL ","HJI "),'Jetty Data'!$B$2:$B$142,'Jetty Data'!$C$2:$C$142,""),"-")</f>
        <v>47380</v>
      </c>
      <c r="K40" s="18">
        <f>IFERROR(_xlfn.XLOOKUP(SUBSTITUTE($B40,"AL ","HJI "),'Jetty Data'!$B$2:$B$142,'Jetty Data'!$D$2:$D$142,""),"-")</f>
        <v>14780</v>
      </c>
      <c r="L40" s="18">
        <f>IFERROR(_xlfn.XLOOKUP(SUBSTITUTE($B40,"AL ","HJI "),'Jetty Data'!$B$2:$B$142,'Jetty Data'!$E$2:$E$142,""),"-")</f>
        <v>32600</v>
      </c>
      <c r="M40" s="16">
        <f>IFERROR(_xlfn.XLOOKUP(SUBSTITUTE($B40,"AL ","HJI "),'Jetty Data'!$B$2:$B$142,'Jetty Data'!$F$2:$F$142,""),"-")</f>
        <v>0.62708333333333333</v>
      </c>
    </row>
    <row r="41" spans="1:13">
      <c r="A41" s="14">
        <v>40</v>
      </c>
      <c r="B41" s="15" t="str">
        <f>'Data Site'!A41</f>
        <v>HJI 802</v>
      </c>
      <c r="C41" s="16">
        <f>'Data Site'!B41</f>
        <v>0.46388888888888891</v>
      </c>
      <c r="D41" s="16">
        <f>'Data Site'!C41</f>
        <v>0.48402777777777778</v>
      </c>
      <c r="E41" s="17">
        <f>'Data Site'!D41</f>
        <v>51880</v>
      </c>
      <c r="F41" s="17">
        <f>'Data Site'!E41</f>
        <v>15240</v>
      </c>
      <c r="G41" s="17">
        <f>'Data Site'!F41</f>
        <v>36640</v>
      </c>
      <c r="H41" s="14" t="str">
        <f>'Data Site'!G41</f>
        <v>晴(Cerah)</v>
      </c>
      <c r="I41" s="14" t="str">
        <f>'Data Site'!H41</f>
        <v>精煤</v>
      </c>
      <c r="J41" s="18">
        <f>IFERROR(_xlfn.XLOOKUP(SUBSTITUTE($B41,"AL ","HJI "),'Jetty Data'!$B$2:$B$142,'Jetty Data'!$C$2:$C$142,""),"-")</f>
        <v>50170</v>
      </c>
      <c r="K41" s="18">
        <f>IFERROR(_xlfn.XLOOKUP(SUBSTITUTE($B41,"AL ","HJI "),'Jetty Data'!$B$2:$B$142,'Jetty Data'!$D$2:$D$142,""),"-")</f>
        <v>15240</v>
      </c>
      <c r="L41" s="18">
        <f>IFERROR(_xlfn.XLOOKUP(SUBSTITUTE($B41,"AL ","HJI "),'Jetty Data'!$B$2:$B$142,'Jetty Data'!$E$2:$E$142,""),"-")</f>
        <v>34930</v>
      </c>
      <c r="M41" s="16">
        <f>IFERROR(_xlfn.XLOOKUP(SUBSTITUTE($B41,"AL ","HJI "),'Jetty Data'!$B$2:$B$142,'Jetty Data'!$F$2:$F$142,""),"-")</f>
        <v>0.64652777777777781</v>
      </c>
    </row>
    <row r="42" spans="1:13">
      <c r="A42" s="14">
        <v>41</v>
      </c>
      <c r="B42" s="15" t="str">
        <f>'Data Site'!A42</f>
        <v>HJI 036</v>
      </c>
      <c r="C42" s="16">
        <f>'Data Site'!B42</f>
        <v>0.47291666666666665</v>
      </c>
      <c r="D42" s="16">
        <f>'Data Site'!C42</f>
        <v>0.48749999999999999</v>
      </c>
      <c r="E42" s="17">
        <f>'Data Site'!D42</f>
        <v>47120</v>
      </c>
      <c r="F42" s="17">
        <f>'Data Site'!E42</f>
        <v>15100</v>
      </c>
      <c r="G42" s="17">
        <f>'Data Site'!F42</f>
        <v>32020</v>
      </c>
      <c r="H42" s="14" t="str">
        <f>'Data Site'!G42</f>
        <v>晴(Cerah)</v>
      </c>
      <c r="I42" s="14" t="str">
        <f>'Data Site'!H42</f>
        <v>精煤</v>
      </c>
      <c r="J42" s="18">
        <f>IFERROR(_xlfn.XLOOKUP(SUBSTITUTE($B42,"AL ","HJI "),'Jetty Data'!$B$2:$B$142,'Jetty Data'!$C$2:$C$142,""),"-")</f>
        <v>46750</v>
      </c>
      <c r="K42" s="18">
        <f>IFERROR(_xlfn.XLOOKUP(SUBSTITUTE($B42,"AL ","HJI "),'Jetty Data'!$B$2:$B$142,'Jetty Data'!$D$2:$D$142,""),"-")</f>
        <v>15100</v>
      </c>
      <c r="L42" s="18">
        <f>IFERROR(_xlfn.XLOOKUP(SUBSTITUTE($B42,"AL ","HJI "),'Jetty Data'!$B$2:$B$142,'Jetty Data'!$E$2:$E$142,""),"-")</f>
        <v>31650</v>
      </c>
      <c r="M42" s="16">
        <f>IFERROR(_xlfn.XLOOKUP(SUBSTITUTE($B42,"AL ","HJI "),'Jetty Data'!$B$2:$B$142,'Jetty Data'!$F$2:$F$142,""),"-")</f>
        <v>0.68402777777777779</v>
      </c>
    </row>
    <row r="43" spans="1:13">
      <c r="A43" s="14">
        <v>42</v>
      </c>
      <c r="B43" s="15" t="str">
        <f>'Data Site'!A43</f>
        <v>HJI 017</v>
      </c>
      <c r="C43" s="16">
        <f>'Data Site'!B43</f>
        <v>0.47291666666666665</v>
      </c>
      <c r="D43" s="16">
        <f>'Data Site'!C43</f>
        <v>0.48888888888888887</v>
      </c>
      <c r="E43" s="17">
        <f>'Data Site'!D43</f>
        <v>50320</v>
      </c>
      <c r="F43" s="17">
        <f>'Data Site'!E43</f>
        <v>15460</v>
      </c>
      <c r="G43" s="17">
        <f>'Data Site'!F43</f>
        <v>34860</v>
      </c>
      <c r="H43" s="14" t="str">
        <f>'Data Site'!G43</f>
        <v>晴(Cerah)</v>
      </c>
      <c r="I43" s="14" t="str">
        <f>'Data Site'!H43</f>
        <v>精煤</v>
      </c>
      <c r="J43" s="18">
        <f>IFERROR(_xlfn.XLOOKUP(SUBSTITUTE($B43,"AL ","HJI "),'Jetty Data'!$B$2:$B$142,'Jetty Data'!$C$2:$C$142,""),"-")</f>
        <v>50020</v>
      </c>
      <c r="K43" s="18">
        <f>IFERROR(_xlfn.XLOOKUP(SUBSTITUTE($B43,"AL ","HJI "),'Jetty Data'!$B$2:$B$142,'Jetty Data'!$D$2:$D$142,""),"-")</f>
        <v>15460</v>
      </c>
      <c r="L43" s="18">
        <f>IFERROR(_xlfn.XLOOKUP(SUBSTITUTE($B43,"AL ","HJI "),'Jetty Data'!$B$2:$B$142,'Jetty Data'!$E$2:$E$142,""),"-")</f>
        <v>34560</v>
      </c>
      <c r="M43" s="16">
        <f>IFERROR(_xlfn.XLOOKUP(SUBSTITUTE($B43,"AL ","HJI "),'Jetty Data'!$B$2:$B$142,'Jetty Data'!$F$2:$F$142,""),"-")</f>
        <v>0.68333333333333335</v>
      </c>
    </row>
    <row r="44" spans="1:13">
      <c r="A44" s="14">
        <v>43</v>
      </c>
      <c r="B44" s="15" t="str">
        <f>'Data Site'!A44</f>
        <v>HJI 039</v>
      </c>
      <c r="C44" s="16">
        <f>'Data Site'!B44</f>
        <v>0.47361111111111109</v>
      </c>
      <c r="D44" s="16">
        <f>'Data Site'!C44</f>
        <v>0.49166666666666664</v>
      </c>
      <c r="E44" s="17">
        <f>'Data Site'!D44</f>
        <v>50040</v>
      </c>
      <c r="F44" s="17">
        <f>'Data Site'!E44</f>
        <v>15430</v>
      </c>
      <c r="G44" s="17">
        <f>'Data Site'!F44</f>
        <v>34610</v>
      </c>
      <c r="H44" s="14" t="str">
        <f>'Data Site'!G44</f>
        <v>晴(Cerah)</v>
      </c>
      <c r="I44" s="14" t="str">
        <f>'Data Site'!H44</f>
        <v>精煤</v>
      </c>
      <c r="J44" s="18">
        <f>IFERROR(_xlfn.XLOOKUP(SUBSTITUTE($B44,"AL ","HJI "),'Jetty Data'!$B$2:$B$142,'Jetty Data'!$C$2:$C$142,""),"-")</f>
        <v>49650</v>
      </c>
      <c r="K44" s="18">
        <f>IFERROR(_xlfn.XLOOKUP(SUBSTITUTE($B44,"AL ","HJI "),'Jetty Data'!$B$2:$B$142,'Jetty Data'!$D$2:$D$142,""),"-")</f>
        <v>15430</v>
      </c>
      <c r="L44" s="18">
        <f>IFERROR(_xlfn.XLOOKUP(SUBSTITUTE($B44,"AL ","HJI "),'Jetty Data'!$B$2:$B$142,'Jetty Data'!$E$2:$E$142,""),"-")</f>
        <v>34220</v>
      </c>
      <c r="M44" s="16">
        <f>IFERROR(_xlfn.XLOOKUP(SUBSTITUTE($B44,"AL ","HJI "),'Jetty Data'!$B$2:$B$142,'Jetty Data'!$F$2:$F$142,""),"-")</f>
        <v>0.68055555555555558</v>
      </c>
    </row>
    <row r="45" spans="1:13">
      <c r="A45" s="14">
        <v>44</v>
      </c>
      <c r="B45" s="15" t="str">
        <f>'Data Site'!A45</f>
        <v>HJI 531</v>
      </c>
      <c r="C45" s="16">
        <f>'Data Site'!B45</f>
        <v>0.48541666666666666</v>
      </c>
      <c r="D45" s="16">
        <f>'Data Site'!C45</f>
        <v>0.49444444444444446</v>
      </c>
      <c r="E45" s="17">
        <f>'Data Site'!D45</f>
        <v>49130</v>
      </c>
      <c r="F45" s="17">
        <f>'Data Site'!E45</f>
        <v>14860</v>
      </c>
      <c r="G45" s="17">
        <f>'Data Site'!F45</f>
        <v>34270</v>
      </c>
      <c r="H45" s="14" t="str">
        <f>'Data Site'!G45</f>
        <v>晴(Cerah)</v>
      </c>
      <c r="I45" s="14" t="str">
        <f>'Data Site'!H45</f>
        <v>精煤</v>
      </c>
      <c r="J45" s="18">
        <f>IFERROR(_xlfn.XLOOKUP(SUBSTITUTE($B45,"AL ","HJI "),'Jetty Data'!$B$2:$B$142,'Jetty Data'!$C$2:$C$142,""),"-")</f>
        <v>49850</v>
      </c>
      <c r="K45" s="18">
        <f>IFERROR(_xlfn.XLOOKUP(SUBSTITUTE($B45,"AL ","HJI "),'Jetty Data'!$B$2:$B$142,'Jetty Data'!$D$2:$D$142,""),"-")</f>
        <v>14860</v>
      </c>
      <c r="L45" s="18">
        <f>IFERROR(_xlfn.XLOOKUP(SUBSTITUTE($B45,"AL ","HJI "),'Jetty Data'!$B$2:$B$142,'Jetty Data'!$E$2:$E$142,""),"-")</f>
        <v>33990</v>
      </c>
      <c r="M45" s="16">
        <f>IFERROR(_xlfn.XLOOKUP(SUBSTITUTE($B45,"AL ","HJI "),'Jetty Data'!$B$2:$B$142,'Jetty Data'!$F$2:$F$142,""),"-")</f>
        <v>0.71319444444444446</v>
      </c>
    </row>
    <row r="46" spans="1:13">
      <c r="A46" s="14">
        <v>45</v>
      </c>
      <c r="B46" s="15" t="str">
        <f>'Data Site'!A46</f>
        <v>HJI 533</v>
      </c>
      <c r="C46" s="16">
        <f>'Data Site'!B46</f>
        <v>0.47361111111111109</v>
      </c>
      <c r="D46" s="16">
        <f>'Data Site'!C46</f>
        <v>0.50138888888888888</v>
      </c>
      <c r="E46" s="17">
        <f>'Data Site'!D46</f>
        <v>87560</v>
      </c>
      <c r="F46" s="17">
        <f>'Data Site'!E46</f>
        <v>23220</v>
      </c>
      <c r="G46" s="17">
        <f>'Data Site'!F46</f>
        <v>64340</v>
      </c>
      <c r="H46" s="14" t="str">
        <f>'Data Site'!G46</f>
        <v>晴(Cerah)</v>
      </c>
      <c r="I46" s="14" t="str">
        <f>'Data Site'!H46</f>
        <v>精煤</v>
      </c>
      <c r="J46" s="18">
        <f>IFERROR(_xlfn.XLOOKUP(SUBSTITUTE($B46,"AL ","HJI "),'Jetty Data'!$B$2:$B$142,'Jetty Data'!$C$2:$C$142,""),"-")</f>
        <v>87560</v>
      </c>
      <c r="K46" s="18">
        <f>IFERROR(_xlfn.XLOOKUP(SUBSTITUTE($B46,"AL ","HJI "),'Jetty Data'!$B$2:$B$142,'Jetty Data'!$D$2:$D$142,""),"-")</f>
        <v>23220</v>
      </c>
      <c r="L46" s="18">
        <f>IFERROR(_xlfn.XLOOKUP(SUBSTITUTE($B46,"AL ","HJI "),'Jetty Data'!$B$2:$B$142,'Jetty Data'!$E$2:$E$142,""),"-")</f>
        <v>64340</v>
      </c>
      <c r="M46" s="16">
        <f>IFERROR(_xlfn.XLOOKUP(SUBSTITUTE($B46,"AL ","HJI "),'Jetty Data'!$B$2:$B$142,'Jetty Data'!$F$2:$F$142,""),"-")</f>
        <v>0.71180555555555558</v>
      </c>
    </row>
    <row r="47" spans="1:13">
      <c r="A47" s="14">
        <v>46</v>
      </c>
      <c r="B47" s="15" t="str">
        <f>'Data Site'!A47</f>
        <v>HJI 539</v>
      </c>
      <c r="C47" s="16">
        <f>'Data Site'!B47</f>
        <v>0.48541666666666666</v>
      </c>
      <c r="D47" s="16">
        <f>'Data Site'!C47</f>
        <v>0.55833333333333335</v>
      </c>
      <c r="E47" s="17">
        <f>'Data Site'!D47</f>
        <v>82640</v>
      </c>
      <c r="F47" s="17">
        <f>'Data Site'!E47</f>
        <v>25900</v>
      </c>
      <c r="G47" s="17">
        <f>'Data Site'!F47</f>
        <v>56740</v>
      </c>
      <c r="H47" s="14" t="str">
        <f>'Data Site'!G47</f>
        <v>晴(Cerah)</v>
      </c>
      <c r="I47" s="14" t="str">
        <f>'Data Site'!H47</f>
        <v>精煤</v>
      </c>
      <c r="J47" s="18">
        <f>IFERROR(_xlfn.XLOOKUP(SUBSTITUTE($B47,"AL ","HJI "),'Jetty Data'!$B$2:$B$142,'Jetty Data'!$C$2:$C$142,""),"-")</f>
        <v>82640</v>
      </c>
      <c r="K47" s="18">
        <f>IFERROR(_xlfn.XLOOKUP(SUBSTITUTE($B47,"AL ","HJI "),'Jetty Data'!$B$2:$B$142,'Jetty Data'!$D$2:$D$142,""),"-")</f>
        <v>25900</v>
      </c>
      <c r="L47" s="18">
        <f>IFERROR(_xlfn.XLOOKUP(SUBSTITUTE($B47,"AL ","HJI "),'Jetty Data'!$B$2:$B$142,'Jetty Data'!$E$2:$E$142,""),"-")</f>
        <v>56700</v>
      </c>
      <c r="M47" s="16">
        <f>IFERROR(_xlfn.XLOOKUP(SUBSTITUTE($B47,"AL ","HJI "),'Jetty Data'!$B$2:$B$142,'Jetty Data'!$F$2:$F$142,""),"-")</f>
        <v>0.74930555555555556</v>
      </c>
    </row>
    <row r="48" spans="1:13">
      <c r="A48" s="14">
        <v>47</v>
      </c>
      <c r="B48" s="15" t="str">
        <f>'Data Site'!A48</f>
        <v>HJI 542</v>
      </c>
      <c r="C48" s="16">
        <f>'Data Site'!B48</f>
        <v>0.54722222222222228</v>
      </c>
      <c r="D48" s="16">
        <f>'Data Site'!C48</f>
        <v>0.55763888888888891</v>
      </c>
      <c r="E48" s="17">
        <f>'Data Site'!D48</f>
        <v>80870</v>
      </c>
      <c r="F48" s="17">
        <f>'Data Site'!E48</f>
        <v>25840</v>
      </c>
      <c r="G48" s="17">
        <f>'Data Site'!F48</f>
        <v>55030</v>
      </c>
      <c r="H48" s="14" t="str">
        <f>'Data Site'!G48</f>
        <v>晴(Cerah)</v>
      </c>
      <c r="I48" s="14" t="str">
        <f>'Data Site'!H48</f>
        <v>精煤</v>
      </c>
      <c r="J48" s="18">
        <f>IFERROR(_xlfn.XLOOKUP(SUBSTITUTE($B48,"AL ","HJI "),'Jetty Data'!$B$2:$B$142,'Jetty Data'!$C$2:$C$142,""),"-")</f>
        <v>80870</v>
      </c>
      <c r="K48" s="18">
        <f>IFERROR(_xlfn.XLOOKUP(SUBSTITUTE($B48,"AL ","HJI "),'Jetty Data'!$B$2:$B$142,'Jetty Data'!$D$2:$D$142,""),"-")</f>
        <v>25840</v>
      </c>
      <c r="L48" s="18">
        <f>IFERROR(_xlfn.XLOOKUP(SUBSTITUTE($B48,"AL ","HJI "),'Jetty Data'!$B$2:$B$142,'Jetty Data'!$E$2:$E$142,""),"-")</f>
        <v>55030</v>
      </c>
      <c r="M48" s="16">
        <f>IFERROR(_xlfn.XLOOKUP(SUBSTITUTE($B48,"AL ","HJI "),'Jetty Data'!$B$2:$B$142,'Jetty Data'!$F$2:$F$142,""),"-")</f>
        <v>0.94236111111111109</v>
      </c>
    </row>
    <row r="49" spans="1:13">
      <c r="A49" s="14">
        <v>48</v>
      </c>
      <c r="B49" s="15" t="str">
        <f>'Data Site'!A49</f>
        <v>HJI 541</v>
      </c>
      <c r="C49" s="16">
        <f>'Data Site'!B49</f>
        <v>0.4861111111111111</v>
      </c>
      <c r="D49" s="16">
        <f>'Data Site'!C49</f>
        <v>0.56874999999999998</v>
      </c>
      <c r="E49" s="17">
        <f>'Data Site'!D49</f>
        <v>84460</v>
      </c>
      <c r="F49" s="17">
        <f>'Data Site'!E49</f>
        <v>26680</v>
      </c>
      <c r="G49" s="17">
        <f>'Data Site'!F49</f>
        <v>57780</v>
      </c>
      <c r="H49" s="14" t="str">
        <f>'Data Site'!G49</f>
        <v>晴(Cerah)</v>
      </c>
      <c r="I49" s="14" t="str">
        <f>'Data Site'!H49</f>
        <v>精煤</v>
      </c>
      <c r="J49" s="18">
        <f>IFERROR(_xlfn.XLOOKUP(SUBSTITUTE($B49,"AL ","HJI "),'Jetty Data'!$B$2:$B$142,'Jetty Data'!$C$2:$C$142,""),"-")</f>
        <v>84460</v>
      </c>
      <c r="K49" s="18">
        <f>IFERROR(_xlfn.XLOOKUP(SUBSTITUTE($B49,"AL ","HJI "),'Jetty Data'!$B$2:$B$142,'Jetty Data'!$D$2:$D$142,""),"-")</f>
        <v>26680</v>
      </c>
      <c r="L49" s="18">
        <f>IFERROR(_xlfn.XLOOKUP(SUBSTITUTE($B49,"AL ","HJI "),'Jetty Data'!$B$2:$B$142,'Jetty Data'!$E$2:$E$142,""),"-")</f>
        <v>57780</v>
      </c>
      <c r="M49" s="16">
        <f>IFERROR(_xlfn.XLOOKUP(SUBSTITUTE($B49,"AL ","HJI "),'Jetty Data'!$B$2:$B$142,'Jetty Data'!$F$2:$F$142,""),"-")</f>
        <v>0.75</v>
      </c>
    </row>
    <row r="50" spans="1:13">
      <c r="A50" s="14">
        <v>49</v>
      </c>
      <c r="B50" s="15" t="str">
        <f>'Data Site'!A50</f>
        <v>HJI 543</v>
      </c>
      <c r="C50" s="16">
        <f>'Data Site'!B50</f>
        <v>0.54791666666666672</v>
      </c>
      <c r="D50" s="16">
        <f>'Data Site'!C50</f>
        <v>0.5708333333333333</v>
      </c>
      <c r="E50" s="17">
        <f>'Data Site'!D50</f>
        <v>81360</v>
      </c>
      <c r="F50" s="17">
        <f>'Data Site'!E50</f>
        <v>25970</v>
      </c>
      <c r="G50" s="17">
        <f>'Data Site'!F50</f>
        <v>55390</v>
      </c>
      <c r="H50" s="14" t="str">
        <f>'Data Site'!G50</f>
        <v>晴(Cerah)</v>
      </c>
      <c r="I50" s="14" t="str">
        <f>'Data Site'!H50</f>
        <v>精煤</v>
      </c>
      <c r="J50" s="18">
        <f>IFERROR(_xlfn.XLOOKUP(SUBSTITUTE($B50,"AL ","HJI "),'Jetty Data'!$B$2:$B$142,'Jetty Data'!$C$2:$C$142,""),"-")</f>
        <v>81360</v>
      </c>
      <c r="K50" s="18">
        <f>IFERROR(_xlfn.XLOOKUP(SUBSTITUTE($B50,"AL ","HJI "),'Jetty Data'!$B$2:$B$142,'Jetty Data'!$D$2:$D$142,""),"-")</f>
        <v>25970</v>
      </c>
      <c r="L50" s="18">
        <f>IFERROR(_xlfn.XLOOKUP(SUBSTITUTE($B50,"AL ","HJI "),'Jetty Data'!$B$2:$B$142,'Jetty Data'!$E$2:$E$142,""),"-")</f>
        <v>55390</v>
      </c>
      <c r="M50" s="16">
        <f>IFERROR(_xlfn.XLOOKUP(SUBSTITUTE($B50,"AL ","HJI "),'Jetty Data'!$B$2:$B$142,'Jetty Data'!$F$2:$F$142,""),"-")</f>
        <v>0.94305555555555554</v>
      </c>
    </row>
    <row r="51" spans="1:13">
      <c r="A51" s="14">
        <v>50</v>
      </c>
      <c r="B51" s="15" t="str">
        <f>'Data Site'!A51</f>
        <v>HJI 467</v>
      </c>
      <c r="C51" s="16">
        <f>'Data Site'!B51</f>
        <v>0.5493055555555556</v>
      </c>
      <c r="D51" s="16">
        <f>'Data Site'!C51</f>
        <v>0.57777777777777772</v>
      </c>
      <c r="E51" s="17">
        <f>'Data Site'!D51</f>
        <v>81100</v>
      </c>
      <c r="F51" s="17">
        <f>'Data Site'!E51</f>
        <v>26040</v>
      </c>
      <c r="G51" s="17">
        <f>'Data Site'!F51</f>
        <v>55060</v>
      </c>
      <c r="H51" s="14" t="str">
        <f>'Data Site'!G51</f>
        <v>晴(Cerah)</v>
      </c>
      <c r="I51" s="14" t="str">
        <f>'Data Site'!H51</f>
        <v>精煤</v>
      </c>
      <c r="J51" s="18">
        <f>IFERROR(_xlfn.XLOOKUP(SUBSTITUTE($B51,"AL ","HJI "),'Jetty Data'!$B$2:$B$142,'Jetty Data'!$C$2:$C$142,""),"-")</f>
        <v>81100</v>
      </c>
      <c r="K51" s="18">
        <f>IFERROR(_xlfn.XLOOKUP(SUBSTITUTE($B51,"AL ","HJI "),'Jetty Data'!$B$2:$B$142,'Jetty Data'!$D$2:$D$142,""),"-")</f>
        <v>26040</v>
      </c>
      <c r="L51" s="18">
        <f>IFERROR(_xlfn.XLOOKUP(SUBSTITUTE($B51,"AL ","HJI "),'Jetty Data'!$B$2:$B$142,'Jetty Data'!$E$2:$E$142,""),"-")</f>
        <v>55060</v>
      </c>
      <c r="M51" s="16">
        <f>IFERROR(_xlfn.XLOOKUP(SUBSTITUTE($B51,"AL ","HJI "),'Jetty Data'!$B$2:$B$142,'Jetty Data'!$F$2:$F$142,""),"-")</f>
        <v>0.71597222222222223</v>
      </c>
    </row>
    <row r="52" spans="1:13">
      <c r="A52" s="14">
        <v>51</v>
      </c>
      <c r="B52" s="15" t="str">
        <f>'Data Site'!A52</f>
        <v>HJI 544</v>
      </c>
      <c r="C52" s="16">
        <f>'Data Site'!B52</f>
        <v>0.54861111111111116</v>
      </c>
      <c r="D52" s="16">
        <f>'Data Site'!C52</f>
        <v>0.57916666666666672</v>
      </c>
      <c r="E52" s="17">
        <f>'Data Site'!D52</f>
        <v>84500</v>
      </c>
      <c r="F52" s="17">
        <f>'Data Site'!E52</f>
        <v>25920</v>
      </c>
      <c r="G52" s="17">
        <f>'Data Site'!F52</f>
        <v>58580</v>
      </c>
      <c r="H52" s="14" t="str">
        <f>'Data Site'!G52</f>
        <v>晴(Cerah)</v>
      </c>
      <c r="I52" s="14" t="str">
        <f>'Data Site'!H52</f>
        <v>精煤</v>
      </c>
      <c r="J52" s="18">
        <f>IFERROR(_xlfn.XLOOKUP(SUBSTITUTE($B52,"AL ","HJI "),'Jetty Data'!$B$2:$B$142,'Jetty Data'!$C$2:$C$142,""),"-")</f>
        <v>84500</v>
      </c>
      <c r="K52" s="18">
        <f>IFERROR(_xlfn.XLOOKUP(SUBSTITUTE($B52,"AL ","HJI "),'Jetty Data'!$B$2:$B$142,'Jetty Data'!$D$2:$D$142,""),"-")</f>
        <v>25920</v>
      </c>
      <c r="L52" s="18">
        <f>IFERROR(_xlfn.XLOOKUP(SUBSTITUTE($B52,"AL ","HJI "),'Jetty Data'!$B$2:$B$142,'Jetty Data'!$E$2:$E$142,""),"-")</f>
        <v>58580</v>
      </c>
      <c r="M52" s="16">
        <f>IFERROR(_xlfn.XLOOKUP(SUBSTITUTE($B52,"AL ","HJI "),'Jetty Data'!$B$2:$B$142,'Jetty Data'!$F$2:$F$142,""),"-")</f>
        <v>0.94374999999999998</v>
      </c>
    </row>
    <row r="53" spans="1:13">
      <c r="A53" s="14">
        <v>52</v>
      </c>
      <c r="B53" s="15" t="str">
        <f>'Data Site'!A53</f>
        <v>HJI 004</v>
      </c>
      <c r="C53" s="16">
        <f>'Data Site'!B53</f>
        <v>0.5493055555555556</v>
      </c>
      <c r="D53" s="16">
        <f>'Data Site'!C53</f>
        <v>0.5805555555555556</v>
      </c>
      <c r="E53" s="17">
        <f>'Data Site'!D53</f>
        <v>47720</v>
      </c>
      <c r="F53" s="17">
        <f>'Data Site'!E53</f>
        <v>13020</v>
      </c>
      <c r="G53" s="17">
        <f>'Data Site'!F53</f>
        <v>34700</v>
      </c>
      <c r="H53" s="14" t="str">
        <f>'Data Site'!G53</f>
        <v>晴(Cerah)</v>
      </c>
      <c r="I53" s="14" t="str">
        <f>'Data Site'!H53</f>
        <v>精煤</v>
      </c>
      <c r="J53" s="18">
        <f>IFERROR(_xlfn.XLOOKUP(SUBSTITUTE($B53,"AL ","HJI "),'Jetty Data'!$B$2:$B$142,'Jetty Data'!$C$2:$C$142,""),"-")</f>
        <v>47220</v>
      </c>
      <c r="K53" s="18">
        <f>IFERROR(_xlfn.XLOOKUP(SUBSTITUTE($B53,"AL ","HJI "),'Jetty Data'!$B$2:$B$142,'Jetty Data'!$D$2:$D$142,""),"-")</f>
        <v>13020</v>
      </c>
      <c r="L53" s="18">
        <f>IFERROR(_xlfn.XLOOKUP(SUBSTITUTE($B53,"AL ","HJI "),'Jetty Data'!$B$2:$B$142,'Jetty Data'!$E$2:$E$142,""),"-")</f>
        <v>34200</v>
      </c>
      <c r="M53" s="16">
        <f>IFERROR(_xlfn.XLOOKUP(SUBSTITUTE($B53,"AL ","HJI "),'Jetty Data'!$B$2:$B$142,'Jetty Data'!$F$2:$F$142,""),"-")</f>
        <v>0.83125000000000004</v>
      </c>
    </row>
    <row r="54" spans="1:13">
      <c r="A54" s="14">
        <v>53</v>
      </c>
      <c r="B54" s="15" t="str">
        <f>'Data Site'!A54</f>
        <v>HJI 060</v>
      </c>
      <c r="C54" s="16">
        <f>'Data Site'!B54</f>
        <v>0.55000000000000004</v>
      </c>
      <c r="D54" s="16">
        <f>'Data Site'!C54</f>
        <v>0.58402777777777781</v>
      </c>
      <c r="E54" s="17">
        <f>'Data Site'!D54</f>
        <v>44730</v>
      </c>
      <c r="F54" s="17">
        <f>'Data Site'!E54</f>
        <v>13210</v>
      </c>
      <c r="G54" s="17">
        <f>'Data Site'!F54</f>
        <v>31520</v>
      </c>
      <c r="H54" s="14" t="str">
        <f>'Data Site'!G54</f>
        <v>晴(Cerah)</v>
      </c>
      <c r="I54" s="14" t="str">
        <f>'Data Site'!H54</f>
        <v>精煤</v>
      </c>
      <c r="J54" s="18">
        <f>IFERROR(_xlfn.XLOOKUP(SUBSTITUTE($B54,"AL ","HJI "),'Jetty Data'!$B$2:$B$142,'Jetty Data'!$C$2:$C$142,""),"-")</f>
        <v>44200</v>
      </c>
      <c r="K54" s="18">
        <f>IFERROR(_xlfn.XLOOKUP(SUBSTITUTE($B54,"AL ","HJI "),'Jetty Data'!$B$2:$B$142,'Jetty Data'!$D$2:$D$142,""),"-")</f>
        <v>13210</v>
      </c>
      <c r="L54" s="18">
        <f>IFERROR(_xlfn.XLOOKUP(SUBSTITUTE($B54,"AL ","HJI "),'Jetty Data'!$B$2:$B$142,'Jetty Data'!$E$2:$E$142,""),"-")</f>
        <v>30990</v>
      </c>
      <c r="M54" s="16">
        <f>IFERROR(_xlfn.XLOOKUP(SUBSTITUTE($B54,"AL ","HJI "),'Jetty Data'!$B$2:$B$142,'Jetty Data'!$F$2:$F$142,""),"-")</f>
        <v>0.82847222222222228</v>
      </c>
    </row>
    <row r="55" spans="1:13">
      <c r="A55" s="14">
        <v>54</v>
      </c>
      <c r="B55" s="15" t="str">
        <f>'Data Site'!A55</f>
        <v>HJI 018</v>
      </c>
      <c r="C55" s="16">
        <f>'Data Site'!B55</f>
        <v>0.55000000000000004</v>
      </c>
      <c r="D55" s="16">
        <f>'Data Site'!C55</f>
        <v>0.58472222222222225</v>
      </c>
      <c r="E55" s="17">
        <f>'Data Site'!D55</f>
        <v>47710</v>
      </c>
      <c r="F55" s="17">
        <f>'Data Site'!E55</f>
        <v>13790</v>
      </c>
      <c r="G55" s="17">
        <f>'Data Site'!F55</f>
        <v>33920</v>
      </c>
      <c r="H55" s="14" t="str">
        <f>'Data Site'!G55</f>
        <v>晴(Cerah)</v>
      </c>
      <c r="I55" s="14" t="str">
        <f>'Data Site'!H55</f>
        <v>精煤</v>
      </c>
      <c r="J55" s="18">
        <f>IFERROR(_xlfn.XLOOKUP(SUBSTITUTE($B55,"AL ","HJI "),'Jetty Data'!$B$2:$B$142,'Jetty Data'!$C$2:$C$142,""),"-")</f>
        <v>47470</v>
      </c>
      <c r="K55" s="18">
        <f>IFERROR(_xlfn.XLOOKUP(SUBSTITUTE($B55,"AL ","HJI "),'Jetty Data'!$B$2:$B$142,'Jetty Data'!$D$2:$D$142,""),"-")</f>
        <v>13790</v>
      </c>
      <c r="L55" s="18">
        <f>IFERROR(_xlfn.XLOOKUP(SUBSTITUTE($B55,"AL ","HJI "),'Jetty Data'!$B$2:$B$142,'Jetty Data'!$E$2:$E$142,""),"-")</f>
        <v>33680</v>
      </c>
      <c r="M55" s="16">
        <f>IFERROR(_xlfn.XLOOKUP(SUBSTITUTE($B55,"AL ","HJI "),'Jetty Data'!$B$2:$B$142,'Jetty Data'!$F$2:$F$142,""),"-")</f>
        <v>0.82638888888888884</v>
      </c>
    </row>
    <row r="56" spans="1:13">
      <c r="A56" s="14">
        <v>55</v>
      </c>
      <c r="B56" s="15" t="str">
        <f>'Data Site'!A56</f>
        <v>HJI 002</v>
      </c>
      <c r="C56" s="16">
        <f>'Data Site'!B56</f>
        <v>0.55069444444444449</v>
      </c>
      <c r="D56" s="16">
        <f>'Data Site'!C56</f>
        <v>0.58611111111111114</v>
      </c>
      <c r="E56" s="17">
        <f>'Data Site'!D56</f>
        <v>43630</v>
      </c>
      <c r="F56" s="17">
        <f>'Data Site'!E56</f>
        <v>13210</v>
      </c>
      <c r="G56" s="17">
        <f>'Data Site'!F56</f>
        <v>30420</v>
      </c>
      <c r="H56" s="14" t="str">
        <f>'Data Site'!G56</f>
        <v>晴(Cerah)</v>
      </c>
      <c r="I56" s="14" t="str">
        <f>'Data Site'!H56</f>
        <v>精煤</v>
      </c>
      <c r="J56" s="18">
        <f>IFERROR(_xlfn.XLOOKUP(SUBSTITUTE($B56,"AL ","HJI "),'Jetty Data'!$B$2:$B$142,'Jetty Data'!$C$2:$C$142,""),"-")</f>
        <v>43430</v>
      </c>
      <c r="K56" s="18">
        <f>IFERROR(_xlfn.XLOOKUP(SUBSTITUTE($B56,"AL ","HJI "),'Jetty Data'!$B$2:$B$142,'Jetty Data'!$D$2:$D$142,""),"-")</f>
        <v>13210</v>
      </c>
      <c r="L56" s="18">
        <f>IFERROR(_xlfn.XLOOKUP(SUBSTITUTE($B56,"AL ","HJI "),'Jetty Data'!$B$2:$B$142,'Jetty Data'!$E$2:$E$142,""),"-")</f>
        <v>30110</v>
      </c>
      <c r="M56" s="16">
        <f>IFERROR(_xlfn.XLOOKUP(SUBSTITUTE($B56,"AL ","HJI "),'Jetty Data'!$B$2:$B$142,'Jetty Data'!$F$2:$F$142,""),"-")</f>
        <v>0.82499999999999996</v>
      </c>
    </row>
    <row r="57" spans="1:13">
      <c r="A57" s="14">
        <v>56</v>
      </c>
      <c r="B57" s="15" t="str">
        <f>'Data Site'!A57</f>
        <v>HJI 009</v>
      </c>
      <c r="C57" s="16">
        <f>'Data Site'!B57</f>
        <v>0.55069444444444449</v>
      </c>
      <c r="D57" s="16">
        <f>'Data Site'!C57</f>
        <v>0.58680555555555558</v>
      </c>
      <c r="E57" s="17">
        <f>'Data Site'!D57</f>
        <v>45070</v>
      </c>
      <c r="F57" s="17">
        <f>'Data Site'!E57</f>
        <v>13530</v>
      </c>
      <c r="G57" s="17">
        <f>'Data Site'!F57</f>
        <v>31540</v>
      </c>
      <c r="H57" s="14" t="str">
        <f>'Data Site'!G57</f>
        <v>晴(Cerah)</v>
      </c>
      <c r="I57" s="14" t="str">
        <f>'Data Site'!H57</f>
        <v>精煤</v>
      </c>
      <c r="J57" s="18">
        <f>IFERROR(_xlfn.XLOOKUP(SUBSTITUTE($B57,"AL ","HJI "),'Jetty Data'!$B$2:$B$142,'Jetty Data'!$C$2:$C$142,""),"-")</f>
        <v>44680</v>
      </c>
      <c r="K57" s="18">
        <f>IFERROR(_xlfn.XLOOKUP(SUBSTITUTE($B57,"AL ","HJI "),'Jetty Data'!$B$2:$B$142,'Jetty Data'!$D$2:$D$142,""),"-")</f>
        <v>13530</v>
      </c>
      <c r="L57" s="18">
        <f>IFERROR(_xlfn.XLOOKUP(SUBSTITUTE($B57,"AL ","HJI "),'Jetty Data'!$B$2:$B$142,'Jetty Data'!$E$2:$E$142,""),"-")</f>
        <v>31150</v>
      </c>
      <c r="M57" s="16">
        <f>IFERROR(_xlfn.XLOOKUP(SUBSTITUTE($B57,"AL ","HJI "),'Jetty Data'!$B$2:$B$142,'Jetty Data'!$F$2:$F$142,""),"-")</f>
        <v>0.82986111111111116</v>
      </c>
    </row>
    <row r="58" spans="1:13">
      <c r="A58" s="14">
        <v>57</v>
      </c>
      <c r="B58" s="15" t="str">
        <f>'Data Site'!A58</f>
        <v>HJI 003</v>
      </c>
      <c r="C58" s="16">
        <f>'Data Site'!B58</f>
        <v>0.55138888888888893</v>
      </c>
      <c r="D58" s="16">
        <f>'Data Site'!C58</f>
        <v>0.59166666666666667</v>
      </c>
      <c r="E58" s="17">
        <f>'Data Site'!D58</f>
        <v>46840</v>
      </c>
      <c r="F58" s="17">
        <f>'Data Site'!E58</f>
        <v>13120</v>
      </c>
      <c r="G58" s="17">
        <f>'Data Site'!F58</f>
        <v>33720</v>
      </c>
      <c r="H58" s="14" t="str">
        <f>'Data Site'!G58</f>
        <v>晴(Cerah)</v>
      </c>
      <c r="I58" s="14" t="str">
        <f>'Data Site'!H58</f>
        <v>精煤</v>
      </c>
      <c r="J58" s="18">
        <f>IFERROR(_xlfn.XLOOKUP(SUBSTITUTE($B58,"AL ","HJI "),'Jetty Data'!$B$2:$B$142,'Jetty Data'!$C$2:$C$142,""),"-")</f>
        <v>46260</v>
      </c>
      <c r="K58" s="18">
        <f>IFERROR(_xlfn.XLOOKUP(SUBSTITUTE($B58,"AL ","HJI "),'Jetty Data'!$B$2:$B$142,'Jetty Data'!$D$2:$D$142,""),"-")</f>
        <v>13120</v>
      </c>
      <c r="L58" s="18">
        <f>IFERROR(_xlfn.XLOOKUP(SUBSTITUTE($B58,"AL ","HJI "),'Jetty Data'!$B$2:$B$142,'Jetty Data'!$E$2:$E$142,""),"-")</f>
        <v>33140</v>
      </c>
      <c r="M58" s="16">
        <f>IFERROR(_xlfn.XLOOKUP(SUBSTITUTE($B58,"AL ","HJI "),'Jetty Data'!$B$2:$B$142,'Jetty Data'!$F$2:$F$142,""),"-")</f>
        <v>0.82916666666666672</v>
      </c>
    </row>
    <row r="59" spans="1:13">
      <c r="A59" s="14">
        <v>58</v>
      </c>
      <c r="B59" s="15" t="str">
        <f>'Data Site'!A59</f>
        <v>HJI 215</v>
      </c>
      <c r="C59" s="16">
        <f>'Data Site'!B59</f>
        <v>0.58194444444444449</v>
      </c>
      <c r="D59" s="16">
        <f>'Data Site'!C59</f>
        <v>0.59236111111111112</v>
      </c>
      <c r="E59" s="17">
        <f>'Data Site'!D59</f>
        <v>50760</v>
      </c>
      <c r="F59" s="17">
        <f>'Data Site'!E59</f>
        <v>13880</v>
      </c>
      <c r="G59" s="17">
        <f>'Data Site'!F59</f>
        <v>36880</v>
      </c>
      <c r="H59" s="14" t="str">
        <f>'Data Site'!G59</f>
        <v>晴(Cerah)</v>
      </c>
      <c r="I59" s="14" t="str">
        <f>'Data Site'!H59</f>
        <v>精煤</v>
      </c>
      <c r="J59" s="18">
        <f>IFERROR(_xlfn.XLOOKUP(SUBSTITUTE($B59,"AL ","HJI "),'Jetty Data'!$B$2:$B$142,'Jetty Data'!$C$2:$C$142,""),"-")</f>
        <v>50420</v>
      </c>
      <c r="K59" s="18">
        <f>IFERROR(_xlfn.XLOOKUP(SUBSTITUTE($B59,"AL ","HJI "),'Jetty Data'!$B$2:$B$142,'Jetty Data'!$D$2:$D$142,""),"-")</f>
        <v>13880</v>
      </c>
      <c r="L59" s="18">
        <f>IFERROR(_xlfn.XLOOKUP(SUBSTITUTE($B59,"AL ","HJI "),'Jetty Data'!$B$2:$B$142,'Jetty Data'!$E$2:$E$142,""),"-")</f>
        <v>36540</v>
      </c>
      <c r="M59" s="16">
        <f>IFERROR(_xlfn.XLOOKUP(SUBSTITUTE($B59,"AL ","HJI "),'Jetty Data'!$B$2:$B$142,'Jetty Data'!$F$2:$F$142,""),"-")</f>
        <v>0.82708333333333328</v>
      </c>
    </row>
    <row r="60" spans="1:13">
      <c r="A60" s="14">
        <v>59</v>
      </c>
      <c r="B60" s="15" t="str">
        <f>'Data Site'!A60</f>
        <v>HJI 071</v>
      </c>
      <c r="C60" s="16">
        <f>'Data Site'!B60</f>
        <v>0.58194444444444449</v>
      </c>
      <c r="D60" s="16">
        <f>'Data Site'!C60</f>
        <v>0.59375</v>
      </c>
      <c r="E60" s="17">
        <f>'Data Site'!D60</f>
        <v>48240</v>
      </c>
      <c r="F60" s="17">
        <f>'Data Site'!E60</f>
        <v>14800</v>
      </c>
      <c r="G60" s="17">
        <f>'Data Site'!F60</f>
        <v>33440</v>
      </c>
      <c r="H60" s="14" t="str">
        <f>'Data Site'!G60</f>
        <v>晴(Cerah)</v>
      </c>
      <c r="I60" s="14" t="str">
        <f>'Data Site'!H60</f>
        <v>精煤</v>
      </c>
      <c r="J60" s="18">
        <f>IFERROR(_xlfn.XLOOKUP(SUBSTITUTE($B60,"AL ","HJI "),'Jetty Data'!$B$2:$B$142,'Jetty Data'!$C$2:$C$142,""),"-")</f>
        <v>47960</v>
      </c>
      <c r="K60" s="18">
        <f>IFERROR(_xlfn.XLOOKUP(SUBSTITUTE($B60,"AL ","HJI "),'Jetty Data'!$B$2:$B$142,'Jetty Data'!$D$2:$D$142,""),"-")</f>
        <v>14800</v>
      </c>
      <c r="L60" s="18">
        <f>IFERROR(_xlfn.XLOOKUP(SUBSTITUTE($B60,"AL ","HJI "),'Jetty Data'!$B$2:$B$142,'Jetty Data'!$E$2:$E$142,""),"-")</f>
        <v>53160</v>
      </c>
      <c r="M60" s="16">
        <f>IFERROR(_xlfn.XLOOKUP(SUBSTITUTE($B60,"AL ","HJI "),'Jetty Data'!$B$2:$B$142,'Jetty Data'!$F$2:$F$142,""),"-")</f>
        <v>0.72847222222222219</v>
      </c>
    </row>
    <row r="61" spans="1:13">
      <c r="A61" s="14">
        <v>60</v>
      </c>
      <c r="B61" s="15" t="str">
        <f>'Data Site'!A61</f>
        <v>HJI 537</v>
      </c>
      <c r="C61" s="16">
        <f>'Data Site'!B61</f>
        <v>0.58263888888888893</v>
      </c>
      <c r="D61" s="16">
        <f>'Data Site'!C61</f>
        <v>0.59513888888888888</v>
      </c>
      <c r="E61" s="17">
        <f>'Data Site'!D61</f>
        <v>84460</v>
      </c>
      <c r="F61" s="17">
        <f>'Data Site'!E61</f>
        <v>25890</v>
      </c>
      <c r="G61" s="17">
        <f>'Data Site'!F61</f>
        <v>58570</v>
      </c>
      <c r="H61" s="14" t="str">
        <f>'Data Site'!G61</f>
        <v>晴(Cerah)</v>
      </c>
      <c r="I61" s="14" t="str">
        <f>'Data Site'!H61</f>
        <v>精煤</v>
      </c>
      <c r="J61" s="18">
        <f>IFERROR(_xlfn.XLOOKUP(SUBSTITUTE($B61,"AL ","HJI "),'Jetty Data'!$B$2:$B$142,'Jetty Data'!$C$2:$C$142,""),"-")</f>
        <v>84460</v>
      </c>
      <c r="K61" s="18">
        <f>IFERROR(_xlfn.XLOOKUP(SUBSTITUTE($B61,"AL ","HJI "),'Jetty Data'!$B$2:$B$142,'Jetty Data'!$D$2:$D$142,""),"-")</f>
        <v>25890</v>
      </c>
      <c r="L61" s="18">
        <f>IFERROR(_xlfn.XLOOKUP(SUBSTITUTE($B61,"AL ","HJI "),'Jetty Data'!$B$2:$B$142,'Jetty Data'!$E$2:$E$142,""),"-")</f>
        <v>58570</v>
      </c>
      <c r="M61" s="16">
        <f>IFERROR(_xlfn.XLOOKUP(SUBSTITUTE($B61,"AL ","HJI "),'Jetty Data'!$B$2:$B$142,'Jetty Data'!$F$2:$F$142,""),"-")</f>
        <v>0.73750000000000004</v>
      </c>
    </row>
    <row r="62" spans="1:13">
      <c r="A62" s="14">
        <v>61</v>
      </c>
      <c r="B62" s="15" t="str">
        <f>'Data Site'!A62</f>
        <v>HJI 534</v>
      </c>
      <c r="C62" s="16">
        <f>'Data Site'!B62</f>
        <v>0.58888888888888891</v>
      </c>
      <c r="D62" s="16">
        <f>'Data Site'!C62</f>
        <v>0.60138888888888886</v>
      </c>
      <c r="E62" s="17">
        <f>'Data Site'!D62</f>
        <v>90700</v>
      </c>
      <c r="F62" s="17">
        <f>'Data Site'!E62</f>
        <v>23730</v>
      </c>
      <c r="G62" s="17">
        <f>'Data Site'!F62</f>
        <v>66970</v>
      </c>
      <c r="H62" s="14" t="str">
        <f>'Data Site'!G62</f>
        <v>晴(Cerah)</v>
      </c>
      <c r="I62" s="14" t="str">
        <f>'Data Site'!H62</f>
        <v>精煤</v>
      </c>
      <c r="J62" s="18">
        <f>IFERROR(_xlfn.XLOOKUP(SUBSTITUTE($B62,"AL ","HJI "),'Jetty Data'!$B$2:$B$142,'Jetty Data'!$C$2:$C$142,""),"-")</f>
        <v>90700</v>
      </c>
      <c r="K62" s="18">
        <f>IFERROR(_xlfn.XLOOKUP(SUBSTITUTE($B62,"AL ","HJI "),'Jetty Data'!$B$2:$B$142,'Jetty Data'!$D$2:$D$142,""),"-")</f>
        <v>23730</v>
      </c>
      <c r="L62" s="18">
        <f>IFERROR(_xlfn.XLOOKUP(SUBSTITUTE($B62,"AL ","HJI "),'Jetty Data'!$B$2:$B$142,'Jetty Data'!$E$2:$E$142,""),"-")</f>
        <v>66970</v>
      </c>
      <c r="M62" s="16">
        <f>IFERROR(_xlfn.XLOOKUP(SUBSTITUTE($B62,"AL ","HJI "),'Jetty Data'!$B$2:$B$142,'Jetty Data'!$F$2:$F$142,""),"-")</f>
        <v>0.73819444444444449</v>
      </c>
    </row>
    <row r="63" spans="1:13">
      <c r="A63" s="14">
        <v>62</v>
      </c>
      <c r="B63" s="15" t="str">
        <f>'Data Site'!A63</f>
        <v>HJI 538</v>
      </c>
      <c r="C63" s="16">
        <f>'Data Site'!B63</f>
        <v>0.58888888888888891</v>
      </c>
      <c r="D63" s="16">
        <f>'Data Site'!C63</f>
        <v>0.60277777777777775</v>
      </c>
      <c r="E63" s="17">
        <f>'Data Site'!D63</f>
        <v>83850</v>
      </c>
      <c r="F63" s="17">
        <f>'Data Site'!E63</f>
        <v>25790</v>
      </c>
      <c r="G63" s="17">
        <f>'Data Site'!F63</f>
        <v>58060</v>
      </c>
      <c r="H63" s="14" t="str">
        <f>'Data Site'!G63</f>
        <v>晴(Cerah)</v>
      </c>
      <c r="I63" s="14" t="str">
        <f>'Data Site'!H63</f>
        <v>精煤</v>
      </c>
      <c r="J63" s="18">
        <f>IFERROR(_xlfn.XLOOKUP(SUBSTITUTE($B63,"AL ","HJI "),'Jetty Data'!$B$2:$B$142,'Jetty Data'!$C$2:$C$142,""),"-")</f>
        <v>83850</v>
      </c>
      <c r="K63" s="18">
        <f>IFERROR(_xlfn.XLOOKUP(SUBSTITUTE($B63,"AL ","HJI "),'Jetty Data'!$B$2:$B$142,'Jetty Data'!$D$2:$D$142,""),"-")</f>
        <v>25790</v>
      </c>
      <c r="L63" s="18">
        <f>IFERROR(_xlfn.XLOOKUP(SUBSTITUTE($B63,"AL ","HJI "),'Jetty Data'!$B$2:$B$142,'Jetty Data'!$E$2:$E$142,""),"-")</f>
        <v>58060</v>
      </c>
      <c r="M63" s="16">
        <f>IFERROR(_xlfn.XLOOKUP(SUBSTITUTE($B63,"AL ","HJI "),'Jetty Data'!$B$2:$B$142,'Jetty Data'!$F$2:$F$142,""),"-")</f>
        <v>0.73888888888888893</v>
      </c>
    </row>
    <row r="64" spans="1:13">
      <c r="A64" s="14">
        <v>63</v>
      </c>
      <c r="B64" s="15" t="str">
        <f>'Data Site'!A64</f>
        <v>HJI 540</v>
      </c>
      <c r="C64" s="16">
        <f>'Data Site'!B64</f>
        <v>0.59027777777777779</v>
      </c>
      <c r="D64" s="16">
        <f>'Data Site'!C64</f>
        <v>0.60902777777777772</v>
      </c>
      <c r="E64" s="17">
        <f>'Data Site'!D64</f>
        <v>89090</v>
      </c>
      <c r="F64" s="17">
        <f>'Data Site'!E64</f>
        <v>25700</v>
      </c>
      <c r="G64" s="17">
        <f>'Data Site'!F64</f>
        <v>63390</v>
      </c>
      <c r="H64" s="14" t="str">
        <f>'Data Site'!G64</f>
        <v>晴(Cerah)</v>
      </c>
      <c r="I64" s="14" t="str">
        <f>'Data Site'!H64</f>
        <v>精煤</v>
      </c>
      <c r="J64" s="18">
        <f>IFERROR(_xlfn.XLOOKUP(SUBSTITUTE($B64,"AL ","HJI "),'Jetty Data'!$B$2:$B$142,'Jetty Data'!$C$2:$C$142,""),"-")</f>
        <v>89090</v>
      </c>
      <c r="K64" s="18">
        <f>IFERROR(_xlfn.XLOOKUP(SUBSTITUTE($B64,"AL ","HJI "),'Jetty Data'!$B$2:$B$142,'Jetty Data'!$D$2:$D$142,""),"-")</f>
        <v>25700</v>
      </c>
      <c r="L64" s="18">
        <f>IFERROR(_xlfn.XLOOKUP(SUBSTITUTE($B64,"AL ","HJI "),'Jetty Data'!$B$2:$B$142,'Jetty Data'!$E$2:$E$142,""),"-")</f>
        <v>63390</v>
      </c>
      <c r="M64" s="16">
        <f>IFERROR(_xlfn.XLOOKUP(SUBSTITUTE($B64,"AL ","HJI "),'Jetty Data'!$B$2:$B$142,'Jetty Data'!$F$2:$F$142,""),"-")</f>
        <v>0.94097222222222221</v>
      </c>
    </row>
    <row r="65" spans="1:13">
      <c r="A65" s="14">
        <v>64</v>
      </c>
      <c r="B65" s="15" t="str">
        <f>'Data Site'!A65</f>
        <v>HJI 536</v>
      </c>
      <c r="C65" s="16">
        <f>'Data Site'!B65</f>
        <v>0.58958333333333335</v>
      </c>
      <c r="D65" s="16">
        <f>'Data Site'!C65</f>
        <v>0.61458333333333337</v>
      </c>
      <c r="E65" s="17">
        <f>'Data Site'!D65</f>
        <v>81670</v>
      </c>
      <c r="F65" s="17">
        <f>'Data Site'!E65</f>
        <v>29620</v>
      </c>
      <c r="G65" s="17">
        <f>'Data Site'!F65</f>
        <v>52050</v>
      </c>
      <c r="H65" s="14" t="str">
        <f>'Data Site'!G65</f>
        <v>晴(Cerah)</v>
      </c>
      <c r="I65" s="14" t="str">
        <f>'Data Site'!H65</f>
        <v>精煤</v>
      </c>
      <c r="J65" s="18">
        <f>IFERROR(_xlfn.XLOOKUP(SUBSTITUTE($B65,"AL ","HJI "),'Jetty Data'!$B$2:$B$142,'Jetty Data'!$C$2:$C$142,""),"-")</f>
        <v>81670</v>
      </c>
      <c r="K65" s="18">
        <f>IFERROR(_xlfn.XLOOKUP(SUBSTITUTE($B65,"AL ","HJI "),'Jetty Data'!$B$2:$B$142,'Jetty Data'!$D$2:$D$142,""),"-")</f>
        <v>29620</v>
      </c>
      <c r="L65" s="18">
        <f>IFERROR(_xlfn.XLOOKUP(SUBSTITUTE($B65,"AL ","HJI "),'Jetty Data'!$B$2:$B$142,'Jetty Data'!$E$2:$E$142,""),"-")</f>
        <v>52050</v>
      </c>
      <c r="M65" s="16">
        <f>IFERROR(_xlfn.XLOOKUP(SUBSTITUTE($B65,"AL ","HJI "),'Jetty Data'!$B$2:$B$142,'Jetty Data'!$F$2:$F$142,""),"-")</f>
        <v>0.75069444444444444</v>
      </c>
    </row>
    <row r="66" spans="1:13">
      <c r="A66" s="14">
        <v>65</v>
      </c>
      <c r="B66" s="15" t="str">
        <f>'Data Site'!A66</f>
        <v>HJI 513</v>
      </c>
      <c r="C66" s="16">
        <f>'Data Site'!B66</f>
        <v>0.59652777777777777</v>
      </c>
      <c r="D66" s="16">
        <f>'Data Site'!C66</f>
        <v>0.61597222222222225</v>
      </c>
      <c r="E66" s="17">
        <f>'Data Site'!D66</f>
        <v>53120</v>
      </c>
      <c r="F66" s="17">
        <f>'Data Site'!E66</f>
        <v>14730</v>
      </c>
      <c r="G66" s="17">
        <f>'Data Site'!F66</f>
        <v>38390</v>
      </c>
      <c r="H66" s="14" t="str">
        <f>'Data Site'!G66</f>
        <v>晴(Cerah)</v>
      </c>
      <c r="I66" s="14" t="str">
        <f>'Data Site'!H66</f>
        <v>精煤</v>
      </c>
      <c r="J66" s="18">
        <f>IFERROR(_xlfn.XLOOKUP(SUBSTITUTE($B66,"AL ","HJI "),'Jetty Data'!$B$2:$B$142,'Jetty Data'!$C$2:$C$142,""),"-")</f>
        <v>52620</v>
      </c>
      <c r="K66" s="18">
        <f>IFERROR(_xlfn.XLOOKUP(SUBSTITUTE($B66,"AL ","HJI "),'Jetty Data'!$B$2:$B$142,'Jetty Data'!$D$2:$D$142,""),"-")</f>
        <v>14730</v>
      </c>
      <c r="L66" s="18">
        <f>IFERROR(_xlfn.XLOOKUP(SUBSTITUTE($B66,"AL ","HJI "),'Jetty Data'!$B$2:$B$142,'Jetty Data'!$E$2:$E$142,""),"-")</f>
        <v>37890</v>
      </c>
      <c r="M66" s="16">
        <f>IFERROR(_xlfn.XLOOKUP(SUBSTITUTE($B66,"AL ","HJI "),'Jetty Data'!$B$2:$B$142,'Jetty Data'!$F$2:$F$142,""),"-")</f>
        <v>0.87083333333333335</v>
      </c>
    </row>
    <row r="67" spans="1:13">
      <c r="A67" s="14">
        <v>66</v>
      </c>
      <c r="B67" s="15" t="str">
        <f>'Data Site'!A67</f>
        <v>HJI 532</v>
      </c>
      <c r="C67" s="16">
        <f>'Data Site'!B67</f>
        <v>0.59027777777777779</v>
      </c>
      <c r="D67" s="16">
        <f>'Data Site'!C67</f>
        <v>0.61736111111111114</v>
      </c>
      <c r="E67" s="17">
        <f>'Data Site'!D67</f>
        <v>49470</v>
      </c>
      <c r="F67" s="17">
        <f>'Data Site'!E67</f>
        <v>13900</v>
      </c>
      <c r="G67" s="17">
        <f>'Data Site'!F67</f>
        <v>35570</v>
      </c>
      <c r="H67" s="14" t="str">
        <f>'Data Site'!G67</f>
        <v>晴(Cerah)</v>
      </c>
      <c r="I67" s="14" t="str">
        <f>'Data Site'!H67</f>
        <v>精煤</v>
      </c>
      <c r="J67" s="18">
        <f>IFERROR(_xlfn.XLOOKUP(SUBSTITUTE($B67,"AL ","HJI "),'Jetty Data'!$B$2:$B$142,'Jetty Data'!$C$2:$C$142,""),"-")</f>
        <v>49150</v>
      </c>
      <c r="K67" s="18">
        <f>IFERROR(_xlfn.XLOOKUP(SUBSTITUTE($B67,"AL ","HJI "),'Jetty Data'!$B$2:$B$142,'Jetty Data'!$D$2:$D$142,""),"-")</f>
        <v>13900</v>
      </c>
      <c r="L67" s="18">
        <f>IFERROR(_xlfn.XLOOKUP(SUBSTITUTE($B67,"AL ","HJI "),'Jetty Data'!$B$2:$B$142,'Jetty Data'!$E$2:$E$142,""),"-")</f>
        <v>35250</v>
      </c>
      <c r="M67" s="16">
        <f>IFERROR(_xlfn.XLOOKUP(SUBSTITUTE($B67,"AL ","HJI "),'Jetty Data'!$B$2:$B$142,'Jetty Data'!$F$2:$F$142,""),"-")</f>
        <v>0.87291666666666667</v>
      </c>
    </row>
    <row r="68" spans="1:13">
      <c r="A68" s="14">
        <v>67</v>
      </c>
      <c r="B68" s="15" t="str">
        <f>'Data Site'!A68</f>
        <v>HJI 515</v>
      </c>
      <c r="C68" s="16">
        <f>'Data Site'!B68</f>
        <v>0.59097222222222223</v>
      </c>
      <c r="D68" s="16">
        <f>'Data Site'!C68</f>
        <v>0.61875000000000002</v>
      </c>
      <c r="E68" s="17">
        <f>'Data Site'!D68</f>
        <v>50890</v>
      </c>
      <c r="F68" s="17">
        <f>'Data Site'!E68</f>
        <v>14710</v>
      </c>
      <c r="G68" s="17">
        <f>'Data Site'!F68</f>
        <v>36180</v>
      </c>
      <c r="H68" s="14" t="str">
        <f>'Data Site'!G68</f>
        <v>晴(Cerah)</v>
      </c>
      <c r="I68" s="14" t="str">
        <f>'Data Site'!H68</f>
        <v>精煤</v>
      </c>
      <c r="J68" s="18">
        <f>IFERROR(_xlfn.XLOOKUP(SUBSTITUTE($B68,"AL ","HJI "),'Jetty Data'!$B$2:$B$142,'Jetty Data'!$C$2:$C$142,""),"-")</f>
        <v>50530</v>
      </c>
      <c r="K68" s="18">
        <f>IFERROR(_xlfn.XLOOKUP(SUBSTITUTE($B68,"AL ","HJI "),'Jetty Data'!$B$2:$B$142,'Jetty Data'!$D$2:$D$142,""),"-")</f>
        <v>14710</v>
      </c>
      <c r="L68" s="18">
        <f>IFERROR(_xlfn.XLOOKUP(SUBSTITUTE($B68,"AL ","HJI "),'Jetty Data'!$B$2:$B$142,'Jetty Data'!$E$2:$E$142,""),"-")</f>
        <v>35820</v>
      </c>
      <c r="M68" s="16">
        <f>IFERROR(_xlfn.XLOOKUP(SUBSTITUTE($B68,"AL ","HJI "),'Jetty Data'!$B$2:$B$142,'Jetty Data'!$F$2:$F$142,""),"-")</f>
        <v>0.87013888888888891</v>
      </c>
    </row>
    <row r="69" spans="1:13">
      <c r="A69" s="14">
        <v>68</v>
      </c>
      <c r="B69" s="15" t="str">
        <f>'Data Site'!A69</f>
        <v>HJI 612</v>
      </c>
      <c r="C69" s="16">
        <f>'Data Site'!B69</f>
        <v>0.59722222222222221</v>
      </c>
      <c r="D69" s="16">
        <f>'Data Site'!C69</f>
        <v>0.61944444444444446</v>
      </c>
      <c r="E69" s="17">
        <f>'Data Site'!D69</f>
        <v>49430</v>
      </c>
      <c r="F69" s="17">
        <f>'Data Site'!E69</f>
        <v>14970</v>
      </c>
      <c r="G69" s="17">
        <f>'Data Site'!F69</f>
        <v>34460</v>
      </c>
      <c r="H69" s="14" t="str">
        <f>'Data Site'!G69</f>
        <v>晴(Cerah)</v>
      </c>
      <c r="I69" s="14" t="str">
        <f>'Data Site'!H69</f>
        <v>精煤</v>
      </c>
      <c r="J69" s="18">
        <f>IFERROR(_xlfn.XLOOKUP(SUBSTITUTE($B69,"AL ","HJI "),'Jetty Data'!$B$2:$B$142,'Jetty Data'!$C$2:$C$142,""),"-")</f>
        <v>49130</v>
      </c>
      <c r="K69" s="18">
        <f>IFERROR(_xlfn.XLOOKUP(SUBSTITUTE($B69,"AL ","HJI "),'Jetty Data'!$B$2:$B$142,'Jetty Data'!$D$2:$D$142,""),"-")</f>
        <v>14970</v>
      </c>
      <c r="L69" s="18">
        <f>IFERROR(_xlfn.XLOOKUP(SUBSTITUTE($B69,"AL ","HJI "),'Jetty Data'!$B$2:$B$142,'Jetty Data'!$E$2:$E$142,""),"-")</f>
        <v>34160</v>
      </c>
      <c r="M69" s="16">
        <f>IFERROR(_xlfn.XLOOKUP(SUBSTITUTE($B69,"AL ","HJI "),'Jetty Data'!$B$2:$B$142,'Jetty Data'!$F$2:$F$142,""),"-")</f>
        <v>0.74930555555555556</v>
      </c>
    </row>
    <row r="70" spans="1:13">
      <c r="A70" s="14">
        <v>69</v>
      </c>
      <c r="B70" s="15" t="str">
        <f>'Data Site'!A70</f>
        <v>HJI 902</v>
      </c>
      <c r="C70" s="16">
        <f>'Data Site'!B70</f>
        <v>0.59722222222222221</v>
      </c>
      <c r="D70" s="16">
        <f>'Data Site'!C70</f>
        <v>0.62152777777777779</v>
      </c>
      <c r="E70" s="17">
        <f>'Data Site'!D70</f>
        <v>53100</v>
      </c>
      <c r="F70" s="17">
        <f>'Data Site'!E70</f>
        <v>15640</v>
      </c>
      <c r="G70" s="17">
        <f>'Data Site'!F70</f>
        <v>37460</v>
      </c>
      <c r="H70" s="14" t="str">
        <f>'Data Site'!G70</f>
        <v>晴(Cerah)</v>
      </c>
      <c r="I70" s="14" t="str">
        <f>'Data Site'!H70</f>
        <v>精煤</v>
      </c>
      <c r="J70" s="18">
        <f>IFERROR(_xlfn.XLOOKUP(SUBSTITUTE($B70,"AL ","HJI "),'Jetty Data'!$B$2:$B$142,'Jetty Data'!$C$2:$C$142,""),"-")</f>
        <v>52610</v>
      </c>
      <c r="K70" s="18">
        <f>IFERROR(_xlfn.XLOOKUP(SUBSTITUTE($B70,"AL ","HJI "),'Jetty Data'!$B$2:$B$142,'Jetty Data'!$D$2:$D$142,""),"-")</f>
        <v>15640</v>
      </c>
      <c r="L70" s="18">
        <f>IFERROR(_xlfn.XLOOKUP(SUBSTITUTE($B70,"AL ","HJI "),'Jetty Data'!$B$2:$B$142,'Jetty Data'!$E$2:$E$142,""),"-")</f>
        <v>36970</v>
      </c>
      <c r="M70" s="16">
        <f>IFERROR(_xlfn.XLOOKUP(SUBSTITUTE($B70,"AL ","HJI "),'Jetty Data'!$B$2:$B$142,'Jetty Data'!$F$2:$F$142,""),"-")</f>
        <v>0.87222222222222223</v>
      </c>
    </row>
    <row r="71" spans="1:13">
      <c r="A71" s="14">
        <v>70</v>
      </c>
      <c r="B71" s="15" t="str">
        <f>'Data Site'!A71</f>
        <v>HJI 810</v>
      </c>
      <c r="C71" s="16">
        <f>'Data Site'!B71</f>
        <v>0.6118055555555556</v>
      </c>
      <c r="D71" s="16">
        <f>'Data Site'!C71</f>
        <v>0.62291666666666667</v>
      </c>
      <c r="E71" s="17">
        <f>'Data Site'!D71</f>
        <v>48670</v>
      </c>
      <c r="F71" s="17">
        <f>'Data Site'!E71</f>
        <v>13640</v>
      </c>
      <c r="G71" s="17">
        <f>'Data Site'!F71</f>
        <v>35030</v>
      </c>
      <c r="H71" s="14" t="str">
        <f>'Data Site'!G71</f>
        <v>晴(Cerah)</v>
      </c>
      <c r="I71" s="14" t="str">
        <f>'Data Site'!H71</f>
        <v>精煤</v>
      </c>
      <c r="J71" s="18">
        <f>IFERROR(_xlfn.XLOOKUP(SUBSTITUTE($B71,"AL ","HJI "),'Jetty Data'!$B$2:$B$142,'Jetty Data'!$C$2:$C$142,""),"-")</f>
        <v>48330</v>
      </c>
      <c r="K71" s="18">
        <f>IFERROR(_xlfn.XLOOKUP(SUBSTITUTE($B71,"AL ","HJI "),'Jetty Data'!$B$2:$B$142,'Jetty Data'!$D$2:$D$142,""),"-")</f>
        <v>13640</v>
      </c>
      <c r="L71" s="18">
        <f>IFERROR(_xlfn.XLOOKUP(SUBSTITUTE($B71,"AL ","HJI "),'Jetty Data'!$B$2:$B$142,'Jetty Data'!$E$2:$E$142,""),"-")</f>
        <v>34690</v>
      </c>
      <c r="M71" s="16">
        <f>IFERROR(_xlfn.XLOOKUP(SUBSTITUTE($B71,"AL ","HJI "),'Jetty Data'!$B$2:$B$142,'Jetty Data'!$F$2:$F$142,""),"-")</f>
        <v>0.85486111111111107</v>
      </c>
    </row>
    <row r="72" spans="1:13">
      <c r="A72" s="14">
        <v>71</v>
      </c>
      <c r="B72" s="15" t="str">
        <f>'Data Site'!A72</f>
        <v>HJI 511</v>
      </c>
      <c r="C72" s="16">
        <f>'Data Site'!B72</f>
        <v>0.61041666666666672</v>
      </c>
      <c r="D72" s="16">
        <f>'Data Site'!C72</f>
        <v>0.62361111111111112</v>
      </c>
      <c r="E72" s="17">
        <f>'Data Site'!D72</f>
        <v>49710</v>
      </c>
      <c r="F72" s="17">
        <f>'Data Site'!E72</f>
        <v>14850</v>
      </c>
      <c r="G72" s="17">
        <f>'Data Site'!F72</f>
        <v>34860</v>
      </c>
      <c r="H72" s="14" t="str">
        <f>'Data Site'!G72</f>
        <v>晴(Cerah)</v>
      </c>
      <c r="I72" s="14" t="str">
        <f>'Data Site'!H72</f>
        <v>精煤</v>
      </c>
      <c r="J72" s="18">
        <f>IFERROR(_xlfn.XLOOKUP(SUBSTITUTE($B72,"AL ","HJI "),'Jetty Data'!$B$2:$B$142,'Jetty Data'!$C$2:$C$142,""),"-")</f>
        <v>49520</v>
      </c>
      <c r="K72" s="18">
        <f>IFERROR(_xlfn.XLOOKUP(SUBSTITUTE($B72,"AL ","HJI "),'Jetty Data'!$B$2:$B$142,'Jetty Data'!$D$2:$D$142,""),"-")</f>
        <v>14850</v>
      </c>
      <c r="L72" s="18">
        <f>IFERROR(_xlfn.XLOOKUP(SUBSTITUTE($B72,"AL ","HJI "),'Jetty Data'!$B$2:$B$142,'Jetty Data'!$E$2:$E$142,""),"-")</f>
        <v>34670</v>
      </c>
      <c r="M72" s="16">
        <f>IFERROR(_xlfn.XLOOKUP(SUBSTITUTE($B72,"AL ","HJI "),'Jetty Data'!$B$2:$B$142,'Jetty Data'!$F$2:$F$142,""),"-")</f>
        <v>0.92847222222222225</v>
      </c>
    </row>
    <row r="73" spans="1:13">
      <c r="A73" s="14">
        <v>72</v>
      </c>
      <c r="B73" s="15" t="str">
        <f>'Data Site'!A73</f>
        <v>HJI 535</v>
      </c>
      <c r="C73" s="16">
        <f>'Data Site'!B73</f>
        <v>0.61111111111111116</v>
      </c>
      <c r="D73" s="16">
        <f>'Data Site'!C73</f>
        <v>0.625</v>
      </c>
      <c r="E73" s="17">
        <f>'Data Site'!D73</f>
        <v>88790</v>
      </c>
      <c r="F73" s="17">
        <f>'Data Site'!E73</f>
        <v>26130</v>
      </c>
      <c r="G73" s="17">
        <f>'Data Site'!F73</f>
        <v>62660</v>
      </c>
      <c r="H73" s="14" t="str">
        <f>'Data Site'!G73</f>
        <v>晴(Cerah)</v>
      </c>
      <c r="I73" s="14" t="str">
        <f>'Data Site'!H73</f>
        <v>精煤</v>
      </c>
      <c r="J73" s="18">
        <f>IFERROR(_xlfn.XLOOKUP(SUBSTITUTE($B73,"AL ","HJI "),'Jetty Data'!$B$2:$B$142,'Jetty Data'!$C$2:$C$142,""),"-")</f>
        <v>88790</v>
      </c>
      <c r="K73" s="18">
        <f>IFERROR(_xlfn.XLOOKUP(SUBSTITUTE($B73,"AL ","HJI "),'Jetty Data'!$B$2:$B$142,'Jetty Data'!$D$2:$D$142,""),"-")</f>
        <v>26130</v>
      </c>
      <c r="L73" s="18">
        <f>IFERROR(_xlfn.XLOOKUP(SUBSTITUTE($B73,"AL ","HJI "),'Jetty Data'!$B$2:$B$142,'Jetty Data'!$E$2:$E$142,""),"-")</f>
        <v>62660</v>
      </c>
      <c r="M73" s="16">
        <f>IFERROR(_xlfn.XLOOKUP(SUBSTITUTE($B73,"AL ","HJI "),'Jetty Data'!$B$2:$B$142,'Jetty Data'!$F$2:$F$142,""),"-")</f>
        <v>9.375E-2</v>
      </c>
    </row>
    <row r="74" spans="1:13">
      <c r="A74" s="14">
        <v>73</v>
      </c>
      <c r="B74" s="15" t="str">
        <f>'Data Site'!A74</f>
        <v>HJI 812</v>
      </c>
      <c r="C74" s="16">
        <f>'Data Site'!B74</f>
        <v>0.61111111111111116</v>
      </c>
      <c r="D74" s="16">
        <f>'Data Site'!C74</f>
        <v>0.62638888888888888</v>
      </c>
      <c r="E74" s="17">
        <f>'Data Site'!D74</f>
        <v>52100</v>
      </c>
      <c r="F74" s="17">
        <f>'Data Site'!E74</f>
        <v>14570</v>
      </c>
      <c r="G74" s="17">
        <f>'Data Site'!F74</f>
        <v>37530</v>
      </c>
      <c r="H74" s="14" t="str">
        <f>'Data Site'!G74</f>
        <v>晴(Cerah)</v>
      </c>
      <c r="I74" s="14" t="str">
        <f>'Data Site'!H74</f>
        <v>精煤</v>
      </c>
      <c r="J74" s="18">
        <f>IFERROR(_xlfn.XLOOKUP(SUBSTITUTE($B74,"AL ","HJI "),'Jetty Data'!$B$2:$B$142,'Jetty Data'!$C$2:$C$142,""),"-")</f>
        <v>51710</v>
      </c>
      <c r="K74" s="18">
        <f>IFERROR(_xlfn.XLOOKUP(SUBSTITUTE($B74,"AL ","HJI "),'Jetty Data'!$B$2:$B$142,'Jetty Data'!$D$2:$D$142,""),"-")</f>
        <v>14570</v>
      </c>
      <c r="L74" s="18">
        <f>IFERROR(_xlfn.XLOOKUP(SUBSTITUTE($B74,"AL ","HJI "),'Jetty Data'!$B$2:$B$142,'Jetty Data'!$E$2:$E$142,""),"-")</f>
        <v>37140</v>
      </c>
      <c r="M74" s="16">
        <f>IFERROR(_xlfn.XLOOKUP(SUBSTITUTE($B74,"AL ","HJI "),'Jetty Data'!$B$2:$B$142,'Jetty Data'!$F$2:$F$142,""),"-")</f>
        <v>0.85624999999999996</v>
      </c>
    </row>
    <row r="75" spans="1:13">
      <c r="A75" s="14">
        <v>74</v>
      </c>
      <c r="B75" s="15" t="str">
        <f>'Data Site'!A75</f>
        <v>HJI 516</v>
      </c>
      <c r="C75" s="16">
        <f>'Data Site'!B75</f>
        <v>0.61319444444444449</v>
      </c>
      <c r="D75" s="16">
        <f>'Data Site'!C75</f>
        <v>0.63124999999999998</v>
      </c>
      <c r="E75" s="17">
        <f>'Data Site'!D75</f>
        <v>49030</v>
      </c>
      <c r="F75" s="17">
        <f>'Data Site'!E75</f>
        <v>14790</v>
      </c>
      <c r="G75" s="17">
        <f>'Data Site'!F75</f>
        <v>34240</v>
      </c>
      <c r="H75" s="14" t="str">
        <f>'Data Site'!G75</f>
        <v>晴(Cerah)</v>
      </c>
      <c r="I75" s="14" t="str">
        <f>'Data Site'!H75</f>
        <v>精煤</v>
      </c>
      <c r="J75" s="18">
        <f>IFERROR(_xlfn.XLOOKUP(SUBSTITUTE($B75,"AL ","HJI "),'Jetty Data'!$B$2:$B$142,'Jetty Data'!$C$2:$C$142,""),"-")</f>
        <v>48830</v>
      </c>
      <c r="K75" s="18">
        <f>IFERROR(_xlfn.XLOOKUP(SUBSTITUTE($B75,"AL ","HJI "),'Jetty Data'!$B$2:$B$142,'Jetty Data'!$D$2:$D$142,""),"-")</f>
        <v>14790</v>
      </c>
      <c r="L75" s="18">
        <f>IFERROR(_xlfn.XLOOKUP(SUBSTITUTE($B75,"AL ","HJI "),'Jetty Data'!$B$2:$B$142,'Jetty Data'!$E$2:$E$142,""),"-")</f>
        <v>34040</v>
      </c>
      <c r="M75" s="16">
        <f>IFERROR(_xlfn.XLOOKUP(SUBSTITUTE($B75,"AL ","HJI "),'Jetty Data'!$B$2:$B$142,'Jetty Data'!$F$2:$F$142,""),"-")</f>
        <v>0.87361111111111112</v>
      </c>
    </row>
    <row r="76" spans="1:13">
      <c r="A76" s="14">
        <v>75</v>
      </c>
      <c r="B76" s="15" t="str">
        <f>'Data Site'!A76</f>
        <v>HJI 517</v>
      </c>
      <c r="C76" s="16">
        <f>'Data Site'!B76</f>
        <v>0.61250000000000004</v>
      </c>
      <c r="D76" s="16">
        <f>'Data Site'!C76</f>
        <v>0.63263888888888886</v>
      </c>
      <c r="E76" s="17">
        <f>'Data Site'!D76</f>
        <v>54070</v>
      </c>
      <c r="F76" s="17">
        <f>'Data Site'!E76</f>
        <v>14740</v>
      </c>
      <c r="G76" s="17">
        <f>'Data Site'!F76</f>
        <v>39330</v>
      </c>
      <c r="H76" s="14" t="str">
        <f>'Data Site'!G76</f>
        <v>晴(Cerah)</v>
      </c>
      <c r="I76" s="14" t="str">
        <f>'Data Site'!H76</f>
        <v>精煤</v>
      </c>
      <c r="J76" s="18">
        <f>IFERROR(_xlfn.XLOOKUP(SUBSTITUTE($B76,"AL ","HJI "),'Jetty Data'!$B$2:$B$142,'Jetty Data'!$C$2:$C$142,""),"-")</f>
        <v>53550</v>
      </c>
      <c r="K76" s="18">
        <f>IFERROR(_xlfn.XLOOKUP(SUBSTITUTE($B76,"AL ","HJI "),'Jetty Data'!$B$2:$B$142,'Jetty Data'!$D$2:$D$142,""),"-")</f>
        <v>14740</v>
      </c>
      <c r="L76" s="18">
        <f>IFERROR(_xlfn.XLOOKUP(SUBSTITUTE($B76,"AL ","HJI "),'Jetty Data'!$B$2:$B$142,'Jetty Data'!$E$2:$E$142,""),"-")</f>
        <v>38810</v>
      </c>
      <c r="M76" s="16">
        <f>IFERROR(_xlfn.XLOOKUP(SUBSTITUTE($B76,"AL ","HJI "),'Jetty Data'!$B$2:$B$142,'Jetty Data'!$F$2:$F$142,""),"-")</f>
        <v>0.87152777777777779</v>
      </c>
    </row>
    <row r="77" spans="1:13">
      <c r="A77" s="14">
        <v>76</v>
      </c>
      <c r="B77" s="15" t="str">
        <f>'Data Site'!A77</f>
        <v>HJI 811</v>
      </c>
      <c r="C77" s="16">
        <f>'Data Site'!B77</f>
        <v>0.6118055555555556</v>
      </c>
      <c r="D77" s="16">
        <f>'Data Site'!C77</f>
        <v>0.63402777777777775</v>
      </c>
      <c r="E77" s="17">
        <f>'Data Site'!D77</f>
        <v>51060</v>
      </c>
      <c r="F77" s="17">
        <f>'Data Site'!E77</f>
        <v>15450</v>
      </c>
      <c r="G77" s="17">
        <f>'Data Site'!F77</f>
        <v>35610</v>
      </c>
      <c r="H77" s="14" t="str">
        <f>'Data Site'!G77</f>
        <v>晴(Cerah)</v>
      </c>
      <c r="I77" s="14" t="str">
        <f>'Data Site'!H77</f>
        <v>精煤</v>
      </c>
      <c r="J77" s="18">
        <f>IFERROR(_xlfn.XLOOKUP(SUBSTITUTE($B77,"AL ","HJI "),'Jetty Data'!$B$2:$B$142,'Jetty Data'!$C$2:$C$142,""),"-")</f>
        <v>50740</v>
      </c>
      <c r="K77" s="18">
        <f>IFERROR(_xlfn.XLOOKUP(SUBSTITUTE($B77,"AL ","HJI "),'Jetty Data'!$B$2:$B$142,'Jetty Data'!$D$2:$D$142,""),"-")</f>
        <v>15450</v>
      </c>
      <c r="L77" s="18">
        <f>IFERROR(_xlfn.XLOOKUP(SUBSTITUTE($B77,"AL ","HJI "),'Jetty Data'!$B$2:$B$142,'Jetty Data'!$E$2:$E$142,""),"-")</f>
        <v>35290</v>
      </c>
      <c r="M77" s="16">
        <f>IFERROR(_xlfn.XLOOKUP(SUBSTITUTE($B77,"AL ","HJI "),'Jetty Data'!$B$2:$B$142,'Jetty Data'!$F$2:$F$142,""),"-")</f>
        <v>0.85555555555555551</v>
      </c>
    </row>
    <row r="78" spans="1:13">
      <c r="A78" s="14">
        <v>77</v>
      </c>
      <c r="B78" s="15" t="str">
        <f>'Data Site'!A78</f>
        <v>HJI 506</v>
      </c>
      <c r="C78" s="16">
        <f>'Data Site'!B78</f>
        <v>0.61250000000000004</v>
      </c>
      <c r="D78" s="16">
        <f>'Data Site'!C78</f>
        <v>0.63541666666666663</v>
      </c>
      <c r="E78" s="17">
        <f>'Data Site'!D78</f>
        <v>45850</v>
      </c>
      <c r="F78" s="17">
        <f>'Data Site'!E78</f>
        <v>14670</v>
      </c>
      <c r="G78" s="17">
        <f>'Data Site'!F78</f>
        <v>31180</v>
      </c>
      <c r="H78" s="14" t="str">
        <f>'Data Site'!G78</f>
        <v>晴(Cerah)</v>
      </c>
      <c r="I78" s="14" t="str">
        <f>'Data Site'!H78</f>
        <v>精煤</v>
      </c>
      <c r="J78" s="18">
        <f>IFERROR(_xlfn.XLOOKUP(SUBSTITUTE($B78,"AL ","HJI "),'Jetty Data'!$B$2:$B$142,'Jetty Data'!$C$2:$C$142,""),"-")</f>
        <v>45680</v>
      </c>
      <c r="K78" s="18">
        <f>IFERROR(_xlfn.XLOOKUP(SUBSTITUTE($B78,"AL ","HJI "),'Jetty Data'!$B$2:$B$142,'Jetty Data'!$D$2:$D$142,""),"-")</f>
        <v>14670</v>
      </c>
      <c r="L78" s="18">
        <f>IFERROR(_xlfn.XLOOKUP(SUBSTITUTE($B78,"AL ","HJI "),'Jetty Data'!$B$2:$B$142,'Jetty Data'!$E$2:$E$142,""),"-")</f>
        <v>31010</v>
      </c>
      <c r="M78" s="16">
        <f>IFERROR(_xlfn.XLOOKUP(SUBSTITUTE($B78,"AL ","HJI "),'Jetty Data'!$B$2:$B$142,'Jetty Data'!$F$2:$F$142,""),"-")</f>
        <v>0.81805555555555554</v>
      </c>
    </row>
    <row r="79" spans="1:13">
      <c r="A79" s="14">
        <v>78</v>
      </c>
      <c r="B79" s="15" t="str">
        <f>'Data Site'!A79</f>
        <v>HJI 128</v>
      </c>
      <c r="C79" s="16">
        <f>'Data Site'!B79</f>
        <v>0.61319444444444449</v>
      </c>
      <c r="D79" s="16">
        <f>'Data Site'!C79</f>
        <v>0.63611111111111107</v>
      </c>
      <c r="E79" s="17">
        <f>'Data Site'!D79</f>
        <v>43600</v>
      </c>
      <c r="F79" s="17">
        <f>'Data Site'!E79</f>
        <v>12690</v>
      </c>
      <c r="G79" s="17">
        <f>'Data Site'!F79</f>
        <v>30910</v>
      </c>
      <c r="H79" s="14" t="str">
        <f>'Data Site'!G79</f>
        <v>晴(Cerah)</v>
      </c>
      <c r="I79" s="14" t="str">
        <f>'Data Site'!H79</f>
        <v>精煤</v>
      </c>
      <c r="J79" s="18">
        <f>IFERROR(_xlfn.XLOOKUP(SUBSTITUTE($B79,"AL ","HJI "),'Jetty Data'!$B$2:$B$142,'Jetty Data'!$C$2:$C$142,""),"-")</f>
        <v>43100</v>
      </c>
      <c r="K79" s="18">
        <f>IFERROR(_xlfn.XLOOKUP(SUBSTITUTE($B79,"AL ","HJI "),'Jetty Data'!$B$2:$B$142,'Jetty Data'!$D$2:$D$142,""),"-")</f>
        <v>12690</v>
      </c>
      <c r="L79" s="18">
        <f>IFERROR(_xlfn.XLOOKUP(SUBSTITUTE($B79,"AL ","HJI "),'Jetty Data'!$B$2:$B$142,'Jetty Data'!$E$2:$E$142,""),"-")</f>
        <v>30410</v>
      </c>
      <c r="M79" s="16">
        <f>IFERROR(_xlfn.XLOOKUP(SUBSTITUTE($B79,"AL ","HJI "),'Jetty Data'!$B$2:$B$142,'Jetty Data'!$F$2:$F$142,""),"-")</f>
        <v>0.81597222222222221</v>
      </c>
    </row>
    <row r="80" spans="1:13">
      <c r="A80" s="14">
        <v>79</v>
      </c>
      <c r="B80" s="15" t="str">
        <f>'Data Site'!A80</f>
        <v>HJI 803</v>
      </c>
      <c r="C80" s="16">
        <f>'Data Site'!B80</f>
        <v>0.62847222222222221</v>
      </c>
      <c r="D80" s="16">
        <f>'Data Site'!C80</f>
        <v>0.63749999999999996</v>
      </c>
      <c r="E80" s="17">
        <f>'Data Site'!D80</f>
        <v>48670</v>
      </c>
      <c r="F80" s="17">
        <f>'Data Site'!E80</f>
        <v>15590</v>
      </c>
      <c r="G80" s="17">
        <f>'Data Site'!F80</f>
        <v>33080</v>
      </c>
      <c r="H80" s="14" t="str">
        <f>'Data Site'!G80</f>
        <v>晴(Cerah)</v>
      </c>
      <c r="I80" s="14" t="str">
        <f>'Data Site'!H80</f>
        <v>精煤</v>
      </c>
      <c r="J80" s="18">
        <f>IFERROR(_xlfn.XLOOKUP(SUBSTITUTE($B80,"AL ","HJI "),'Jetty Data'!$B$2:$B$142,'Jetty Data'!$C$2:$C$142,""),"-")</f>
        <v>48390</v>
      </c>
      <c r="K80" s="18">
        <f>IFERROR(_xlfn.XLOOKUP(SUBSTITUTE($B80,"AL ","HJI "),'Jetty Data'!$B$2:$B$142,'Jetty Data'!$D$2:$D$142,""),"-")</f>
        <v>15590</v>
      </c>
      <c r="L80" s="18">
        <f>IFERROR(_xlfn.XLOOKUP(SUBSTITUTE($B80,"AL ","HJI "),'Jetty Data'!$B$2:$B$142,'Jetty Data'!$E$2:$E$142,""),"-")</f>
        <v>32800</v>
      </c>
      <c r="M80" s="16">
        <f>IFERROR(_xlfn.XLOOKUP(SUBSTITUTE($B80,"AL ","HJI "),'Jetty Data'!$B$2:$B$142,'Jetty Data'!$F$2:$F$142,""),"-")</f>
        <v>0.81527777777777777</v>
      </c>
    </row>
    <row r="81" spans="1:13">
      <c r="A81" s="14">
        <v>80</v>
      </c>
      <c r="B81" s="15" t="str">
        <f>'Data Site'!A81</f>
        <v>HJI 044</v>
      </c>
      <c r="C81" s="16">
        <f>'Data Site'!B81</f>
        <v>0.61388888888888893</v>
      </c>
      <c r="D81" s="16">
        <f>'Data Site'!C81</f>
        <v>0.64097222222222228</v>
      </c>
      <c r="E81" s="17">
        <f>'Data Site'!D81</f>
        <v>50920</v>
      </c>
      <c r="F81" s="17">
        <f>'Data Site'!E81</f>
        <v>14490</v>
      </c>
      <c r="G81" s="17">
        <f>'Data Site'!F81</f>
        <v>36430</v>
      </c>
      <c r="H81" s="14" t="str">
        <f>'Data Site'!G81</f>
        <v>晴(Cerah)</v>
      </c>
      <c r="I81" s="14" t="str">
        <f>'Data Site'!H81</f>
        <v>精煤</v>
      </c>
      <c r="J81" s="18">
        <f>IFERROR(_xlfn.XLOOKUP(SUBSTITUTE($B81,"AL ","HJI "),'Jetty Data'!$B$2:$B$142,'Jetty Data'!$C$2:$C$142,""),"-")</f>
        <v>50610</v>
      </c>
      <c r="K81" s="18">
        <f>IFERROR(_xlfn.XLOOKUP(SUBSTITUTE($B81,"AL ","HJI "),'Jetty Data'!$B$2:$B$142,'Jetty Data'!$D$2:$D$142,""),"-")</f>
        <v>14490</v>
      </c>
      <c r="L81" s="18">
        <f>IFERROR(_xlfn.XLOOKUP(SUBSTITUTE($B81,"AL ","HJI "),'Jetty Data'!$B$2:$B$142,'Jetty Data'!$E$2:$E$142,""),"-")</f>
        <v>36120</v>
      </c>
      <c r="M81" s="16">
        <f>IFERROR(_xlfn.XLOOKUP(SUBSTITUTE($B81,"AL ","HJI "),'Jetty Data'!$B$2:$B$142,'Jetty Data'!$F$2:$F$142,""),"-")</f>
        <v>0.81736111111111109</v>
      </c>
    </row>
    <row r="82" spans="1:13">
      <c r="A82" s="14">
        <v>81</v>
      </c>
      <c r="B82" s="15" t="str">
        <f>'Data Site'!A82</f>
        <v>HJI 761</v>
      </c>
      <c r="C82" s="16">
        <f>'Data Site'!B82</f>
        <v>0.62847222222222221</v>
      </c>
      <c r="D82" s="16">
        <f>'Data Site'!C82</f>
        <v>0.64166666666666672</v>
      </c>
      <c r="E82" s="17">
        <f>'Data Site'!D82</f>
        <v>46830</v>
      </c>
      <c r="F82" s="17">
        <f>'Data Site'!E82</f>
        <v>14680</v>
      </c>
      <c r="G82" s="17">
        <f>'Data Site'!F82</f>
        <v>32150</v>
      </c>
      <c r="H82" s="14" t="str">
        <f>'Data Site'!G82</f>
        <v>晴(Cerah)</v>
      </c>
      <c r="I82" s="14" t="str">
        <f>'Data Site'!H82</f>
        <v>精煤</v>
      </c>
      <c r="J82" s="18">
        <f>IFERROR(_xlfn.XLOOKUP(SUBSTITUTE($B82,"AL ","HJI "),'Jetty Data'!$B$2:$B$142,'Jetty Data'!$C$2:$C$142,""),"-")</f>
        <v>46530</v>
      </c>
      <c r="K82" s="18">
        <f>IFERROR(_xlfn.XLOOKUP(SUBSTITUTE($B82,"AL ","HJI "),'Jetty Data'!$B$2:$B$142,'Jetty Data'!$D$2:$D$142,""),"-")</f>
        <v>14680</v>
      </c>
      <c r="L82" s="18">
        <f>IFERROR(_xlfn.XLOOKUP(SUBSTITUTE($B82,"AL ","HJI "),'Jetty Data'!$B$2:$B$142,'Jetty Data'!$E$2:$E$142,""),"-")</f>
        <v>31850</v>
      </c>
      <c r="M82" s="16">
        <f>IFERROR(_xlfn.XLOOKUP(SUBSTITUTE($B82,"AL ","HJI "),'Jetty Data'!$B$2:$B$142,'Jetty Data'!$F$2:$F$142,""),"-")</f>
        <v>0.87569444444444444</v>
      </c>
    </row>
    <row r="83" spans="1:13">
      <c r="A83" s="14">
        <v>82</v>
      </c>
      <c r="B83" s="15" t="str">
        <f>'Data Site'!A83</f>
        <v>HJI 204</v>
      </c>
      <c r="C83" s="16">
        <f>'Data Site'!B83</f>
        <v>0.62916666666666665</v>
      </c>
      <c r="D83" s="16">
        <f>'Data Site'!C83</f>
        <v>0.6430555555555556</v>
      </c>
      <c r="E83" s="17">
        <f>'Data Site'!D83</f>
        <v>54890</v>
      </c>
      <c r="F83" s="17">
        <f>'Data Site'!E83</f>
        <v>15030</v>
      </c>
      <c r="G83" s="17">
        <f>'Data Site'!F83</f>
        <v>39860</v>
      </c>
      <c r="H83" s="14" t="str">
        <f>'Data Site'!G83</f>
        <v>晴(Cerah)</v>
      </c>
      <c r="I83" s="14" t="str">
        <f>'Data Site'!H83</f>
        <v>精煤</v>
      </c>
      <c r="J83" s="18">
        <f>IFERROR(_xlfn.XLOOKUP(SUBSTITUTE($B83,"AL ","HJI "),'Jetty Data'!$B$2:$B$142,'Jetty Data'!$C$2:$C$142,""),"-")</f>
        <v>54440</v>
      </c>
      <c r="K83" s="18">
        <f>IFERROR(_xlfn.XLOOKUP(SUBSTITUTE($B83,"AL ","HJI "),'Jetty Data'!$B$2:$B$142,'Jetty Data'!$D$2:$D$142,""),"-")</f>
        <v>15030</v>
      </c>
      <c r="L83" s="18">
        <f>IFERROR(_xlfn.XLOOKUP(SUBSTITUTE($B83,"AL ","HJI "),'Jetty Data'!$B$2:$B$142,'Jetty Data'!$E$2:$E$142,""),"-")</f>
        <v>39410</v>
      </c>
      <c r="M83" s="16">
        <f>IFERROR(_xlfn.XLOOKUP(SUBSTITUTE($B83,"AL ","HJI "),'Jetty Data'!$B$2:$B$142,'Jetty Data'!$F$2:$F$142,""),"-")</f>
        <v>0.92638888888888893</v>
      </c>
    </row>
    <row r="84" spans="1:13">
      <c r="A84" s="14">
        <v>83</v>
      </c>
      <c r="B84" s="15" t="str">
        <f>'Data Site'!A84</f>
        <v>HJI 837</v>
      </c>
      <c r="C84" s="16">
        <f>'Data Site'!B84</f>
        <v>0.62916666666666665</v>
      </c>
      <c r="D84" s="16">
        <f>'Data Site'!C84</f>
        <v>0.64375000000000004</v>
      </c>
      <c r="E84" s="17">
        <f>'Data Site'!D84</f>
        <v>48320</v>
      </c>
      <c r="F84" s="17">
        <f>'Data Site'!E84</f>
        <v>14350</v>
      </c>
      <c r="G84" s="17">
        <f>'Data Site'!F84</f>
        <v>33970</v>
      </c>
      <c r="H84" s="14" t="str">
        <f>'Data Site'!G84</f>
        <v>晴(Cerah)</v>
      </c>
      <c r="I84" s="14" t="str">
        <f>'Data Site'!H84</f>
        <v>精煤</v>
      </c>
      <c r="J84" s="18">
        <f>IFERROR(_xlfn.XLOOKUP(SUBSTITUTE($B84,"AL ","HJI "),'Jetty Data'!$B$2:$B$142,'Jetty Data'!$C$2:$C$142,""),"-")</f>
        <v>48000</v>
      </c>
      <c r="K84" s="18">
        <f>IFERROR(_xlfn.XLOOKUP(SUBSTITUTE($B84,"AL ","HJI "),'Jetty Data'!$B$2:$B$142,'Jetty Data'!$D$2:$D$142,""),"-")</f>
        <v>14350</v>
      </c>
      <c r="L84" s="18">
        <f>IFERROR(_xlfn.XLOOKUP(SUBSTITUTE($B84,"AL ","HJI "),'Jetty Data'!$B$2:$B$142,'Jetty Data'!$E$2:$E$142,""),"-")</f>
        <v>33650</v>
      </c>
      <c r="M84" s="16">
        <f>IFERROR(_xlfn.XLOOKUP(SUBSTITUTE($B84,"AL ","HJI "),'Jetty Data'!$B$2:$B$142,'Jetty Data'!$F$2:$F$142,""),"-")</f>
        <v>0.76111111111111107</v>
      </c>
    </row>
    <row r="85" spans="1:13">
      <c r="A85" s="14">
        <v>84</v>
      </c>
      <c r="B85" s="15" t="str">
        <f>'Data Site'!A85</f>
        <v>HJI 162</v>
      </c>
      <c r="C85" s="16">
        <f>'Data Site'!B85</f>
        <v>0.63888888888888884</v>
      </c>
      <c r="D85" s="16">
        <f>'Data Site'!C85</f>
        <v>0.64583333333333337</v>
      </c>
      <c r="E85" s="17">
        <f>'Data Site'!D85</f>
        <v>53100</v>
      </c>
      <c r="F85" s="17">
        <f>'Data Site'!E85</f>
        <v>15080</v>
      </c>
      <c r="G85" s="17">
        <f>'Data Site'!F85</f>
        <v>38020</v>
      </c>
      <c r="H85" s="14" t="str">
        <f>'Data Site'!G85</f>
        <v>晴(Cerah)</v>
      </c>
      <c r="I85" s="14" t="str">
        <f>'Data Site'!H85</f>
        <v>精煤</v>
      </c>
      <c r="J85" s="18">
        <f>IFERROR(_xlfn.XLOOKUP(SUBSTITUTE($B85,"AL ","HJI "),'Jetty Data'!$B$2:$B$142,'Jetty Data'!$C$2:$C$142,""),"-")</f>
        <v>52247</v>
      </c>
      <c r="K85" s="18">
        <f>IFERROR(_xlfn.XLOOKUP(SUBSTITUTE($B85,"AL ","HJI "),'Jetty Data'!$B$2:$B$142,'Jetty Data'!$D$2:$D$142,""),"-")</f>
        <v>15080</v>
      </c>
      <c r="L85" s="18">
        <f>IFERROR(_xlfn.XLOOKUP(SUBSTITUTE($B85,"AL ","HJI "),'Jetty Data'!$B$2:$B$142,'Jetty Data'!$E$2:$E$142,""),"-")</f>
        <v>37390</v>
      </c>
      <c r="M85" s="16">
        <f>IFERROR(_xlfn.XLOOKUP(SUBSTITUTE($B85,"AL ","HJI "),'Jetty Data'!$B$2:$B$142,'Jetty Data'!$F$2:$F$142,""),"-")</f>
        <v>0.92708333333333337</v>
      </c>
    </row>
    <row r="86" spans="1:13">
      <c r="A86" s="14">
        <v>85</v>
      </c>
      <c r="B86" s="15" t="str">
        <f>'Data Site'!A86</f>
        <v>HJI 387</v>
      </c>
      <c r="C86" s="16">
        <f>'Data Site'!B86</f>
        <v>0.62986111111111109</v>
      </c>
      <c r="D86" s="16">
        <f>'Data Site'!C86</f>
        <v>0.64930555555555558</v>
      </c>
      <c r="E86" s="17">
        <f>'Data Site'!D86</f>
        <v>52610</v>
      </c>
      <c r="F86" s="17">
        <f>'Data Site'!E86</f>
        <v>14200</v>
      </c>
      <c r="G86" s="17">
        <f>'Data Site'!F86</f>
        <v>38410</v>
      </c>
      <c r="H86" s="14" t="str">
        <f>'Data Site'!G86</f>
        <v>晴(Cerah)</v>
      </c>
      <c r="I86" s="14" t="str">
        <f>'Data Site'!H86</f>
        <v>精煤</v>
      </c>
      <c r="J86" s="18">
        <f>IFERROR(_xlfn.XLOOKUP(SUBSTITUTE($B86,"AL ","HJI "),'Jetty Data'!$B$2:$B$142,'Jetty Data'!$C$2:$C$142,""),"-")</f>
        <v>52100</v>
      </c>
      <c r="K86" s="18">
        <f>IFERROR(_xlfn.XLOOKUP(SUBSTITUTE($B86,"AL ","HJI "),'Jetty Data'!$B$2:$B$142,'Jetty Data'!$D$2:$D$142,""),"-")</f>
        <v>14200</v>
      </c>
      <c r="L86" s="18">
        <f>IFERROR(_xlfn.XLOOKUP(SUBSTITUTE($B86,"AL ","HJI "),'Jetty Data'!$B$2:$B$142,'Jetty Data'!$E$2:$E$142,""),"-")</f>
        <v>37910</v>
      </c>
      <c r="M86" s="16">
        <f>IFERROR(_xlfn.XLOOKUP(SUBSTITUTE($B86,"AL ","HJI "),'Jetty Data'!$B$2:$B$142,'Jetty Data'!$F$2:$F$142,""),"-")</f>
        <v>0.76736111111111116</v>
      </c>
    </row>
    <row r="87" spans="1:13">
      <c r="A87" s="14">
        <v>86</v>
      </c>
      <c r="B87" s="15" t="str">
        <f>'Data Site'!A87</f>
        <v>HJI 514</v>
      </c>
      <c r="C87" s="16">
        <f>'Data Site'!B87</f>
        <v>0.63888888888888884</v>
      </c>
      <c r="D87" s="16">
        <f>'Data Site'!C87</f>
        <v>0.65069444444444446</v>
      </c>
      <c r="E87" s="17">
        <f>'Data Site'!D87</f>
        <v>50530</v>
      </c>
      <c r="F87" s="17">
        <f>'Data Site'!E87</f>
        <v>14580</v>
      </c>
      <c r="G87" s="17">
        <f>'Data Site'!F87</f>
        <v>35950</v>
      </c>
      <c r="H87" s="14" t="str">
        <f>'Data Site'!G87</f>
        <v>晴(Cerah)</v>
      </c>
      <c r="I87" s="14" t="str">
        <f>'Data Site'!H87</f>
        <v>精煤</v>
      </c>
      <c r="J87" s="18">
        <f>IFERROR(_xlfn.XLOOKUP(SUBSTITUTE($B87,"AL ","HJI "),'Jetty Data'!$B$2:$B$142,'Jetty Data'!$C$2:$C$142,""),"-")</f>
        <v>50210</v>
      </c>
      <c r="K87" s="18">
        <f>IFERROR(_xlfn.XLOOKUP(SUBSTITUTE($B87,"AL ","HJI "),'Jetty Data'!$B$2:$B$142,'Jetty Data'!$D$2:$D$142,""),"-")</f>
        <v>14580</v>
      </c>
      <c r="L87" s="18">
        <f>IFERROR(_xlfn.XLOOKUP(SUBSTITUTE($B87,"AL ","HJI "),'Jetty Data'!$B$2:$B$142,'Jetty Data'!$E$2:$E$142,""),"-")</f>
        <v>35630</v>
      </c>
      <c r="M87" s="16">
        <f>IFERROR(_xlfn.XLOOKUP(SUBSTITUTE($B87,"AL ","HJI "),'Jetty Data'!$B$2:$B$142,'Jetty Data'!$F$2:$F$142,""),"-")</f>
        <v>0.92777777777777781</v>
      </c>
    </row>
    <row r="88" spans="1:13">
      <c r="A88" s="14">
        <v>87</v>
      </c>
      <c r="B88" s="15" t="str">
        <f>'Data Site'!A88</f>
        <v>HJI 164</v>
      </c>
      <c r="C88" s="16">
        <f>'Data Site'!B88</f>
        <v>0.63958333333333328</v>
      </c>
      <c r="D88" s="16">
        <f>'Data Site'!C88</f>
        <v>0.65486111111111112</v>
      </c>
      <c r="E88" s="17">
        <f>'Data Site'!D88</f>
        <v>52050</v>
      </c>
      <c r="F88" s="17">
        <f>'Data Site'!E88</f>
        <v>14300</v>
      </c>
      <c r="G88" s="17">
        <f>'Data Site'!F88</f>
        <v>37750</v>
      </c>
      <c r="H88" s="14" t="str">
        <f>'Data Site'!G88</f>
        <v>晴(Cerah)</v>
      </c>
      <c r="I88" s="14" t="str">
        <f>'Data Site'!H88</f>
        <v>精煤</v>
      </c>
      <c r="J88" s="18">
        <f>IFERROR(_xlfn.XLOOKUP(SUBSTITUTE($B88,"AL ","HJI "),'Jetty Data'!$B$2:$B$142,'Jetty Data'!$C$2:$C$142,""),"-")</f>
        <v>51580</v>
      </c>
      <c r="K88" s="18">
        <f>IFERROR(_xlfn.XLOOKUP(SUBSTITUTE($B88,"AL ","HJI "),'Jetty Data'!$B$2:$B$142,'Jetty Data'!$D$2:$D$142,""),"-")</f>
        <v>14300</v>
      </c>
      <c r="L88" s="18">
        <f>IFERROR(_xlfn.XLOOKUP(SUBSTITUTE($B88,"AL ","HJI "),'Jetty Data'!$B$2:$B$142,'Jetty Data'!$E$2:$E$142,""),"-")</f>
        <v>37280</v>
      </c>
      <c r="M88" s="16">
        <f>IFERROR(_xlfn.XLOOKUP(SUBSTITUTE($B88,"AL ","HJI "),'Jetty Data'!$B$2:$B$142,'Jetty Data'!$F$2:$F$142,""),"-")</f>
        <v>0.9291666666666667</v>
      </c>
    </row>
    <row r="89" spans="1:13">
      <c r="A89" s="14">
        <v>88</v>
      </c>
      <c r="B89" s="15" t="str">
        <f>'Data Site'!A89</f>
        <v>HJI 757</v>
      </c>
      <c r="C89" s="16">
        <f>'Data Site'!B89</f>
        <v>0.63958333333333328</v>
      </c>
      <c r="D89" s="16">
        <f>'Data Site'!C89</f>
        <v>0.65625</v>
      </c>
      <c r="E89" s="17">
        <f>'Data Site'!D89</f>
        <v>48410</v>
      </c>
      <c r="F89" s="17">
        <f>'Data Site'!E89</f>
        <v>15030</v>
      </c>
      <c r="G89" s="17">
        <f>'Data Site'!F89</f>
        <v>33380</v>
      </c>
      <c r="H89" s="14" t="str">
        <f>'Data Site'!G89</f>
        <v>晴(Cerah)</v>
      </c>
      <c r="I89" s="14" t="str">
        <f>'Data Site'!H89</f>
        <v>精煤</v>
      </c>
      <c r="J89" s="18">
        <f>IFERROR(_xlfn.XLOOKUP(SUBSTITUTE($B89,"AL ","HJI "),'Jetty Data'!$B$2:$B$142,'Jetty Data'!$C$2:$C$142,""),"-")</f>
        <v>48130</v>
      </c>
      <c r="K89" s="18">
        <f>IFERROR(_xlfn.XLOOKUP(SUBSTITUTE($B89,"AL ","HJI "),'Jetty Data'!$B$2:$B$142,'Jetty Data'!$D$2:$D$142,""),"-")</f>
        <v>15030</v>
      </c>
      <c r="L89" s="18">
        <f>IFERROR(_xlfn.XLOOKUP(SUBSTITUTE($B89,"AL ","HJI "),'Jetty Data'!$B$2:$B$142,'Jetty Data'!$E$2:$E$142,""),"-")</f>
        <v>33100</v>
      </c>
      <c r="M89" s="16">
        <f>IFERROR(_xlfn.XLOOKUP(SUBSTITUTE($B89,"AL ","HJI "),'Jetty Data'!$B$2:$B$142,'Jetty Data'!$F$2:$F$142,""),"-")</f>
        <v>0.81874999999999998</v>
      </c>
    </row>
    <row r="90" spans="1:13">
      <c r="A90" s="14">
        <v>89</v>
      </c>
      <c r="B90" s="15" t="str">
        <f>'Data Site'!A90</f>
        <v>HJI 760</v>
      </c>
      <c r="C90" s="16">
        <f>'Data Site'!B90</f>
        <v>0.64027777777777772</v>
      </c>
      <c r="D90" s="16">
        <f>'Data Site'!C90</f>
        <v>0.65833333333333333</v>
      </c>
      <c r="E90" s="17">
        <f>'Data Site'!D90</f>
        <v>46060</v>
      </c>
      <c r="F90" s="17">
        <f>'Data Site'!E90</f>
        <v>14300</v>
      </c>
      <c r="G90" s="17">
        <f>'Data Site'!F90</f>
        <v>31760</v>
      </c>
      <c r="H90" s="14" t="str">
        <f>'Data Site'!G90</f>
        <v>晴(Cerah)</v>
      </c>
      <c r="I90" s="14" t="str">
        <f>'Data Site'!H90</f>
        <v>精煤</v>
      </c>
      <c r="J90" s="18">
        <f>IFERROR(_xlfn.XLOOKUP(SUBSTITUTE($B90,"AL ","HJI "),'Jetty Data'!$B$2:$B$142,'Jetty Data'!$C$2:$C$142,""),"-")</f>
        <v>45720</v>
      </c>
      <c r="K90" s="18">
        <f>IFERROR(_xlfn.XLOOKUP(SUBSTITUTE($B90,"AL ","HJI "),'Jetty Data'!$B$2:$B$142,'Jetty Data'!$D$2:$D$142,""),"-")</f>
        <v>14300</v>
      </c>
      <c r="L90" s="18">
        <f>IFERROR(_xlfn.XLOOKUP(SUBSTITUTE($B90,"AL ","HJI "),'Jetty Data'!$B$2:$B$142,'Jetty Data'!$E$2:$E$142,""),"-")</f>
        <v>31420</v>
      </c>
      <c r="M90" s="16">
        <f>IFERROR(_xlfn.XLOOKUP(SUBSTITUTE($B90,"AL ","HJI "),'Jetty Data'!$B$2:$B$142,'Jetty Data'!$F$2:$F$142,""),"-")</f>
        <v>0.82013888888888886</v>
      </c>
    </row>
    <row r="91" spans="1:13">
      <c r="A91" s="14">
        <v>90</v>
      </c>
      <c r="B91" s="15" t="str">
        <f>'Data Site'!A91</f>
        <v>HJI 784</v>
      </c>
      <c r="C91" s="16">
        <f>'Data Site'!B91</f>
        <v>0.64027777777777772</v>
      </c>
      <c r="D91" s="16">
        <f>'Data Site'!C91</f>
        <v>0.65972222222222221</v>
      </c>
      <c r="E91" s="17">
        <f>'Data Site'!D91</f>
        <v>48590</v>
      </c>
      <c r="F91" s="17">
        <f>'Data Site'!E91</f>
        <v>14480</v>
      </c>
      <c r="G91" s="17">
        <f>'Data Site'!F91</f>
        <v>34110</v>
      </c>
      <c r="H91" s="14" t="str">
        <f>'Data Site'!G91</f>
        <v>晴(Cerah)</v>
      </c>
      <c r="I91" s="14" t="str">
        <f>'Data Site'!H91</f>
        <v>精煤</v>
      </c>
      <c r="J91" s="18">
        <f>IFERROR(_xlfn.XLOOKUP(SUBSTITUTE($B91,"AL ","HJI "),'Jetty Data'!$B$2:$B$142,'Jetty Data'!$C$2:$C$142,""),"-")</f>
        <v>48300</v>
      </c>
      <c r="K91" s="18">
        <f>IFERROR(_xlfn.XLOOKUP(SUBSTITUTE($B91,"AL ","HJI "),'Jetty Data'!$B$2:$B$142,'Jetty Data'!$D$2:$D$142,""),"-")</f>
        <v>14480</v>
      </c>
      <c r="L91" s="18">
        <f>IFERROR(_xlfn.XLOOKUP(SUBSTITUTE($B91,"AL ","HJI "),'Jetty Data'!$B$2:$B$142,'Jetty Data'!$E$2:$E$142,""),"-")</f>
        <v>33820</v>
      </c>
      <c r="M91" s="16">
        <f>IFERROR(_xlfn.XLOOKUP(SUBSTITUTE($B91,"AL ","HJI "),'Jetty Data'!$B$2:$B$142,'Jetty Data'!$F$2:$F$142,""),"-")</f>
        <v>0.82291666666666663</v>
      </c>
    </row>
    <row r="92" spans="1:13">
      <c r="A92" s="14">
        <v>91</v>
      </c>
      <c r="B92" s="15" t="str">
        <f>'Data Site'!A92</f>
        <v>HJI 769</v>
      </c>
      <c r="C92" s="16">
        <f>'Data Site'!B92</f>
        <v>0.64722222222222225</v>
      </c>
      <c r="D92" s="16">
        <f>'Data Site'!C92</f>
        <v>0.66527777777777775</v>
      </c>
      <c r="E92" s="17">
        <f>'Data Site'!D92</f>
        <v>47760</v>
      </c>
      <c r="F92" s="17">
        <f>'Data Site'!E92</f>
        <v>15260</v>
      </c>
      <c r="G92" s="17">
        <f>'Data Site'!F92</f>
        <v>32500</v>
      </c>
      <c r="H92" s="14" t="str">
        <f>'Data Site'!G92</f>
        <v>晴(Cerah)</v>
      </c>
      <c r="I92" s="14" t="str">
        <f>'Data Site'!H92</f>
        <v>精煤</v>
      </c>
      <c r="J92" s="18">
        <f>IFERROR(_xlfn.XLOOKUP(SUBSTITUTE($B92,"AL ","HJI "),'Jetty Data'!$B$2:$B$142,'Jetty Data'!$C$2:$C$142,""),"-")</f>
        <v>47440</v>
      </c>
      <c r="K92" s="18">
        <f>IFERROR(_xlfn.XLOOKUP(SUBSTITUTE($B92,"AL ","HJI "),'Jetty Data'!$B$2:$B$142,'Jetty Data'!$D$2:$D$142,""),"-")</f>
        <v>15260</v>
      </c>
      <c r="L92" s="18">
        <f>IFERROR(_xlfn.XLOOKUP(SUBSTITUTE($B92,"AL ","HJI "),'Jetty Data'!$B$2:$B$142,'Jetty Data'!$E$2:$E$142,""),"-")</f>
        <v>32180</v>
      </c>
      <c r="M92" s="16">
        <f>IFERROR(_xlfn.XLOOKUP(SUBSTITUTE($B92,"AL ","HJI "),'Jetty Data'!$B$2:$B$142,'Jetty Data'!$F$2:$F$142,""),"-")</f>
        <v>0.82430555555555551</v>
      </c>
    </row>
    <row r="93" spans="1:13">
      <c r="A93" s="14">
        <v>92</v>
      </c>
      <c r="B93" s="15" t="str">
        <f>'Data Site'!A93</f>
        <v>HJI 906</v>
      </c>
      <c r="C93" s="16">
        <f>'Data Site'!B93</f>
        <v>0.64722222222222225</v>
      </c>
      <c r="D93" s="16">
        <f>'Data Site'!C93</f>
        <v>0.67013888888888884</v>
      </c>
      <c r="E93" s="17">
        <f>'Data Site'!D93</f>
        <v>51560</v>
      </c>
      <c r="F93" s="17">
        <f>'Data Site'!E93</f>
        <v>16630</v>
      </c>
      <c r="G93" s="17">
        <f>'Data Site'!F93</f>
        <v>34930</v>
      </c>
      <c r="H93" s="14" t="str">
        <f>'Data Site'!G93</f>
        <v>晴(Cerah)</v>
      </c>
      <c r="I93" s="14" t="str">
        <f>'Data Site'!H93</f>
        <v>精煤</v>
      </c>
      <c r="J93" s="18">
        <f>IFERROR(_xlfn.XLOOKUP(SUBSTITUTE($B93,"AL ","HJI "),'Jetty Data'!$B$2:$B$142,'Jetty Data'!$C$2:$C$142,""),"-")</f>
        <v>51110</v>
      </c>
      <c r="K93" s="18">
        <f>IFERROR(_xlfn.XLOOKUP(SUBSTITUTE($B93,"AL ","HJI "),'Jetty Data'!$B$2:$B$142,'Jetty Data'!$D$2:$D$142,""),"-")</f>
        <v>16630</v>
      </c>
      <c r="L93" s="18">
        <f>IFERROR(_xlfn.XLOOKUP(SUBSTITUTE($B93,"AL ","HJI "),'Jetty Data'!$B$2:$B$142,'Jetty Data'!$E$2:$E$142,""),"-")</f>
        <v>34480</v>
      </c>
      <c r="M93" s="16">
        <f>IFERROR(_xlfn.XLOOKUP(SUBSTITUTE($B93,"AL ","HJI "),'Jetty Data'!$B$2:$B$142,'Jetty Data'!$F$2:$F$142,""),"-")</f>
        <v>0.85</v>
      </c>
    </row>
    <row r="94" spans="1:13">
      <c r="A94" s="14">
        <v>93</v>
      </c>
      <c r="B94" s="15" t="str">
        <f>'Data Site'!A94</f>
        <v>HJI 905</v>
      </c>
      <c r="C94" s="16">
        <f>'Data Site'!B94</f>
        <v>0.64722222222222225</v>
      </c>
      <c r="D94" s="16">
        <f>'Data Site'!C94</f>
        <v>0.67361111111111116</v>
      </c>
      <c r="E94" s="17">
        <f>'Data Site'!D94</f>
        <v>50420</v>
      </c>
      <c r="F94" s="17">
        <f>'Data Site'!E94</f>
        <v>15570</v>
      </c>
      <c r="G94" s="17">
        <f>'Data Site'!F94</f>
        <v>34850</v>
      </c>
      <c r="H94" s="14" t="str">
        <f>'Data Site'!G94</f>
        <v>晴(Cerah)</v>
      </c>
      <c r="I94" s="14" t="str">
        <f>'Data Site'!H94</f>
        <v>精煤</v>
      </c>
      <c r="J94" s="18">
        <f>IFERROR(_xlfn.XLOOKUP(SUBSTITUTE($B94,"AL ","HJI "),'Jetty Data'!$B$2:$B$142,'Jetty Data'!$C$2:$C$142,""),"-")</f>
        <v>50040</v>
      </c>
      <c r="K94" s="18">
        <f>IFERROR(_xlfn.XLOOKUP(SUBSTITUTE($B94,"AL ","HJI "),'Jetty Data'!$B$2:$B$142,'Jetty Data'!$D$2:$D$142,""),"-")</f>
        <v>15570</v>
      </c>
      <c r="L94" s="18">
        <f>IFERROR(_xlfn.XLOOKUP(SUBSTITUTE($B94,"AL ","HJI "),'Jetty Data'!$B$2:$B$142,'Jetty Data'!$E$2:$E$142,""),"-")</f>
        <v>34470</v>
      </c>
      <c r="M94" s="16">
        <f>IFERROR(_xlfn.XLOOKUP(SUBSTITUTE($B94,"AL ","HJI "),'Jetty Data'!$B$2:$B$142,'Jetty Data'!$F$2:$F$142,""),"-")</f>
        <v>0.85069444444444442</v>
      </c>
    </row>
    <row r="95" spans="1:13">
      <c r="A95" s="14">
        <v>94</v>
      </c>
      <c r="B95" s="15" t="str">
        <f>'Data Site'!A95</f>
        <v>HJI 907</v>
      </c>
      <c r="C95" s="16">
        <f>'Data Site'!B95</f>
        <v>0.6479166666666667</v>
      </c>
      <c r="D95" s="16">
        <f>'Data Site'!C95</f>
        <v>0.67708333333333337</v>
      </c>
      <c r="E95" s="17">
        <f>'Data Site'!D95</f>
        <v>46940</v>
      </c>
      <c r="F95" s="17">
        <f>'Data Site'!E95</f>
        <v>15430</v>
      </c>
      <c r="G95" s="17">
        <f>'Data Site'!F95</f>
        <v>31510</v>
      </c>
      <c r="H95" s="14" t="str">
        <f>'Data Site'!G95</f>
        <v>晴(Cerah)</v>
      </c>
      <c r="I95" s="14" t="str">
        <f>'Data Site'!H95</f>
        <v>精煤</v>
      </c>
      <c r="J95" s="18">
        <f>IFERROR(_xlfn.XLOOKUP(SUBSTITUTE($B95,"AL ","HJI "),'Jetty Data'!$B$2:$B$142,'Jetty Data'!$C$2:$C$142,""),"-")</f>
        <v>46640</v>
      </c>
      <c r="K95" s="18">
        <f>IFERROR(_xlfn.XLOOKUP(SUBSTITUTE($B95,"AL ","HJI "),'Jetty Data'!$B$2:$B$142,'Jetty Data'!$D$2:$D$142,""),"-")</f>
        <v>15430</v>
      </c>
      <c r="L95" s="18">
        <f>IFERROR(_xlfn.XLOOKUP(SUBSTITUTE($B95,"AL ","HJI "),'Jetty Data'!$B$2:$B$142,'Jetty Data'!$E$2:$E$142,""),"-")</f>
        <v>31210</v>
      </c>
      <c r="M95" s="16">
        <f>IFERROR(_xlfn.XLOOKUP(SUBSTITUTE($B95,"AL ","HJI "),'Jetty Data'!$B$2:$B$142,'Jetty Data'!$F$2:$F$142,""),"-")</f>
        <v>0.8520833333333333</v>
      </c>
    </row>
    <row r="96" spans="1:13">
      <c r="A96" s="14">
        <v>95</v>
      </c>
      <c r="B96" s="15" t="str">
        <f>'Data Site'!A96</f>
        <v>HJI 904</v>
      </c>
      <c r="C96" s="16">
        <f>'Data Site'!B96</f>
        <v>0.6479166666666667</v>
      </c>
      <c r="D96" s="16">
        <f>'Data Site'!C96</f>
        <v>0.67777777777777781</v>
      </c>
      <c r="E96" s="17">
        <f>'Data Site'!D96</f>
        <v>44810</v>
      </c>
      <c r="F96" s="17">
        <f>'Data Site'!E96</f>
        <v>13320</v>
      </c>
      <c r="G96" s="17">
        <f>'Data Site'!F96</f>
        <v>31490</v>
      </c>
      <c r="H96" s="14" t="str">
        <f>'Data Site'!G96</f>
        <v>晴(Cerah)</v>
      </c>
      <c r="I96" s="14" t="str">
        <f>'Data Site'!H96</f>
        <v>精煤</v>
      </c>
      <c r="J96" s="18">
        <f>IFERROR(_xlfn.XLOOKUP(SUBSTITUTE($B96,"AL ","HJI "),'Jetty Data'!$B$2:$B$142,'Jetty Data'!$C$2:$C$142,""),"-")</f>
        <v>44500</v>
      </c>
      <c r="K96" s="18">
        <f>IFERROR(_xlfn.XLOOKUP(SUBSTITUTE($B96,"AL ","HJI "),'Jetty Data'!$B$2:$B$142,'Jetty Data'!$D$2:$D$142,""),"-")</f>
        <v>13320</v>
      </c>
      <c r="L96" s="18">
        <f>IFERROR(_xlfn.XLOOKUP(SUBSTITUTE($B96,"AL ","HJI "),'Jetty Data'!$B$2:$B$142,'Jetty Data'!$E$2:$E$142,""),"-")</f>
        <v>31180</v>
      </c>
      <c r="M96" s="16">
        <f>IFERROR(_xlfn.XLOOKUP(SUBSTITUTE($B96,"AL ","HJI "),'Jetty Data'!$B$2:$B$142,'Jetty Data'!$F$2:$F$142,""),"-")</f>
        <v>0.85138888888888886</v>
      </c>
    </row>
    <row r="97" spans="1:13">
      <c r="A97" s="14">
        <v>96</v>
      </c>
      <c r="B97" s="15" t="str">
        <f>'Data Site'!A97</f>
        <v>HJI 633</v>
      </c>
      <c r="C97" s="16">
        <f>'Data Site'!B97</f>
        <v>0.66249999999999998</v>
      </c>
      <c r="D97" s="16">
        <f>'Data Site'!C97</f>
        <v>0.68194444444444446</v>
      </c>
      <c r="E97" s="17">
        <f>'Data Site'!D97</f>
        <v>46260</v>
      </c>
      <c r="F97" s="17">
        <f>'Data Site'!E97</f>
        <v>15740</v>
      </c>
      <c r="G97" s="17">
        <f>'Data Site'!F97</f>
        <v>30520</v>
      </c>
      <c r="H97" s="14" t="str">
        <f>'Data Site'!G97</f>
        <v>晴(Cerah)</v>
      </c>
      <c r="I97" s="14" t="str">
        <f>'Data Site'!H97</f>
        <v>精煤</v>
      </c>
      <c r="J97" s="18">
        <f>IFERROR(_xlfn.XLOOKUP(SUBSTITUTE($B97,"AL ","HJI "),'Jetty Data'!$B$2:$B$142,'Jetty Data'!$C$2:$C$142,""),"-")</f>
        <v>45990</v>
      </c>
      <c r="K97" s="18">
        <f>IFERROR(_xlfn.XLOOKUP(SUBSTITUTE($B97,"AL ","HJI "),'Jetty Data'!$B$2:$B$142,'Jetty Data'!$D$2:$D$142,""),"-")</f>
        <v>15740</v>
      </c>
      <c r="L97" s="18">
        <f>IFERROR(_xlfn.XLOOKUP(SUBSTITUTE($B97,"AL ","HJI "),'Jetty Data'!$B$2:$B$142,'Jetty Data'!$E$2:$E$142,""),"-")</f>
        <v>30250</v>
      </c>
      <c r="M97" s="16">
        <f>IFERROR(_xlfn.XLOOKUP(SUBSTITUTE($B97,"AL ","HJI "),'Jetty Data'!$B$2:$B$142,'Jetty Data'!$F$2:$F$142,""),"-")</f>
        <v>0.8354166666666667</v>
      </c>
    </row>
    <row r="98" spans="1:13">
      <c r="A98" s="14">
        <v>97</v>
      </c>
      <c r="B98" s="15" t="str">
        <f>'Data Site'!A98</f>
        <v>HJI 839</v>
      </c>
      <c r="C98" s="16">
        <f>'Data Site'!B98</f>
        <v>0.66319444444444442</v>
      </c>
      <c r="D98" s="16">
        <f>'Data Site'!C98</f>
        <v>0.68472222222222223</v>
      </c>
      <c r="E98" s="17">
        <f>'Data Site'!D98</f>
        <v>50270</v>
      </c>
      <c r="F98" s="17">
        <f>'Data Site'!E98</f>
        <v>14730</v>
      </c>
      <c r="G98" s="17">
        <f>'Data Site'!F98</f>
        <v>35540</v>
      </c>
      <c r="H98" s="14" t="str">
        <f>'Data Site'!G98</f>
        <v>晴(Cerah)</v>
      </c>
      <c r="I98" s="14" t="str">
        <f>'Data Site'!H98</f>
        <v>精煤</v>
      </c>
      <c r="J98" s="18">
        <f>IFERROR(_xlfn.XLOOKUP(SUBSTITUTE($B98,"AL ","HJI "),'Jetty Data'!$B$2:$B$142,'Jetty Data'!$C$2:$C$142,""),"-")</f>
        <v>49920</v>
      </c>
      <c r="K98" s="18">
        <f>IFERROR(_xlfn.XLOOKUP(SUBSTITUTE($B98,"AL ","HJI "),'Jetty Data'!$B$2:$B$142,'Jetty Data'!$D$2:$D$142,""),"-")</f>
        <v>14730</v>
      </c>
      <c r="L98" s="18">
        <f>IFERROR(_xlfn.XLOOKUP(SUBSTITUTE($B98,"AL ","HJI "),'Jetty Data'!$B$2:$B$142,'Jetty Data'!$E$2:$E$142,""),"-")</f>
        <v>35190</v>
      </c>
      <c r="M98" s="16">
        <f>IFERROR(_xlfn.XLOOKUP(SUBSTITUTE($B98,"AL ","HJI "),'Jetty Data'!$B$2:$B$142,'Jetty Data'!$F$2:$F$142,""),"-")</f>
        <v>0.86527777777777781</v>
      </c>
    </row>
    <row r="99" spans="1:13">
      <c r="A99" s="14">
        <v>98</v>
      </c>
      <c r="B99" s="15" t="str">
        <f>'Data Site'!A99</f>
        <v>HJI 835</v>
      </c>
      <c r="C99" s="16">
        <f>'Data Site'!B99</f>
        <v>0.66319444444444442</v>
      </c>
      <c r="D99" s="16">
        <f>'Data Site'!C99</f>
        <v>0.68611111111111112</v>
      </c>
      <c r="E99" s="17">
        <f>'Data Site'!D99</f>
        <v>45030</v>
      </c>
      <c r="F99" s="17">
        <f>'Data Site'!E99</f>
        <v>15040</v>
      </c>
      <c r="G99" s="17">
        <f>'Data Site'!F99</f>
        <v>29990</v>
      </c>
      <c r="H99" s="14" t="str">
        <f>'Data Site'!G99</f>
        <v>晴(Cerah)</v>
      </c>
      <c r="I99" s="14" t="str">
        <f>'Data Site'!H99</f>
        <v>精煤</v>
      </c>
      <c r="J99" s="18">
        <f>IFERROR(_xlfn.XLOOKUP(SUBSTITUTE($B99,"AL ","HJI "),'Jetty Data'!$B$2:$B$142,'Jetty Data'!$C$2:$C$142,""),"-")</f>
        <v>44720</v>
      </c>
      <c r="K99" s="18">
        <f>IFERROR(_xlfn.XLOOKUP(SUBSTITUTE($B99,"AL ","HJI "),'Jetty Data'!$B$2:$B$142,'Jetty Data'!$D$2:$D$142,""),"-")</f>
        <v>15040</v>
      </c>
      <c r="L99" s="18">
        <f>IFERROR(_xlfn.XLOOKUP(SUBSTITUTE($B99,"AL ","HJI "),'Jetty Data'!$B$2:$B$142,'Jetty Data'!$E$2:$E$142,""),"-")</f>
        <v>29680</v>
      </c>
      <c r="M99" s="16">
        <f>IFERROR(_xlfn.XLOOKUP(SUBSTITUTE($B99,"AL ","HJI "),'Jetty Data'!$B$2:$B$142,'Jetty Data'!$F$2:$F$142,""),"-")</f>
        <v>0.8666666666666667</v>
      </c>
    </row>
    <row r="100" spans="1:13">
      <c r="A100" s="14">
        <v>99</v>
      </c>
      <c r="B100" s="15" t="str">
        <f>'Data Site'!A100</f>
        <v>HJI 388</v>
      </c>
      <c r="C100" s="16">
        <f>'Data Site'!B100</f>
        <v>0.66388888888888886</v>
      </c>
      <c r="D100" s="16">
        <f>'Data Site'!C100</f>
        <v>0.68263888888888891</v>
      </c>
      <c r="E100" s="17">
        <f>'Data Site'!D100</f>
        <v>45110</v>
      </c>
      <c r="F100" s="17">
        <f>'Data Site'!E100</f>
        <v>14800</v>
      </c>
      <c r="G100" s="17">
        <f>'Data Site'!F100</f>
        <v>30310</v>
      </c>
      <c r="H100" s="14" t="str">
        <f>'Data Site'!G100</f>
        <v>晴(Cerah)</v>
      </c>
      <c r="I100" s="14" t="str">
        <f>'Data Site'!H100</f>
        <v>精煤</v>
      </c>
      <c r="J100" s="18">
        <f>IFERROR(_xlfn.XLOOKUP(SUBSTITUTE($B100,"AL ","HJI "),'Jetty Data'!$B$2:$B$142,'Jetty Data'!$C$2:$C$142,""),"-")</f>
        <v>44800</v>
      </c>
      <c r="K100" s="18">
        <f>IFERROR(_xlfn.XLOOKUP(SUBSTITUTE($B100,"AL ","HJI "),'Jetty Data'!$B$2:$B$142,'Jetty Data'!$D$2:$D$142,""),"-")</f>
        <v>14800</v>
      </c>
      <c r="L100" s="18">
        <f>IFERROR(_xlfn.XLOOKUP(SUBSTITUTE($B100,"AL ","HJI "),'Jetty Data'!$B$2:$B$142,'Jetty Data'!$E$2:$E$142,""),"-")</f>
        <v>30000</v>
      </c>
      <c r="M100" s="16">
        <f>IFERROR(_xlfn.XLOOKUP(SUBSTITUTE($B100,"AL ","HJI "),'Jetty Data'!$B$2:$B$142,'Jetty Data'!$F$2:$F$142,""),"-")</f>
        <v>0.98750000000000004</v>
      </c>
    </row>
    <row r="101" spans="1:13">
      <c r="A101" s="14">
        <v>100</v>
      </c>
      <c r="B101" s="15" t="str">
        <f>'Data Site'!A101</f>
        <v>HJI 217</v>
      </c>
      <c r="C101" s="16">
        <f>'Data Site'!B101</f>
        <v>0.66388888888888886</v>
      </c>
      <c r="D101" s="16">
        <f>'Data Site'!C101</f>
        <v>0.69097222222222221</v>
      </c>
      <c r="E101" s="17">
        <f>'Data Site'!D101</f>
        <v>47250</v>
      </c>
      <c r="F101" s="17">
        <f>'Data Site'!E101</f>
        <v>14010</v>
      </c>
      <c r="G101" s="17">
        <f>'Data Site'!F101</f>
        <v>33240</v>
      </c>
      <c r="H101" s="14" t="str">
        <f>'Data Site'!G101</f>
        <v>晴(Cerah)</v>
      </c>
      <c r="I101" s="14" t="str">
        <f>'Data Site'!H101</f>
        <v>精煤</v>
      </c>
      <c r="J101" s="18">
        <f>IFERROR(_xlfn.XLOOKUP(SUBSTITUTE($B101,"AL ","HJI "),'Jetty Data'!$B$2:$B$142,'Jetty Data'!$C$2:$C$142,""),"-")</f>
        <v>46970</v>
      </c>
      <c r="K101" s="18">
        <f>IFERROR(_xlfn.XLOOKUP(SUBSTITUTE($B101,"AL ","HJI "),'Jetty Data'!$B$2:$B$142,'Jetty Data'!$D$2:$D$142,""),"-")</f>
        <v>14010</v>
      </c>
      <c r="L101" s="18">
        <f>IFERROR(_xlfn.XLOOKUP(SUBSTITUTE($B101,"AL ","HJI "),'Jetty Data'!$B$2:$B$142,'Jetty Data'!$E$2:$E$142,""),"-")</f>
        <v>32960</v>
      </c>
      <c r="M101" s="16">
        <f>IFERROR(_xlfn.XLOOKUP(SUBSTITUTE($B101,"AL ","HJI "),'Jetty Data'!$B$2:$B$142,'Jetty Data'!$F$2:$F$142,""),"-")</f>
        <v>0.8305555555555556</v>
      </c>
    </row>
    <row r="102" spans="1:13">
      <c r="A102" s="14">
        <v>101</v>
      </c>
      <c r="B102" s="15" t="str">
        <f>'Data Site'!A102</f>
        <v>HJI 199</v>
      </c>
      <c r="C102" s="16">
        <f>'Data Site'!B102</f>
        <v>0.6645833333333333</v>
      </c>
      <c r="D102" s="16">
        <f>'Data Site'!C102</f>
        <v>0.69444444444444442</v>
      </c>
      <c r="E102" s="17">
        <f>'Data Site'!D102</f>
        <v>47630</v>
      </c>
      <c r="F102" s="17">
        <f>'Data Site'!E102</f>
        <v>14600</v>
      </c>
      <c r="G102" s="17">
        <f>'Data Site'!F102</f>
        <v>33030</v>
      </c>
      <c r="H102" s="14" t="str">
        <f>'Data Site'!G102</f>
        <v>晴(Cerah)</v>
      </c>
      <c r="I102" s="14" t="str">
        <f>'Data Site'!H102</f>
        <v>精煤</v>
      </c>
      <c r="J102" s="18">
        <f>IFERROR(_xlfn.XLOOKUP(SUBSTITUTE($B102,"AL ","HJI "),'Jetty Data'!$B$2:$B$142,'Jetty Data'!$C$2:$C$142,""),"-")</f>
        <v>47250</v>
      </c>
      <c r="K102" s="18">
        <f>IFERROR(_xlfn.XLOOKUP(SUBSTITUTE($B102,"AL ","HJI "),'Jetty Data'!$B$2:$B$142,'Jetty Data'!$D$2:$D$142,""),"-")</f>
        <v>14600</v>
      </c>
      <c r="L102" s="18">
        <f>IFERROR(_xlfn.XLOOKUP(SUBSTITUTE($B102,"AL ","HJI "),'Jetty Data'!$B$2:$B$142,'Jetty Data'!$E$2:$E$142,""),"-")</f>
        <v>35650</v>
      </c>
      <c r="M102" s="16">
        <f>IFERROR(_xlfn.XLOOKUP(SUBSTITUTE($B102,"AL ","HJI "),'Jetty Data'!$B$2:$B$142,'Jetty Data'!$F$2:$F$142,""),"-")</f>
        <v>0.88124999999999998</v>
      </c>
    </row>
    <row r="103" spans="1:13">
      <c r="A103" s="14">
        <v>102</v>
      </c>
      <c r="B103" s="15" t="str">
        <f>'Data Site'!A103</f>
        <v>HJI 851</v>
      </c>
      <c r="C103" s="16">
        <f>'Data Site'!B103</f>
        <v>0.68055555555555558</v>
      </c>
      <c r="D103" s="16">
        <f>'Data Site'!C103</f>
        <v>0.6958333333333333</v>
      </c>
      <c r="E103" s="17">
        <f>'Data Site'!D103</f>
        <v>43520</v>
      </c>
      <c r="F103" s="17">
        <f>'Data Site'!E103</f>
        <v>14400</v>
      </c>
      <c r="G103" s="17">
        <f>'Data Site'!F103</f>
        <v>29120</v>
      </c>
      <c r="H103" s="14" t="str">
        <f>'Data Site'!G103</f>
        <v>晴(Cerah)</v>
      </c>
      <c r="I103" s="14" t="str">
        <f>'Data Site'!H103</f>
        <v>精煤</v>
      </c>
      <c r="J103" s="18">
        <f>IFERROR(_xlfn.XLOOKUP(SUBSTITUTE($B103,"AL ","HJI "),'Jetty Data'!$B$2:$B$142,'Jetty Data'!$C$2:$C$142,""),"-")</f>
        <v>43270</v>
      </c>
      <c r="K103" s="18">
        <f>IFERROR(_xlfn.XLOOKUP(SUBSTITUTE($B103,"AL ","HJI "),'Jetty Data'!$B$2:$B$142,'Jetty Data'!$D$2:$D$142,""),"-")</f>
        <v>14400</v>
      </c>
      <c r="L103" s="18">
        <f>IFERROR(_xlfn.XLOOKUP(SUBSTITUTE($B103,"AL ","HJI "),'Jetty Data'!$B$2:$B$142,'Jetty Data'!$E$2:$E$142,""),"-")</f>
        <v>29870</v>
      </c>
      <c r="M103" s="16">
        <f>IFERROR(_xlfn.XLOOKUP(SUBSTITUTE($B103,"AL ","HJI "),'Jetty Data'!$B$2:$B$142,'Jetty Data'!$F$2:$F$142,""),"-")</f>
        <v>0.85763888888888884</v>
      </c>
    </row>
    <row r="104" spans="1:13">
      <c r="A104" s="14">
        <v>103</v>
      </c>
      <c r="B104" s="15" t="str">
        <f>'Data Site'!A104</f>
        <v>HJI 200</v>
      </c>
      <c r="C104" s="16">
        <f>'Data Site'!B104</f>
        <v>0.67986111111111114</v>
      </c>
      <c r="D104" s="16">
        <f>'Data Site'!C104</f>
        <v>0.69791666666666663</v>
      </c>
      <c r="E104" s="17">
        <f>'Data Site'!D104</f>
        <v>48680</v>
      </c>
      <c r="F104" s="17">
        <f>'Data Site'!E104</f>
        <v>14840</v>
      </c>
      <c r="G104" s="17">
        <f>'Data Site'!F104</f>
        <v>33840</v>
      </c>
      <c r="H104" s="14" t="str">
        <f>'Data Site'!G104</f>
        <v>晴(Cerah)</v>
      </c>
      <c r="I104" s="14" t="str">
        <f>'Data Site'!H104</f>
        <v>精煤</v>
      </c>
      <c r="J104" s="18">
        <f>IFERROR(_xlfn.XLOOKUP(SUBSTITUTE($B104,"AL ","HJI "),'Jetty Data'!$B$2:$B$142,'Jetty Data'!$C$2:$C$142,""),"-")</f>
        <v>48300</v>
      </c>
      <c r="K104" s="18">
        <f>IFERROR(_xlfn.XLOOKUP(SUBSTITUTE($B104,"AL ","HJI "),'Jetty Data'!$B$2:$B$142,'Jetty Data'!$D$2:$D$142,""),"-")</f>
        <v>14840</v>
      </c>
      <c r="L104" s="18">
        <f>IFERROR(_xlfn.XLOOKUP(SUBSTITUTE($B104,"AL ","HJI "),'Jetty Data'!$B$2:$B$142,'Jetty Data'!$E$2:$E$142,""),"-")</f>
        <v>33460</v>
      </c>
      <c r="M104" s="16">
        <f>IFERROR(_xlfn.XLOOKUP(SUBSTITUTE($B104,"AL ","HJI "),'Jetty Data'!$B$2:$B$142,'Jetty Data'!$F$2:$F$142,""),"-")</f>
        <v>0.1986111111111111</v>
      </c>
    </row>
    <row r="105" spans="1:13">
      <c r="A105" s="14">
        <v>104</v>
      </c>
      <c r="B105" s="15" t="str">
        <f>'Data Site'!A105</f>
        <v>HJI 861</v>
      </c>
      <c r="C105" s="16">
        <f>'Data Site'!B105</f>
        <v>0.68055555555555558</v>
      </c>
      <c r="D105" s="16">
        <f>'Data Site'!C105</f>
        <v>0.7</v>
      </c>
      <c r="E105" s="17">
        <f>'Data Site'!D105</f>
        <v>43970</v>
      </c>
      <c r="F105" s="17">
        <f>'Data Site'!E105</f>
        <v>14250</v>
      </c>
      <c r="G105" s="17">
        <f>'Data Site'!F105</f>
        <v>29720</v>
      </c>
      <c r="H105" s="14" t="str">
        <f>'Data Site'!G105</f>
        <v>晴(Cerah)</v>
      </c>
      <c r="I105" s="14" t="str">
        <f>'Data Site'!H105</f>
        <v>精煤</v>
      </c>
      <c r="J105" s="18">
        <f>IFERROR(_xlfn.XLOOKUP(SUBSTITUTE($B105,"AL ","HJI "),'Jetty Data'!$B$2:$B$142,'Jetty Data'!$C$2:$C$142,""),"-")</f>
        <v>43710</v>
      </c>
      <c r="K105" s="18">
        <f>IFERROR(_xlfn.XLOOKUP(SUBSTITUTE($B105,"AL ","HJI "),'Jetty Data'!$B$2:$B$142,'Jetty Data'!$D$2:$D$142,""),"-")</f>
        <v>14250</v>
      </c>
      <c r="L105" s="18">
        <f>IFERROR(_xlfn.XLOOKUP(SUBSTITUTE($B105,"AL ","HJI "),'Jetty Data'!$B$2:$B$142,'Jetty Data'!$E$2:$E$142,""),"-")</f>
        <v>29460</v>
      </c>
      <c r="M105" s="16">
        <f>IFERROR(_xlfn.XLOOKUP(SUBSTITUTE($B105,"AL ","HJI "),'Jetty Data'!$B$2:$B$142,'Jetty Data'!$F$2:$F$142,""),"-")</f>
        <v>0.8569444444444444</v>
      </c>
    </row>
    <row r="106" spans="1:13">
      <c r="A106" s="14">
        <v>105</v>
      </c>
      <c r="B106" s="15" t="str">
        <f>'Data Site'!A106</f>
        <v>HJI 773</v>
      </c>
      <c r="C106" s="16">
        <f>'Data Site'!B106</f>
        <v>0.68125000000000002</v>
      </c>
      <c r="D106" s="16">
        <f>'Data Site'!C106</f>
        <v>0.70347222222222228</v>
      </c>
      <c r="E106" s="17">
        <f>'Data Site'!D106</f>
        <v>47180</v>
      </c>
      <c r="F106" s="17">
        <f>'Data Site'!E106</f>
        <v>14470</v>
      </c>
      <c r="G106" s="17">
        <f>'Data Site'!F106</f>
        <v>32710</v>
      </c>
      <c r="H106" s="14" t="str">
        <f>'Data Site'!G106</f>
        <v>晴(Cerah)</v>
      </c>
      <c r="I106" s="14" t="str">
        <f>'Data Site'!H106</f>
        <v>精煤</v>
      </c>
      <c r="J106" s="18">
        <f>IFERROR(_xlfn.XLOOKUP(SUBSTITUTE($B106,"AL ","HJI "),'Jetty Data'!$B$2:$B$142,'Jetty Data'!$C$2:$C$142,""),"-")</f>
        <v>46850</v>
      </c>
      <c r="K106" s="18">
        <f>IFERROR(_xlfn.XLOOKUP(SUBSTITUTE($B106,"AL ","HJI "),'Jetty Data'!$B$2:$B$142,'Jetty Data'!$D$2:$D$142,""),"-")</f>
        <v>14470</v>
      </c>
      <c r="L106" s="18">
        <f>IFERROR(_xlfn.XLOOKUP(SUBSTITUTE($B106,"AL ","HJI "),'Jetty Data'!$B$2:$B$142,'Jetty Data'!$E$2:$E$142,""),"-")</f>
        <v>32380</v>
      </c>
      <c r="M106" s="16">
        <f>IFERROR(_xlfn.XLOOKUP(SUBSTITUTE($B106,"AL ","HJI "),'Jetty Data'!$B$2:$B$142,'Jetty Data'!$F$2:$F$142,""),"-")</f>
        <v>0.86805555555555558</v>
      </c>
    </row>
    <row r="107" spans="1:13">
      <c r="A107" s="14">
        <v>106</v>
      </c>
      <c r="B107" s="15" t="str">
        <f>'Data Site'!A107</f>
        <v>HJI 856</v>
      </c>
      <c r="C107" s="16">
        <f>'Data Site'!B107</f>
        <v>0.67986111111111114</v>
      </c>
      <c r="D107" s="16">
        <f>'Data Site'!C107</f>
        <v>0.70486111111111116</v>
      </c>
      <c r="E107" s="17">
        <f>'Data Site'!D107</f>
        <v>47060</v>
      </c>
      <c r="F107" s="17">
        <f>'Data Site'!E107</f>
        <v>14650</v>
      </c>
      <c r="G107" s="17">
        <f>'Data Site'!F107</f>
        <v>32410</v>
      </c>
      <c r="H107" s="14" t="str">
        <f>'Data Site'!G107</f>
        <v>晴(Cerah)</v>
      </c>
      <c r="I107" s="14" t="str">
        <f>'Data Site'!H107</f>
        <v>精煤</v>
      </c>
      <c r="J107" s="18">
        <f>IFERROR(_xlfn.XLOOKUP(SUBSTITUTE($B107,"AL ","HJI "),'Jetty Data'!$B$2:$B$142,'Jetty Data'!$C$2:$C$142,""),"-")</f>
        <v>46740</v>
      </c>
      <c r="K107" s="18">
        <f>IFERROR(_xlfn.XLOOKUP(SUBSTITUTE($B107,"AL ","HJI "),'Jetty Data'!$B$2:$B$142,'Jetty Data'!$D$2:$D$142,""),"-")</f>
        <v>14650</v>
      </c>
      <c r="L107" s="18">
        <f>IFERROR(_xlfn.XLOOKUP(SUBSTITUTE($B107,"AL ","HJI "),'Jetty Data'!$B$2:$B$142,'Jetty Data'!$E$2:$E$142,""),"-")</f>
        <v>32090</v>
      </c>
      <c r="M107" s="16">
        <f>IFERROR(_xlfn.XLOOKUP(SUBSTITUTE($B107,"AL ","HJI "),'Jetty Data'!$B$2:$B$142,'Jetty Data'!$F$2:$F$142,""),"-")</f>
        <v>0.85833333333333328</v>
      </c>
    </row>
    <row r="108" spans="1:13">
      <c r="A108" s="14">
        <v>107</v>
      </c>
      <c r="B108" s="15" t="str">
        <f>'Data Site'!A108</f>
        <v>HJI 791</v>
      </c>
      <c r="C108" s="16">
        <f>'Data Site'!B108</f>
        <v>0.69236111111111109</v>
      </c>
      <c r="D108" s="16">
        <f>'Data Site'!C108</f>
        <v>0.70902777777777781</v>
      </c>
      <c r="E108" s="17">
        <f>'Data Site'!D108</f>
        <v>47030</v>
      </c>
      <c r="F108" s="17">
        <f>'Data Site'!E108</f>
        <v>14950</v>
      </c>
      <c r="G108" s="17">
        <f>'Data Site'!F108</f>
        <v>32080</v>
      </c>
      <c r="H108" s="14" t="str">
        <f>'Data Site'!G108</f>
        <v>晴(Cerah)</v>
      </c>
      <c r="I108" s="14" t="str">
        <f>'Data Site'!H108</f>
        <v>精煤</v>
      </c>
      <c r="J108" s="18">
        <f>IFERROR(_xlfn.XLOOKUP(SUBSTITUTE($B108,"AL ","HJI "),'Jetty Data'!$B$2:$B$142,'Jetty Data'!$C$2:$C$142,""),"-")</f>
        <v>46770</v>
      </c>
      <c r="K108" s="18">
        <f>IFERROR(_xlfn.XLOOKUP(SUBSTITUTE($B108,"AL ","HJI "),'Jetty Data'!$B$2:$B$142,'Jetty Data'!$D$2:$D$142,""),"-")</f>
        <v>14950</v>
      </c>
      <c r="L108" s="18">
        <f>IFERROR(_xlfn.XLOOKUP(SUBSTITUTE($B108,"AL ","HJI "),'Jetty Data'!$B$2:$B$142,'Jetty Data'!$E$2:$E$142,""),"-")</f>
        <v>31820</v>
      </c>
      <c r="M108" s="16">
        <f>IFERROR(_xlfn.XLOOKUP(SUBSTITUTE($B108,"AL ","HJI "),'Jetty Data'!$B$2:$B$142,'Jetty Data'!$F$2:$F$142,""),"-")</f>
        <v>0.87430555555555556</v>
      </c>
    </row>
    <row r="109" spans="1:13">
      <c r="A109" s="14">
        <v>108</v>
      </c>
      <c r="B109" s="15" t="str">
        <f>'Data Site'!A109</f>
        <v>HJI 650</v>
      </c>
      <c r="C109" s="16">
        <f>'Data Site'!B109</f>
        <v>0.69236111111111109</v>
      </c>
      <c r="D109" s="16">
        <f>'Data Site'!C109</f>
        <v>0.71180555555555558</v>
      </c>
      <c r="E109" s="17">
        <f>'Data Site'!D109</f>
        <v>47680</v>
      </c>
      <c r="F109" s="17">
        <f>'Data Site'!E109</f>
        <v>15000</v>
      </c>
      <c r="G109" s="17">
        <f>'Data Site'!F109</f>
        <v>32680</v>
      </c>
      <c r="H109" s="14" t="str">
        <f>'Data Site'!G109</f>
        <v>晴(Cerah)</v>
      </c>
      <c r="I109" s="14" t="str">
        <f>'Data Site'!H109</f>
        <v>精煤</v>
      </c>
      <c r="J109" s="18">
        <f>IFERROR(_xlfn.XLOOKUP(SUBSTITUTE($B109,"AL ","HJI "),'Jetty Data'!$B$2:$B$142,'Jetty Data'!$C$2:$C$142,""),"-")</f>
        <v>47580</v>
      </c>
      <c r="K109" s="18">
        <f>IFERROR(_xlfn.XLOOKUP(SUBSTITUTE($B109,"AL ","HJI "),'Jetty Data'!$B$2:$B$142,'Jetty Data'!$D$2:$D$142,""),"-")</f>
        <v>15000</v>
      </c>
      <c r="L109" s="18">
        <f>IFERROR(_xlfn.XLOOKUP(SUBSTITUTE($B109,"AL ","HJI "),'Jetty Data'!$B$2:$B$142,'Jetty Data'!$E$2:$E$142,""),"-")</f>
        <v>32580</v>
      </c>
      <c r="M109" s="16">
        <f>IFERROR(_xlfn.XLOOKUP(SUBSTITUTE($B109,"AL ","HJI "),'Jetty Data'!$B$2:$B$142,'Jetty Data'!$F$2:$F$142,""),"-")</f>
        <v>0.89652777777777781</v>
      </c>
    </row>
    <row r="110" spans="1:13">
      <c r="A110" s="14">
        <v>109</v>
      </c>
      <c r="B110" s="15" t="str">
        <f>'Data Site'!A110</f>
        <v>HJI 105</v>
      </c>
      <c r="C110" s="16">
        <f>'Data Site'!B110</f>
        <v>0.69305555555555554</v>
      </c>
      <c r="D110" s="16">
        <f>'Data Site'!C110</f>
        <v>0.71250000000000002</v>
      </c>
      <c r="E110" s="17">
        <f>'Data Site'!D110</f>
        <v>47410</v>
      </c>
      <c r="F110" s="17">
        <f>'Data Site'!E110</f>
        <v>15140</v>
      </c>
      <c r="G110" s="17">
        <f>'Data Site'!F110</f>
        <v>32270</v>
      </c>
      <c r="H110" s="14" t="str">
        <f>'Data Site'!G110</f>
        <v>晴(Cerah)</v>
      </c>
      <c r="I110" s="14" t="str">
        <f>'Data Site'!H110</f>
        <v>精煤</v>
      </c>
      <c r="J110" s="18">
        <f>IFERROR(_xlfn.XLOOKUP(SUBSTITUTE($B110,"AL ","HJI "),'Jetty Data'!$B$2:$B$142,'Jetty Data'!$C$2:$C$142,""),"-")</f>
        <v>47150</v>
      </c>
      <c r="K110" s="18">
        <f>IFERROR(_xlfn.XLOOKUP(SUBSTITUTE($B110,"AL ","HJI "),'Jetty Data'!$B$2:$B$142,'Jetty Data'!$D$2:$D$142,""),"-")</f>
        <v>15140</v>
      </c>
      <c r="L110" s="18">
        <f>IFERROR(_xlfn.XLOOKUP(SUBSTITUTE($B110,"AL ","HJI "),'Jetty Data'!$B$2:$B$142,'Jetty Data'!$E$2:$E$142,""),"-")</f>
        <v>32010</v>
      </c>
      <c r="M110" s="16">
        <f>IFERROR(_xlfn.XLOOKUP(SUBSTITUTE($B110,"AL ","HJI "),'Jetty Data'!$B$2:$B$142,'Jetty Data'!$F$2:$F$142,""),"-")</f>
        <v>0.85972222222222228</v>
      </c>
    </row>
    <row r="111" spans="1:13">
      <c r="A111" s="14">
        <v>110</v>
      </c>
      <c r="B111" s="15" t="str">
        <f>'Data Site'!A111</f>
        <v>HJI 604</v>
      </c>
      <c r="C111" s="16">
        <f>'Data Site'!B111</f>
        <v>0.69305555555555554</v>
      </c>
      <c r="D111" s="16">
        <f>'Data Site'!C111</f>
        <v>0.71666666666666667</v>
      </c>
      <c r="E111" s="17">
        <f>'Data Site'!D111</f>
        <v>47240</v>
      </c>
      <c r="F111" s="17">
        <f>'Data Site'!E111</f>
        <v>15090</v>
      </c>
      <c r="G111" s="17">
        <f>'Data Site'!F111</f>
        <v>32150</v>
      </c>
      <c r="H111" s="14" t="str">
        <f>'Data Site'!G111</f>
        <v>晴(Cerah)</v>
      </c>
      <c r="I111" s="14" t="str">
        <f>'Data Site'!H111</f>
        <v>精煤</v>
      </c>
      <c r="J111" s="18">
        <f>IFERROR(_xlfn.XLOOKUP(SUBSTITUTE($B111,"AL ","HJI "),'Jetty Data'!$B$2:$B$142,'Jetty Data'!$C$2:$C$142,""),"-")</f>
        <v>46870</v>
      </c>
      <c r="K111" s="18">
        <f>IFERROR(_xlfn.XLOOKUP(SUBSTITUTE($B111,"AL ","HJI "),'Jetty Data'!$B$2:$B$142,'Jetty Data'!$D$2:$D$142,""),"-")</f>
        <v>15090</v>
      </c>
      <c r="L111" s="18">
        <f>IFERROR(_xlfn.XLOOKUP(SUBSTITUTE($B111,"AL ","HJI "),'Jetty Data'!$B$2:$B$142,'Jetty Data'!$E$2:$E$142,""),"-")</f>
        <v>31780</v>
      </c>
      <c r="M111" s="16">
        <f>IFERROR(_xlfn.XLOOKUP(SUBSTITUTE($B111,"AL ","HJI "),'Jetty Data'!$B$2:$B$142,'Jetty Data'!$F$2:$F$142,""),"-")</f>
        <v>0.55000000000000004</v>
      </c>
    </row>
    <row r="112" spans="1:13">
      <c r="A112" s="14">
        <v>111</v>
      </c>
      <c r="B112" s="15" t="str">
        <f>'Data Site'!A112</f>
        <v>HJI 624</v>
      </c>
      <c r="C112" s="16">
        <f>'Data Site'!B112</f>
        <v>0.69374999999999998</v>
      </c>
      <c r="D112" s="16">
        <f>'Data Site'!C112</f>
        <v>0.71944444444444444</v>
      </c>
      <c r="E112" s="17">
        <f>'Data Site'!D112</f>
        <v>50280</v>
      </c>
      <c r="F112" s="17">
        <f>'Data Site'!E112</f>
        <v>15520</v>
      </c>
      <c r="G112" s="17">
        <f>'Data Site'!F112</f>
        <v>34760</v>
      </c>
      <c r="H112" s="14" t="str">
        <f>'Data Site'!G112</f>
        <v>晴(Cerah)</v>
      </c>
      <c r="I112" s="14" t="str">
        <f>'Data Site'!H112</f>
        <v>精煤</v>
      </c>
      <c r="J112" s="18">
        <f>IFERROR(_xlfn.XLOOKUP(SUBSTITUTE($B112,"AL ","HJI "),'Jetty Data'!$B$2:$B$142,'Jetty Data'!$C$2:$C$142,""),"-")</f>
        <v>50200</v>
      </c>
      <c r="K112" s="18">
        <f>IFERROR(_xlfn.XLOOKUP(SUBSTITUTE($B112,"AL ","HJI "),'Jetty Data'!$B$2:$B$142,'Jetty Data'!$D$2:$D$142,""),"-")</f>
        <v>15590</v>
      </c>
      <c r="L112" s="18">
        <f>IFERROR(_xlfn.XLOOKUP(SUBSTITUTE($B112,"AL ","HJI "),'Jetty Data'!$B$2:$B$142,'Jetty Data'!$E$2:$E$142,""),"-")</f>
        <v>34610</v>
      </c>
      <c r="M112" s="16">
        <f>IFERROR(_xlfn.XLOOKUP(SUBSTITUTE($B112,"AL ","HJI "),'Jetty Data'!$B$2:$B$142,'Jetty Data'!$F$2:$F$142,""),"-")</f>
        <v>0.54791666666666672</v>
      </c>
    </row>
    <row r="113" spans="1:13">
      <c r="A113" s="14">
        <v>112</v>
      </c>
      <c r="B113" s="15" t="str">
        <f>'Data Site'!A113</f>
        <v>HJI 629</v>
      </c>
      <c r="C113" s="16">
        <f>'Data Site'!B113</f>
        <v>0.70694444444444449</v>
      </c>
      <c r="D113" s="16">
        <f>'Data Site'!C113</f>
        <v>0.72013888888888888</v>
      </c>
      <c r="E113" s="17">
        <f>'Data Site'!D113</f>
        <v>46190</v>
      </c>
      <c r="F113" s="17">
        <f>'Data Site'!E113</f>
        <v>13940</v>
      </c>
      <c r="G113" s="17">
        <f>'Data Site'!F113</f>
        <v>32250</v>
      </c>
      <c r="H113" s="14" t="str">
        <f>'Data Site'!G113</f>
        <v>晴(Cerah)</v>
      </c>
      <c r="I113" s="14" t="str">
        <f>'Data Site'!H113</f>
        <v>精煤</v>
      </c>
      <c r="J113" s="18">
        <f>IFERROR(_xlfn.XLOOKUP(SUBSTITUTE($B113,"AL ","HJI "),'Jetty Data'!$B$2:$B$142,'Jetty Data'!$C$2:$C$142,""),"-")</f>
        <v>46610</v>
      </c>
      <c r="K113" s="18">
        <f>IFERROR(_xlfn.XLOOKUP(SUBSTITUTE($B113,"AL ","HJI "),'Jetty Data'!$B$2:$B$142,'Jetty Data'!$D$2:$D$142,""),"-")</f>
        <v>14080</v>
      </c>
      <c r="L113" s="18">
        <f>IFERROR(_xlfn.XLOOKUP(SUBSTITUTE($B113,"AL ","HJI "),'Jetty Data'!$B$2:$B$142,'Jetty Data'!$E$2:$E$142,""),"-")</f>
        <v>32530</v>
      </c>
      <c r="M113" s="16">
        <f>IFERROR(_xlfn.XLOOKUP(SUBSTITUTE($B113,"AL ","HJI "),'Jetty Data'!$B$2:$B$142,'Jetty Data'!$F$2:$F$142,""),"-")</f>
        <v>0.5493055555555556</v>
      </c>
    </row>
    <row r="114" spans="1:13">
      <c r="A114" s="14">
        <v>113</v>
      </c>
      <c r="B114" s="15" t="str">
        <f>'Data Site'!A114</f>
        <v>HJI 325</v>
      </c>
      <c r="C114" s="16">
        <f>'Data Site'!B114</f>
        <v>0.70763888888888893</v>
      </c>
      <c r="D114" s="16">
        <f>'Data Site'!C114</f>
        <v>0.72430555555555554</v>
      </c>
      <c r="E114" s="17">
        <f>'Data Site'!D114</f>
        <v>47420</v>
      </c>
      <c r="F114" s="17">
        <f>'Data Site'!E114</f>
        <v>14930</v>
      </c>
      <c r="G114" s="17">
        <f>'Data Site'!F114</f>
        <v>32490</v>
      </c>
      <c r="H114" s="14" t="str">
        <f>'Data Site'!G114</f>
        <v>晴(Cerah)</v>
      </c>
      <c r="I114" s="14" t="str">
        <f>'Data Site'!H114</f>
        <v>精煤</v>
      </c>
      <c r="J114" s="18">
        <f>IFERROR(_xlfn.XLOOKUP(SUBSTITUTE($B114,"AL ","HJI "),'Jetty Data'!$B$2:$B$142,'Jetty Data'!$C$2:$C$142,""),"-")</f>
        <v>48160</v>
      </c>
      <c r="K114" s="18">
        <f>IFERROR(_xlfn.XLOOKUP(SUBSTITUTE($B114,"AL ","HJI "),'Jetty Data'!$B$2:$B$142,'Jetty Data'!$D$2:$D$142,""),"-")</f>
        <v>15020</v>
      </c>
      <c r="L114" s="18">
        <f>IFERROR(_xlfn.XLOOKUP(SUBSTITUTE($B114,"AL ","HJI "),'Jetty Data'!$B$2:$B$142,'Jetty Data'!$E$2:$E$142,""),"-")</f>
        <v>33140</v>
      </c>
      <c r="M114" s="16">
        <f>IFERROR(_xlfn.XLOOKUP(SUBSTITUTE($B114,"AL ","HJI "),'Jetty Data'!$B$2:$B$142,'Jetty Data'!$F$2:$F$142,""),"-")</f>
        <v>0.55347222222222225</v>
      </c>
    </row>
    <row r="115" spans="1:13">
      <c r="A115" s="14">
        <v>114</v>
      </c>
      <c r="B115" s="15" t="str">
        <f>'Data Site'!A115</f>
        <v>HJI 600</v>
      </c>
      <c r="C115" s="16">
        <f>'Data Site'!B115</f>
        <v>0.70694444444444449</v>
      </c>
      <c r="D115" s="16">
        <f>'Data Site'!C115</f>
        <v>0.7270833333333333</v>
      </c>
      <c r="E115" s="17">
        <f>'Data Site'!D115</f>
        <v>51210</v>
      </c>
      <c r="F115" s="17">
        <f>'Data Site'!E115</f>
        <v>15630</v>
      </c>
      <c r="G115" s="17">
        <f>'Data Site'!F115</f>
        <v>35580</v>
      </c>
      <c r="H115" s="14" t="str">
        <f>'Data Site'!G115</f>
        <v>晴(Cerah)</v>
      </c>
      <c r="I115" s="14" t="str">
        <f>'Data Site'!H115</f>
        <v>精煤</v>
      </c>
      <c r="J115" s="18">
        <f>IFERROR(_xlfn.XLOOKUP(SUBSTITUTE($B115,"AL ","HJI "),'Jetty Data'!$B$2:$B$142,'Jetty Data'!$C$2:$C$142,""),"-")</f>
        <v>50030</v>
      </c>
      <c r="K115" s="18">
        <f>IFERROR(_xlfn.XLOOKUP(SUBSTITUTE($B115,"AL ","HJI "),'Jetty Data'!$B$2:$B$142,'Jetty Data'!$D$2:$D$142,""),"-")</f>
        <v>15730</v>
      </c>
      <c r="L115" s="18">
        <f>IFERROR(_xlfn.XLOOKUP(SUBSTITUTE($B115,"AL ","HJI "),'Jetty Data'!$B$2:$B$142,'Jetty Data'!$E$2:$E$142,""),"-")</f>
        <v>34300</v>
      </c>
      <c r="M115" s="16">
        <f>IFERROR(_xlfn.XLOOKUP(SUBSTITUTE($B115,"AL ","HJI "),'Jetty Data'!$B$2:$B$142,'Jetty Data'!$F$2:$F$142,""),"-")</f>
        <v>0.55069444444444449</v>
      </c>
    </row>
    <row r="116" spans="1:13">
      <c r="A116" s="14">
        <v>115</v>
      </c>
      <c r="B116" s="15" t="str">
        <f>'Data Site'!A116</f>
        <v>HJI 067</v>
      </c>
      <c r="C116" s="16">
        <f>'Data Site'!B116</f>
        <v>0.70763888888888893</v>
      </c>
      <c r="D116" s="16">
        <f>'Data Site'!C116</f>
        <v>0.72847222222222219</v>
      </c>
      <c r="E116" s="17">
        <f>'Data Site'!D116</f>
        <v>47720</v>
      </c>
      <c r="F116" s="17">
        <f>'Data Site'!E116</f>
        <v>15240</v>
      </c>
      <c r="G116" s="17">
        <f>'Data Site'!F116</f>
        <v>32480</v>
      </c>
      <c r="H116" s="14" t="str">
        <f>'Data Site'!G116</f>
        <v>晴(Cerah)</v>
      </c>
      <c r="I116" s="14" t="str">
        <f>'Data Site'!H116</f>
        <v>精煤</v>
      </c>
      <c r="J116" s="18">
        <f>IFERROR(_xlfn.XLOOKUP(SUBSTITUTE($B116,"AL ","HJI "),'Jetty Data'!$B$2:$B$142,'Jetty Data'!$C$2:$C$142,""),"-")</f>
        <v>48780</v>
      </c>
      <c r="K116" s="18">
        <f>IFERROR(_xlfn.XLOOKUP(SUBSTITUTE($B116,"AL ","HJI "),'Jetty Data'!$B$2:$B$142,'Jetty Data'!$D$2:$D$142,""),"-")</f>
        <v>15380</v>
      </c>
      <c r="L116" s="18">
        <f>IFERROR(_xlfn.XLOOKUP(SUBSTITUTE($B116,"AL ","HJI "),'Jetty Data'!$B$2:$B$142,'Jetty Data'!$E$2:$E$142,""),"-")</f>
        <v>33400</v>
      </c>
      <c r="M116" s="16">
        <f>IFERROR(_xlfn.XLOOKUP(SUBSTITUTE($B116,"AL ","HJI "),'Jetty Data'!$B$2:$B$142,'Jetty Data'!$F$2:$F$142,""),"-")</f>
        <v>0.5541666666666667</v>
      </c>
    </row>
    <row r="117" spans="1:13">
      <c r="A117" s="14">
        <v>116</v>
      </c>
      <c r="B117" s="15" t="str">
        <f>'Data Site'!A117</f>
        <v>HJI 290</v>
      </c>
      <c r="C117" s="16">
        <f>'Data Site'!B117</f>
        <v>0.72152777777777777</v>
      </c>
      <c r="D117" s="16">
        <f>'Data Site'!C117</f>
        <v>0.7319444444444444</v>
      </c>
      <c r="E117" s="17">
        <f>'Data Site'!D117</f>
        <v>53020</v>
      </c>
      <c r="F117" s="17">
        <f>'Data Site'!E117</f>
        <v>15010</v>
      </c>
      <c r="G117" s="17">
        <f>'Data Site'!F117</f>
        <v>38010</v>
      </c>
      <c r="H117" s="14" t="str">
        <f>'Data Site'!G117</f>
        <v>晴(Cerah)</v>
      </c>
      <c r="I117" s="14" t="str">
        <f>'Data Site'!H117</f>
        <v>精煤</v>
      </c>
      <c r="J117" s="18">
        <f>IFERROR(_xlfn.XLOOKUP(SUBSTITUTE($B117,"AL ","HJI "),'Jetty Data'!$B$2:$B$142,'Jetty Data'!$C$2:$C$142,""),"-")</f>
        <v>50790</v>
      </c>
      <c r="K117" s="18">
        <f>IFERROR(_xlfn.XLOOKUP(SUBSTITUTE($B117,"AL ","HJI "),'Jetty Data'!$B$2:$B$142,'Jetty Data'!$D$2:$D$142,""),"-")</f>
        <v>15090</v>
      </c>
      <c r="L117" s="18">
        <f>IFERROR(_xlfn.XLOOKUP(SUBSTITUTE($B117,"AL ","HJI "),'Jetty Data'!$B$2:$B$142,'Jetty Data'!$E$2:$E$142,""),"-")</f>
        <v>35700</v>
      </c>
      <c r="M117" s="16">
        <f>IFERROR(_xlfn.XLOOKUP(SUBSTITUTE($B117,"AL ","HJI "),'Jetty Data'!$B$2:$B$142,'Jetty Data'!$F$2:$F$142,""),"-")</f>
        <v>0.55486111111111114</v>
      </c>
    </row>
    <row r="118" spans="1:13">
      <c r="A118" s="14">
        <v>117</v>
      </c>
      <c r="B118" s="15" t="str">
        <f>'Data Site'!A118</f>
        <v>HJI 410</v>
      </c>
      <c r="C118" s="16">
        <f>'Data Site'!B118</f>
        <v>0.70833333333333337</v>
      </c>
      <c r="D118" s="16">
        <f>'Data Site'!C118</f>
        <v>0.73472222222222228</v>
      </c>
      <c r="E118" s="17">
        <f>'Data Site'!D118</f>
        <v>52670</v>
      </c>
      <c r="F118" s="17">
        <f>'Data Site'!E118</f>
        <v>15310</v>
      </c>
      <c r="G118" s="17">
        <f>'Data Site'!F118</f>
        <v>37360</v>
      </c>
      <c r="H118" s="14" t="str">
        <f>'Data Site'!G118</f>
        <v>晴(Cerah)</v>
      </c>
      <c r="I118" s="14" t="str">
        <f>'Data Site'!H118</f>
        <v>精煤</v>
      </c>
      <c r="J118" s="18">
        <f>IFERROR(_xlfn.XLOOKUP(SUBSTITUTE($B118,"AL ","HJI "),'Jetty Data'!$B$2:$B$142,'Jetty Data'!$C$2:$C$142,""),"-")</f>
        <v>48130</v>
      </c>
      <c r="K118" s="18">
        <f>IFERROR(_xlfn.XLOOKUP(SUBSTITUTE($B118,"AL ","HJI "),'Jetty Data'!$B$2:$B$142,'Jetty Data'!$D$2:$D$142,""),"-")</f>
        <v>15450</v>
      </c>
      <c r="L118" s="18">
        <f>IFERROR(_xlfn.XLOOKUP(SUBSTITUTE($B118,"AL ","HJI "),'Jetty Data'!$B$2:$B$142,'Jetty Data'!$E$2:$E$142,""),"-")</f>
        <v>32680</v>
      </c>
      <c r="M118" s="16">
        <f>IFERROR(_xlfn.XLOOKUP(SUBSTITUTE($B118,"AL ","HJI "),'Jetty Data'!$B$2:$B$142,'Jetty Data'!$F$2:$F$142,""),"-")</f>
        <v>0.55069444444444449</v>
      </c>
    </row>
    <row r="119" spans="1:13">
      <c r="A119" s="14">
        <v>118</v>
      </c>
      <c r="B119" s="15" t="str">
        <f>'Data Site'!A119</f>
        <v>HJI 408</v>
      </c>
      <c r="C119" s="16">
        <f>'Data Site'!B119</f>
        <v>0.72152777777777777</v>
      </c>
      <c r="D119" s="16">
        <f>'Data Site'!C119</f>
        <v>0.73541666666666672</v>
      </c>
      <c r="E119" s="17">
        <f>'Data Site'!D119</f>
        <v>49810</v>
      </c>
      <c r="F119" s="17">
        <f>'Data Site'!E119</f>
        <v>14930</v>
      </c>
      <c r="G119" s="17">
        <f>'Data Site'!F119</f>
        <v>34880</v>
      </c>
      <c r="H119" s="14" t="str">
        <f>'Data Site'!G119</f>
        <v>晴(Cerah)</v>
      </c>
      <c r="I119" s="14" t="str">
        <f>'Data Site'!H119</f>
        <v>精煤</v>
      </c>
      <c r="J119" s="18">
        <f>IFERROR(_xlfn.XLOOKUP(SUBSTITUTE($B119,"AL ","HJI "),'Jetty Data'!$B$2:$B$142,'Jetty Data'!$C$2:$C$142,""),"-")</f>
        <v>49460</v>
      </c>
      <c r="K119" s="18">
        <f>IFERROR(_xlfn.XLOOKUP(SUBSTITUTE($B119,"AL ","HJI "),'Jetty Data'!$B$2:$B$142,'Jetty Data'!$D$2:$D$142,""),"-")</f>
        <v>14930</v>
      </c>
      <c r="L119" s="18">
        <f>IFERROR(_xlfn.XLOOKUP(SUBSTITUTE($B119,"AL ","HJI "),'Jetty Data'!$B$2:$B$142,'Jetty Data'!$E$2:$E$142,""),"-")</f>
        <v>34530</v>
      </c>
      <c r="M119" s="16">
        <f>IFERROR(_xlfn.XLOOKUP(SUBSTITUTE($B119,"AL ","HJI "),'Jetty Data'!$B$2:$B$142,'Jetty Data'!$F$2:$F$142,""),"-")</f>
        <v>0.90972222222222221</v>
      </c>
    </row>
    <row r="120" spans="1:13">
      <c r="A120" s="14">
        <v>119</v>
      </c>
      <c r="B120" s="15" t="str">
        <f>'Data Site'!A120</f>
        <v>HJI 034</v>
      </c>
      <c r="C120" s="16">
        <f>'Data Site'!B120</f>
        <v>0.72222222222222221</v>
      </c>
      <c r="D120" s="16">
        <f>'Data Site'!C120</f>
        <v>0.74027777777777781</v>
      </c>
      <c r="E120" s="17">
        <f>'Data Site'!D120</f>
        <v>52010</v>
      </c>
      <c r="F120" s="17">
        <f>'Data Site'!E120</f>
        <v>14990</v>
      </c>
      <c r="G120" s="17">
        <f>'Data Site'!F120</f>
        <v>37020</v>
      </c>
      <c r="H120" s="14" t="str">
        <f>'Data Site'!G120</f>
        <v>晴(Cerah)</v>
      </c>
      <c r="I120" s="14" t="str">
        <f>'Data Site'!H120</f>
        <v>精煤</v>
      </c>
      <c r="J120" s="18">
        <f>IFERROR(_xlfn.XLOOKUP(SUBSTITUTE($B120,"AL ","HJI "),'Jetty Data'!$B$2:$B$142,'Jetty Data'!$C$2:$C$142,""),"-")</f>
        <v>51680</v>
      </c>
      <c r="K120" s="18">
        <f>IFERROR(_xlfn.XLOOKUP(SUBSTITUTE($B120,"AL ","HJI "),'Jetty Data'!$B$2:$B$142,'Jetty Data'!$D$2:$D$142,""),"-")</f>
        <v>14990</v>
      </c>
      <c r="L120" s="18">
        <f>IFERROR(_xlfn.XLOOKUP(SUBSTITUTE($B120,"AL ","HJI "),'Jetty Data'!$B$2:$B$142,'Jetty Data'!$E$2:$E$142,""),"-")</f>
        <v>36690</v>
      </c>
      <c r="M120" s="16">
        <f>IFERROR(_xlfn.XLOOKUP(SUBSTITUTE($B120,"AL ","HJI "),'Jetty Data'!$B$2:$B$142,'Jetty Data'!$F$2:$F$142,""),"-")</f>
        <v>0.91111111111111109</v>
      </c>
    </row>
    <row r="121" spans="1:13">
      <c r="A121" s="14">
        <v>120</v>
      </c>
      <c r="B121" s="15" t="str">
        <f>'Data Site'!A121</f>
        <v>HJI 035</v>
      </c>
      <c r="C121" s="16">
        <f>'Data Site'!B121</f>
        <v>0.72222222222222221</v>
      </c>
      <c r="D121" s="16">
        <f>'Data Site'!C121</f>
        <v>0.74236111111111114</v>
      </c>
      <c r="E121" s="17">
        <f>'Data Site'!D121</f>
        <v>50950</v>
      </c>
      <c r="F121" s="17">
        <f>'Data Site'!E121</f>
        <v>14940</v>
      </c>
      <c r="G121" s="17">
        <f>'Data Site'!F121</f>
        <v>36010</v>
      </c>
      <c r="H121" s="14" t="str">
        <f>'Data Site'!G121</f>
        <v>晴(Cerah)</v>
      </c>
      <c r="I121" s="14" t="str">
        <f>'Data Site'!H121</f>
        <v>精煤</v>
      </c>
      <c r="J121" s="18">
        <f>IFERROR(_xlfn.XLOOKUP(SUBSTITUTE($B121,"AL ","HJI "),'Jetty Data'!$B$2:$B$142,'Jetty Data'!$C$2:$C$142,""),"-")</f>
        <v>50620</v>
      </c>
      <c r="K121" s="18">
        <f>IFERROR(_xlfn.XLOOKUP(SUBSTITUTE($B121,"AL ","HJI "),'Jetty Data'!$B$2:$B$142,'Jetty Data'!$D$2:$D$142,""),"-")</f>
        <v>14940</v>
      </c>
      <c r="L121" s="18">
        <f>IFERROR(_xlfn.XLOOKUP(SUBSTITUTE($B121,"AL ","HJI "),'Jetty Data'!$B$2:$B$142,'Jetty Data'!$E$2:$E$142,""),"-")</f>
        <v>35680</v>
      </c>
      <c r="M121" s="16">
        <f>IFERROR(_xlfn.XLOOKUP(SUBSTITUTE($B121,"AL ","HJI "),'Jetty Data'!$B$2:$B$142,'Jetty Data'!$F$2:$F$142,""),"-")</f>
        <v>0.91041666666666665</v>
      </c>
    </row>
    <row r="122" spans="1:13">
      <c r="A122" s="14">
        <v>121</v>
      </c>
      <c r="B122" s="15" t="str">
        <f>'Data Site'!A122</f>
        <v>HJI 609</v>
      </c>
      <c r="C122" s="16">
        <f>'Data Site'!B122</f>
        <v>0.72291666666666665</v>
      </c>
      <c r="D122" s="16">
        <f>'Data Site'!C122</f>
        <v>0.74375000000000002</v>
      </c>
      <c r="E122" s="17">
        <f>'Data Site'!D122</f>
        <v>47700</v>
      </c>
      <c r="F122" s="17">
        <f>'Data Site'!E122</f>
        <v>15310</v>
      </c>
      <c r="G122" s="17">
        <f>'Data Site'!F122</f>
        <v>32390</v>
      </c>
      <c r="H122" s="14" t="str">
        <f>'Data Site'!G122</f>
        <v>晴(Cerah)</v>
      </c>
      <c r="I122" s="14" t="str">
        <f>'Data Site'!H122</f>
        <v>精煤</v>
      </c>
      <c r="J122" s="18">
        <f>IFERROR(_xlfn.XLOOKUP(SUBSTITUTE($B122,"AL ","HJI "),'Jetty Data'!$B$2:$B$142,'Jetty Data'!$C$2:$C$142,""),"-")</f>
        <v>47660</v>
      </c>
      <c r="K122" s="18">
        <f>IFERROR(_xlfn.XLOOKUP(SUBSTITUTE($B122,"AL ","HJI "),'Jetty Data'!$B$2:$B$142,'Jetty Data'!$D$2:$D$142,""),"-")</f>
        <v>15390</v>
      </c>
      <c r="L122" s="18">
        <f>IFERROR(_xlfn.XLOOKUP(SUBSTITUTE($B122,"AL ","HJI "),'Jetty Data'!$B$2:$B$142,'Jetty Data'!$E$2:$E$142,""),"-")</f>
        <v>32270</v>
      </c>
      <c r="M122" s="16">
        <f>IFERROR(_xlfn.XLOOKUP(SUBSTITUTE($B122,"AL ","HJI "),'Jetty Data'!$B$2:$B$142,'Jetty Data'!$F$2:$F$142,""),"-")</f>
        <v>0.56527777777777777</v>
      </c>
    </row>
    <row r="123" spans="1:13">
      <c r="A123" s="14">
        <v>122</v>
      </c>
      <c r="B123" s="15" t="str">
        <f>'Data Site'!A123</f>
        <v>HJI 601</v>
      </c>
      <c r="C123" s="16">
        <f>'Data Site'!B123</f>
        <v>0.72361111111111109</v>
      </c>
      <c r="D123" s="16">
        <f>'Data Site'!C123</f>
        <v>0.74791666666666667</v>
      </c>
      <c r="E123" s="17">
        <f>'Data Site'!D123</f>
        <v>46130</v>
      </c>
      <c r="F123" s="17">
        <f>'Data Site'!E123</f>
        <v>14600</v>
      </c>
      <c r="G123" s="17">
        <f>'Data Site'!F123</f>
        <v>31530</v>
      </c>
      <c r="H123" s="14" t="str">
        <f>'Data Site'!G123</f>
        <v>晴(Cerah)</v>
      </c>
      <c r="I123" s="14" t="str">
        <f>'Data Site'!H123</f>
        <v>精煤</v>
      </c>
      <c r="J123" s="18">
        <f>IFERROR(_xlfn.XLOOKUP(SUBSTITUTE($B123,"AL ","HJI "),'Jetty Data'!$B$2:$B$142,'Jetty Data'!$C$2:$C$142,""),"-")</f>
        <v>48070</v>
      </c>
      <c r="K123" s="18">
        <f>IFERROR(_xlfn.XLOOKUP(SUBSTITUTE($B123,"AL ","HJI "),'Jetty Data'!$B$2:$B$142,'Jetty Data'!$D$2:$D$142,""),"-")</f>
        <v>14690</v>
      </c>
      <c r="L123" s="18">
        <f>IFERROR(_xlfn.XLOOKUP(SUBSTITUTE($B123,"AL ","HJI "),'Jetty Data'!$B$2:$B$142,'Jetty Data'!$E$2:$E$142,""),"-")</f>
        <v>33380</v>
      </c>
      <c r="M123" s="16">
        <f>IFERROR(_xlfn.XLOOKUP(SUBSTITUTE($B123,"AL ","HJI "),'Jetty Data'!$B$2:$B$142,'Jetty Data'!$F$2:$F$142,""),"-")</f>
        <v>0.56458333333333333</v>
      </c>
    </row>
    <row r="124" spans="1:13">
      <c r="A124" s="14">
        <v>123</v>
      </c>
      <c r="B124" s="15" t="str">
        <f>'Data Site'!A124</f>
        <v>HJI 607</v>
      </c>
      <c r="C124" s="16">
        <f>'Data Site'!B124</f>
        <v>0.7368055555555556</v>
      </c>
      <c r="D124" s="16">
        <f>'Data Site'!C124</f>
        <v>0.75138888888888888</v>
      </c>
      <c r="E124" s="17">
        <f>'Data Site'!D124</f>
        <v>48920</v>
      </c>
      <c r="F124" s="17">
        <f>'Data Site'!E124</f>
        <v>15370</v>
      </c>
      <c r="G124" s="17">
        <f>'Data Site'!F124</f>
        <v>33550</v>
      </c>
      <c r="H124" s="14" t="str">
        <f>'Data Site'!G124</f>
        <v>晴(Cerah)</v>
      </c>
      <c r="I124" s="14" t="str">
        <f>'Data Site'!H124</f>
        <v>精煤</v>
      </c>
      <c r="J124" s="18">
        <f>IFERROR(_xlfn.XLOOKUP(SUBSTITUTE($B124,"AL ","HJI "),'Jetty Data'!$B$2:$B$142,'Jetty Data'!$C$2:$C$142,""),"-")</f>
        <v>48580</v>
      </c>
      <c r="K124" s="18">
        <f>IFERROR(_xlfn.XLOOKUP(SUBSTITUTE($B124,"AL ","HJI "),'Jetty Data'!$B$2:$B$142,'Jetty Data'!$D$2:$D$142,""),"-")</f>
        <v>15420</v>
      </c>
      <c r="L124" s="18">
        <f>IFERROR(_xlfn.XLOOKUP(SUBSTITUTE($B124,"AL ","HJI "),'Jetty Data'!$B$2:$B$142,'Jetty Data'!$E$2:$E$142,""),"-")</f>
        <v>33160</v>
      </c>
      <c r="M124" s="16">
        <f>IFERROR(_xlfn.XLOOKUP(SUBSTITUTE($B124,"AL ","HJI "),'Jetty Data'!$B$2:$B$142,'Jetty Data'!$F$2:$F$142,""),"-")</f>
        <v>0.56597222222222221</v>
      </c>
    </row>
    <row r="125" spans="1:13">
      <c r="A125" s="14">
        <v>124</v>
      </c>
      <c r="B125" s="15" t="str">
        <f>'Data Site'!A125</f>
        <v>HJI 610</v>
      </c>
      <c r="C125" s="16">
        <f>'Data Site'!B125</f>
        <v>0.73750000000000004</v>
      </c>
      <c r="D125" s="16">
        <f>'Data Site'!C125</f>
        <v>0.75208333333333333</v>
      </c>
      <c r="E125" s="17">
        <f>'Data Site'!D125</f>
        <v>46020</v>
      </c>
      <c r="F125" s="17">
        <f>'Data Site'!E125</f>
        <v>15260</v>
      </c>
      <c r="G125" s="17">
        <f>'Data Site'!F125</f>
        <v>30760</v>
      </c>
      <c r="H125" s="14" t="str">
        <f>'Data Site'!G125</f>
        <v>晴(Cerah)</v>
      </c>
      <c r="I125" s="14" t="str">
        <f>'Data Site'!H125</f>
        <v>精煤</v>
      </c>
      <c r="J125" s="18">
        <f>IFERROR(_xlfn.XLOOKUP(SUBSTITUTE($B125,"AL ","HJI "),'Jetty Data'!$B$2:$B$142,'Jetty Data'!$C$2:$C$142,""),"-")</f>
        <v>48240</v>
      </c>
      <c r="K125" s="18">
        <f>IFERROR(_xlfn.XLOOKUP(SUBSTITUTE($B125,"AL ","HJI "),'Jetty Data'!$B$2:$B$142,'Jetty Data'!$D$2:$D$142,""),"-")</f>
        <v>15280</v>
      </c>
      <c r="L125" s="18">
        <f>IFERROR(_xlfn.XLOOKUP(SUBSTITUTE($B125,"AL ","HJI "),'Jetty Data'!$B$2:$B$142,'Jetty Data'!$E$2:$E$142,""),"-")</f>
        <v>32960</v>
      </c>
      <c r="M125" s="16">
        <f>IFERROR(_xlfn.XLOOKUP(SUBSTITUTE($B125,"AL ","HJI "),'Jetty Data'!$B$2:$B$142,'Jetty Data'!$F$2:$F$142,""),"-")</f>
        <v>0.55138888888888893</v>
      </c>
    </row>
    <row r="126" spans="1:13">
      <c r="A126" s="14">
        <v>125</v>
      </c>
      <c r="B126" s="15" t="str">
        <f>'Data Site'!A126</f>
        <v>HJI 644</v>
      </c>
      <c r="C126" s="16">
        <f>'Data Site'!B126</f>
        <v>0.73750000000000004</v>
      </c>
      <c r="D126" s="16">
        <f>'Data Site'!C126</f>
        <v>0.75555555555555554</v>
      </c>
      <c r="E126" s="17">
        <f>'Data Site'!D126</f>
        <v>47770</v>
      </c>
      <c r="F126" s="17">
        <f>'Data Site'!E126</f>
        <v>15640</v>
      </c>
      <c r="G126" s="17">
        <f>'Data Site'!F126</f>
        <v>32130</v>
      </c>
      <c r="H126" s="14" t="str">
        <f>'Data Site'!G126</f>
        <v>晴(Cerah)</v>
      </c>
      <c r="I126" s="14" t="str">
        <f>'Data Site'!H126</f>
        <v>精煤</v>
      </c>
      <c r="J126" s="18">
        <f>IFERROR(_xlfn.XLOOKUP(SUBSTITUTE($B126,"AL ","HJI "),'Jetty Data'!$B$2:$B$142,'Jetty Data'!$C$2:$C$142,""),"-")</f>
        <v>49240</v>
      </c>
      <c r="K126" s="18">
        <f>IFERROR(_xlfn.XLOOKUP(SUBSTITUTE($B126,"AL ","HJI "),'Jetty Data'!$B$2:$B$142,'Jetty Data'!$D$2:$D$142,""),"-")</f>
        <v>15730</v>
      </c>
      <c r="L126" s="18">
        <f>IFERROR(_xlfn.XLOOKUP(SUBSTITUTE($B126,"AL ","HJI "),'Jetty Data'!$B$2:$B$142,'Jetty Data'!$E$2:$E$142,""),"-")</f>
        <v>33510</v>
      </c>
      <c r="M126" s="16">
        <f>IFERROR(_xlfn.XLOOKUP(SUBSTITUTE($B126,"AL ","HJI "),'Jetty Data'!$B$2:$B$142,'Jetty Data'!$F$2:$F$142,""),"-")</f>
        <v>0.5854166666666667</v>
      </c>
    </row>
    <row r="127" spans="1:13">
      <c r="A127" s="14">
        <v>126</v>
      </c>
      <c r="B127" s="15" t="str">
        <f>'Data Site'!A127</f>
        <v>HJI 602</v>
      </c>
      <c r="C127" s="16">
        <f>'Data Site'!B127</f>
        <v>0.73819444444444449</v>
      </c>
      <c r="D127" s="16">
        <f>'Data Site'!C127</f>
        <v>0.75902777777777775</v>
      </c>
      <c r="E127" s="17">
        <f>'Data Site'!D127</f>
        <v>47980</v>
      </c>
      <c r="F127" s="17">
        <f>'Data Site'!E127</f>
        <v>15840</v>
      </c>
      <c r="G127" s="17">
        <f>'Data Site'!F127</f>
        <v>32140</v>
      </c>
      <c r="H127" s="14" t="str">
        <f>'Data Site'!G127</f>
        <v>晴(Cerah)</v>
      </c>
      <c r="I127" s="14" t="str">
        <f>'Data Site'!H127</f>
        <v>精煤</v>
      </c>
      <c r="J127" s="18">
        <f>IFERROR(_xlfn.XLOOKUP(SUBSTITUTE($B127,"AL ","HJI "),'Jetty Data'!$B$2:$B$142,'Jetty Data'!$C$2:$C$142,""),"-")</f>
        <v>48700</v>
      </c>
      <c r="K127" s="18">
        <f>IFERROR(_xlfn.XLOOKUP(SUBSTITUTE($B127,"AL ","HJI "),'Jetty Data'!$B$2:$B$142,'Jetty Data'!$D$2:$D$142,""),"-")</f>
        <v>15760</v>
      </c>
      <c r="L127" s="18">
        <f>IFERROR(_xlfn.XLOOKUP(SUBSTITUTE($B127,"AL ","HJI "),'Jetty Data'!$B$2:$B$142,'Jetty Data'!$E$2:$E$142,""),"-")</f>
        <v>32940</v>
      </c>
      <c r="M127" s="16">
        <f>IFERROR(_xlfn.XLOOKUP(SUBSTITUTE($B127,"AL ","HJI "),'Jetty Data'!$B$2:$B$142,'Jetty Data'!$F$2:$F$142,""),"-")</f>
        <v>0.58402777777777781</v>
      </c>
    </row>
    <row r="128" spans="1:13">
      <c r="A128" s="14">
        <v>127</v>
      </c>
      <c r="B128" s="15" t="str">
        <f>'Data Site'!A128</f>
        <v>HJI 069</v>
      </c>
      <c r="C128" s="16">
        <f>'Data Site'!B128</f>
        <v>0.73819444444444449</v>
      </c>
      <c r="D128" s="16">
        <f>'Data Site'!C128</f>
        <v>0.75972222222222219</v>
      </c>
      <c r="E128" s="17">
        <f>'Data Site'!D128</f>
        <v>50100</v>
      </c>
      <c r="F128" s="17">
        <f>'Data Site'!E128</f>
        <v>15270</v>
      </c>
      <c r="G128" s="17">
        <f>'Data Site'!F128</f>
        <v>34830</v>
      </c>
      <c r="H128" s="14" t="str">
        <f>'Data Site'!G128</f>
        <v>晴(Cerah)</v>
      </c>
      <c r="I128" s="14" t="str">
        <f>'Data Site'!H128</f>
        <v>精煤</v>
      </c>
      <c r="J128" s="18">
        <f>IFERROR(_xlfn.XLOOKUP(SUBSTITUTE($B128,"AL ","HJI "),'Jetty Data'!$B$2:$B$142,'Jetty Data'!$C$2:$C$142,""),"-")</f>
        <v>47290</v>
      </c>
      <c r="K128" s="18">
        <f>IFERROR(_xlfn.XLOOKUP(SUBSTITUTE($B128,"AL ","HJI "),'Jetty Data'!$B$2:$B$142,'Jetty Data'!$D$2:$D$142,""),"-")</f>
        <v>15360</v>
      </c>
      <c r="L128" s="18">
        <f>IFERROR(_xlfn.XLOOKUP(SUBSTITUTE($B128,"AL ","HJI "),'Jetty Data'!$B$2:$B$142,'Jetty Data'!$E$2:$E$142,""),"-")</f>
        <v>31930</v>
      </c>
      <c r="M128" s="16">
        <f>IFERROR(_xlfn.XLOOKUP(SUBSTITUTE($B128,"AL ","HJI "),'Jetty Data'!$B$2:$B$142,'Jetty Data'!$F$2:$F$142,""),"-")</f>
        <v>0.55277777777777781</v>
      </c>
    </row>
    <row r="129" spans="1:13">
      <c r="A129" s="14">
        <v>128</v>
      </c>
      <c r="B129" s="15" t="str">
        <f>'Data Site'!A129</f>
        <v>HJI 339</v>
      </c>
      <c r="C129" s="16">
        <f>'Data Site'!B129</f>
        <v>0.73888888888888893</v>
      </c>
      <c r="D129" s="16">
        <f>'Data Site'!C129</f>
        <v>0.76388888888888884</v>
      </c>
      <c r="E129" s="17">
        <f>'Data Site'!D129</f>
        <v>47910</v>
      </c>
      <c r="F129" s="17">
        <f>'Data Site'!E129</f>
        <v>14410</v>
      </c>
      <c r="G129" s="17">
        <f>'Data Site'!F129</f>
        <v>33500</v>
      </c>
      <c r="H129" s="14" t="str">
        <f>'Data Site'!G129</f>
        <v>晴(Cerah)</v>
      </c>
      <c r="I129" s="14" t="str">
        <f>'Data Site'!H129</f>
        <v>精煤</v>
      </c>
      <c r="J129" s="18">
        <f>IFERROR(_xlfn.XLOOKUP(SUBSTITUTE($B129,"AL ","HJI "),'Jetty Data'!$B$2:$B$142,'Jetty Data'!$C$2:$C$142,""),"-")</f>
        <v>50870</v>
      </c>
      <c r="K129" s="18">
        <f>IFERROR(_xlfn.XLOOKUP(SUBSTITUTE($B129,"AL ","HJI "),'Jetty Data'!$B$2:$B$142,'Jetty Data'!$D$2:$D$142,""),"-")</f>
        <v>14440</v>
      </c>
      <c r="L129" s="18">
        <f>IFERROR(_xlfn.XLOOKUP(SUBSTITUTE($B129,"AL ","HJI "),'Jetty Data'!$B$2:$B$142,'Jetty Data'!$E$2:$E$142,""),"-")</f>
        <v>36430</v>
      </c>
      <c r="M129" s="16">
        <f>IFERROR(_xlfn.XLOOKUP(SUBSTITUTE($B129,"AL ","HJI "),'Jetty Data'!$B$2:$B$142,'Jetty Data'!$F$2:$F$142,""),"-")</f>
        <v>0.60069444444444442</v>
      </c>
    </row>
    <row r="130" spans="1:13">
      <c r="A130" s="14">
        <v>129</v>
      </c>
      <c r="B130" s="15" t="str">
        <f>'Data Site'!A130</f>
        <v>HJI 337</v>
      </c>
      <c r="C130" s="16">
        <f>'Data Site'!B130</f>
        <v>0.75347222222222221</v>
      </c>
      <c r="D130" s="16">
        <f>'Data Site'!C130</f>
        <v>0.76666666666666672</v>
      </c>
      <c r="E130" s="17">
        <f>'Data Site'!D130</f>
        <v>46550</v>
      </c>
      <c r="F130" s="17">
        <f>'Data Site'!E130</f>
        <v>14360</v>
      </c>
      <c r="G130" s="17">
        <f>'Data Site'!F130</f>
        <v>32190</v>
      </c>
      <c r="H130" s="14" t="str">
        <f>'Data Site'!G130</f>
        <v>晴(Cerah)</v>
      </c>
      <c r="I130" s="14" t="str">
        <f>'Data Site'!H130</f>
        <v>精煤</v>
      </c>
      <c r="J130" s="18">
        <f>IFERROR(_xlfn.XLOOKUP(SUBSTITUTE($B130,"AL ","HJI "),'Jetty Data'!$B$2:$B$142,'Jetty Data'!$C$2:$C$142,""),"-")</f>
        <v>46990</v>
      </c>
      <c r="K130" s="18">
        <f>IFERROR(_xlfn.XLOOKUP(SUBSTITUTE($B130,"AL ","HJI "),'Jetty Data'!$B$2:$B$142,'Jetty Data'!$D$2:$D$142,""),"-")</f>
        <v>14430</v>
      </c>
      <c r="L130" s="18">
        <f>IFERROR(_xlfn.XLOOKUP(SUBSTITUTE($B130,"AL ","HJI "),'Jetty Data'!$B$2:$B$142,'Jetty Data'!$E$2:$E$142,""),"-")</f>
        <v>32560</v>
      </c>
      <c r="M130" s="16">
        <f>IFERROR(_xlfn.XLOOKUP(SUBSTITUTE($B130,"AL ","HJI "),'Jetty Data'!$B$2:$B$142,'Jetty Data'!$F$2:$F$142,""),"-")</f>
        <v>0.59930555555555554</v>
      </c>
    </row>
    <row r="131" spans="1:13">
      <c r="A131" s="14">
        <v>130</v>
      </c>
      <c r="B131" s="15" t="str">
        <f>'Data Site'!A131</f>
        <v>HJI 611</v>
      </c>
      <c r="C131" s="16">
        <f>'Data Site'!B131</f>
        <v>0.75416666666666665</v>
      </c>
      <c r="D131" s="16">
        <f>'Data Site'!C131</f>
        <v>0.77083333333333337</v>
      </c>
      <c r="E131" s="17">
        <f>'Data Site'!D131</f>
        <v>46280</v>
      </c>
      <c r="F131" s="17">
        <f>'Data Site'!E131</f>
        <v>15010</v>
      </c>
      <c r="G131" s="17">
        <f>'Data Site'!F131</f>
        <v>31270</v>
      </c>
      <c r="H131" s="14" t="str">
        <f>'Data Site'!G131</f>
        <v>晴(Cerah)</v>
      </c>
      <c r="I131" s="14" t="str">
        <f>'Data Site'!H131</f>
        <v>精煤</v>
      </c>
      <c r="J131" s="18">
        <f>IFERROR(_xlfn.XLOOKUP(SUBSTITUTE($B131,"AL ","HJI "),'Jetty Data'!$B$2:$B$142,'Jetty Data'!$C$2:$C$142,""),"-")</f>
        <v>49170</v>
      </c>
      <c r="K131" s="18">
        <f>IFERROR(_xlfn.XLOOKUP(SUBSTITUTE($B131,"AL ","HJI "),'Jetty Data'!$B$2:$B$142,'Jetty Data'!$D$2:$D$142,""),"-")</f>
        <v>15100</v>
      </c>
      <c r="L131" s="18">
        <f>IFERROR(_xlfn.XLOOKUP(SUBSTITUTE($B131,"AL ","HJI "),'Jetty Data'!$B$2:$B$142,'Jetty Data'!$E$2:$E$142,""),"-")</f>
        <v>34070</v>
      </c>
      <c r="M131" s="16">
        <f>IFERROR(_xlfn.XLOOKUP(SUBSTITUTE($B131,"AL ","HJI "),'Jetty Data'!$B$2:$B$142,'Jetty Data'!$F$2:$F$142,""),"-")</f>
        <v>0.62430555555555556</v>
      </c>
    </row>
    <row r="132" spans="1:13">
      <c r="A132" s="14">
        <v>131</v>
      </c>
      <c r="B132" s="15" t="str">
        <f>'Data Site'!A132</f>
        <v>HJI 613</v>
      </c>
      <c r="C132" s="16">
        <f>'Data Site'!B132</f>
        <v>0.75416666666666665</v>
      </c>
      <c r="D132" s="16">
        <f>'Data Site'!C132</f>
        <v>0.77430555555555558</v>
      </c>
      <c r="E132" s="17">
        <f>'Data Site'!D132</f>
        <v>47850</v>
      </c>
      <c r="F132" s="17">
        <f>'Data Site'!E132</f>
        <v>15300</v>
      </c>
      <c r="G132" s="17">
        <f>'Data Site'!F132</f>
        <v>32550</v>
      </c>
      <c r="H132" s="14" t="str">
        <f>'Data Site'!G132</f>
        <v>晴(Cerah)</v>
      </c>
      <c r="I132" s="14" t="str">
        <f>'Data Site'!H132</f>
        <v>精煤</v>
      </c>
      <c r="J132" s="18">
        <f>IFERROR(_xlfn.XLOOKUP(SUBSTITUTE($B132,"AL ","HJI "),'Jetty Data'!$B$2:$B$142,'Jetty Data'!$C$2:$C$142,""),"-")</f>
        <v>49550</v>
      </c>
      <c r="K132" s="18">
        <f>IFERROR(_xlfn.XLOOKUP(SUBSTITUTE($B132,"AL ","HJI "),'Jetty Data'!$B$2:$B$142,'Jetty Data'!$D$2:$D$142,""),"-")</f>
        <v>15360</v>
      </c>
      <c r="L132" s="18">
        <f>IFERROR(_xlfn.XLOOKUP(SUBSTITUTE($B132,"AL ","HJI "),'Jetty Data'!$B$2:$B$142,'Jetty Data'!$E$2:$E$142,""),"-")</f>
        <v>34190</v>
      </c>
      <c r="M132" s="16">
        <f>IFERROR(_xlfn.XLOOKUP(SUBSTITUTE($B132,"AL ","HJI "),'Jetty Data'!$B$2:$B$142,'Jetty Data'!$F$2:$F$142,""),"-")</f>
        <v>0.625</v>
      </c>
    </row>
    <row r="133" spans="1:13">
      <c r="A133" s="14">
        <v>132</v>
      </c>
      <c r="B133" s="15" t="str">
        <f>'Data Site'!A133</f>
        <v>HJI 617</v>
      </c>
      <c r="C133" s="16">
        <f>'Data Site'!B133</f>
        <v>0.75416666666666665</v>
      </c>
      <c r="D133" s="16">
        <f>'Data Site'!C133</f>
        <v>0.76666666666666672</v>
      </c>
      <c r="E133" s="17">
        <f>'Data Site'!D133</f>
        <v>50380</v>
      </c>
      <c r="F133" s="17">
        <f>'Data Site'!E133</f>
        <v>14760</v>
      </c>
      <c r="G133" s="17">
        <f>'Data Site'!F133</f>
        <v>35620</v>
      </c>
      <c r="H133" s="14" t="str">
        <f>'Data Site'!G133</f>
        <v>晴(Cerah)</v>
      </c>
      <c r="I133" s="14" t="str">
        <f>'Data Site'!H133</f>
        <v>精煤</v>
      </c>
      <c r="J133" s="18">
        <f>IFERROR(_xlfn.XLOOKUP(SUBSTITUTE($B133,"AL ","HJI "),'Jetty Data'!$B$2:$B$142,'Jetty Data'!$C$2:$C$142,""),"-")</f>
        <v>48770</v>
      </c>
      <c r="K133" s="18">
        <f>IFERROR(_xlfn.XLOOKUP(SUBSTITUTE($B133,"AL ","HJI "),'Jetty Data'!$B$2:$B$142,'Jetty Data'!$D$2:$D$142,""),"-")</f>
        <v>14840</v>
      </c>
      <c r="L133" s="18">
        <f>IFERROR(_xlfn.XLOOKUP(SUBSTITUTE($B133,"AL ","HJI "),'Jetty Data'!$B$2:$B$142,'Jetty Data'!$E$2:$E$142,""),"-")</f>
        <v>33930</v>
      </c>
      <c r="M133" s="16">
        <f>IFERROR(_xlfn.XLOOKUP(SUBSTITUTE($B133,"AL ","HJI "),'Jetty Data'!$B$2:$B$142,'Jetty Data'!$F$2:$F$142,""),"-")</f>
        <v>0.625</v>
      </c>
    </row>
    <row r="134" spans="1:13">
      <c r="A134" s="14">
        <v>133</v>
      </c>
      <c r="B134" s="15" t="str">
        <f>'Data Site'!A134</f>
        <v>HJI 903</v>
      </c>
      <c r="C134" s="16">
        <f>'Data Site'!B134</f>
        <v>0.76249999999999996</v>
      </c>
      <c r="D134" s="16">
        <f>'Data Site'!C134</f>
        <v>0.78333333333333333</v>
      </c>
      <c r="E134" s="17">
        <f>'Data Site'!D134</f>
        <v>49480</v>
      </c>
      <c r="F134" s="17">
        <f>'Data Site'!E134</f>
        <v>15810</v>
      </c>
      <c r="G134" s="17">
        <f>'Data Site'!F134</f>
        <v>33670</v>
      </c>
      <c r="H134" s="14" t="str">
        <f>'Data Site'!G134</f>
        <v>晴(Cerah)</v>
      </c>
      <c r="I134" s="14" t="str">
        <f>'Data Site'!H134</f>
        <v>精煤</v>
      </c>
      <c r="J134" s="18">
        <f>IFERROR(_xlfn.XLOOKUP(SUBSTITUTE($B134,"AL ","HJI "),'Jetty Data'!$B$2:$B$142,'Jetty Data'!$C$2:$C$142,""),"-")</f>
        <v>51340</v>
      </c>
      <c r="K134" s="18">
        <f>IFERROR(_xlfn.XLOOKUP(SUBSTITUTE($B134,"AL ","HJI "),'Jetty Data'!$B$2:$B$142,'Jetty Data'!$D$2:$D$142,""),"-")</f>
        <v>15720</v>
      </c>
      <c r="L134" s="18">
        <f>IFERROR(_xlfn.XLOOKUP(SUBSTITUTE($B134,"AL ","HJI "),'Jetty Data'!$B$2:$B$142,'Jetty Data'!$E$2:$E$142,""),"-")</f>
        <v>35620</v>
      </c>
      <c r="M134" s="16">
        <f>IFERROR(_xlfn.XLOOKUP(SUBSTITUTE($B134,"AL ","HJI "),'Jetty Data'!$B$2:$B$142,'Jetty Data'!$F$2:$F$142,""),"-")</f>
        <v>0.63194444444444442</v>
      </c>
    </row>
    <row r="135" spans="1:13">
      <c r="A135" s="14">
        <v>134</v>
      </c>
      <c r="B135" s="15" t="str">
        <f>'Data Site'!A135</f>
        <v>HJI 908</v>
      </c>
      <c r="C135" s="16">
        <f>'Data Site'!B135</f>
        <v>0.7631944444444444</v>
      </c>
      <c r="D135" s="16">
        <f>'Data Site'!C135</f>
        <v>0.78749999999999998</v>
      </c>
      <c r="E135" s="17">
        <f>'Data Site'!D135</f>
        <v>49130</v>
      </c>
      <c r="F135" s="17">
        <f>'Data Site'!E135</f>
        <v>14210</v>
      </c>
      <c r="G135" s="17">
        <f>'Data Site'!F135</f>
        <v>34920</v>
      </c>
      <c r="H135" s="14" t="str">
        <f>'Data Site'!G135</f>
        <v>晴(Cerah)</v>
      </c>
      <c r="I135" s="14" t="str">
        <f>'Data Site'!H135</f>
        <v>精煤</v>
      </c>
      <c r="J135" s="18">
        <f>IFERROR(_xlfn.XLOOKUP(SUBSTITUTE($B135,"AL ","HJI "),'Jetty Data'!$B$2:$B$142,'Jetty Data'!$C$2:$C$142,""),"-")</f>
        <v>49470</v>
      </c>
      <c r="K135" s="18">
        <f>IFERROR(_xlfn.XLOOKUP(SUBSTITUTE($B135,"AL ","HJI "),'Jetty Data'!$B$2:$B$142,'Jetty Data'!$D$2:$D$142,""),"-")</f>
        <v>14190</v>
      </c>
      <c r="L135" s="18">
        <f>IFERROR(_xlfn.XLOOKUP(SUBSTITUTE($B135,"AL ","HJI "),'Jetty Data'!$B$2:$B$142,'Jetty Data'!$E$2:$E$142,""),"-")</f>
        <v>35280</v>
      </c>
      <c r="M135" s="16">
        <f>IFERROR(_xlfn.XLOOKUP(SUBSTITUTE($B135,"AL ","HJI "),'Jetty Data'!$B$2:$B$142,'Jetty Data'!$F$2:$F$142,""),"-")</f>
        <v>0.63124999999999998</v>
      </c>
    </row>
    <row r="136" spans="1:13">
      <c r="A136" s="14">
        <v>135</v>
      </c>
      <c r="B136" s="15" t="str">
        <f>'Data Site'!A136</f>
        <v>HJI 313</v>
      </c>
      <c r="C136" s="16">
        <f>'Data Site'!B136</f>
        <v>0.75486111111111109</v>
      </c>
      <c r="D136" s="16">
        <f>'Data Site'!C136</f>
        <v>0.79097222222222219</v>
      </c>
      <c r="E136" s="17">
        <f>'Data Site'!D136</f>
        <v>63840</v>
      </c>
      <c r="F136" s="17">
        <f>'Data Site'!E136</f>
        <v>19400</v>
      </c>
      <c r="G136" s="17">
        <f>'Data Site'!F136</f>
        <v>44440</v>
      </c>
      <c r="H136" s="14" t="str">
        <f>'Data Site'!G136</f>
        <v>晴(Cerah)</v>
      </c>
      <c r="I136" s="14" t="str">
        <f>'Data Site'!H136</f>
        <v>精煤</v>
      </c>
      <c r="J136" s="18">
        <f>IFERROR(_xlfn.XLOOKUP(SUBSTITUTE($B136,"AL ","HJI "),'Jetty Data'!$B$2:$B$142,'Jetty Data'!$C$2:$C$142,""),"-")</f>
        <v>63070</v>
      </c>
      <c r="K136" s="18">
        <f>IFERROR(_xlfn.XLOOKUP(SUBSTITUTE($B136,"AL ","HJI "),'Jetty Data'!$B$2:$B$142,'Jetty Data'!$D$2:$D$142,""),"-")</f>
        <v>19440</v>
      </c>
      <c r="L136" s="18">
        <f>IFERROR(_xlfn.XLOOKUP(SUBSTITUTE($B136,"AL ","HJI "),'Jetty Data'!$B$2:$B$142,'Jetty Data'!$E$2:$E$142,""),"-")</f>
        <v>43630</v>
      </c>
      <c r="M136" s="16">
        <f>IFERROR(_xlfn.XLOOKUP(SUBSTITUTE($B136,"AL ","HJI "),'Jetty Data'!$B$2:$B$142,'Jetty Data'!$F$2:$F$142,""),"-")</f>
        <v>0.62569444444444444</v>
      </c>
    </row>
    <row r="137" spans="1:13">
      <c r="A137" s="14">
        <v>136</v>
      </c>
      <c r="B137" s="15" t="str">
        <f>'Data Site'!A137</f>
        <v>HJI 901</v>
      </c>
      <c r="C137" s="16">
        <f>'Data Site'!B137</f>
        <v>0.7729166666666667</v>
      </c>
      <c r="D137" s="16">
        <f>'Data Site'!C137</f>
        <v>0.79236111111111107</v>
      </c>
      <c r="E137" s="17">
        <f>'Data Site'!D137</f>
        <v>50400</v>
      </c>
      <c r="F137" s="17">
        <f>'Data Site'!E137</f>
        <v>15940</v>
      </c>
      <c r="G137" s="17">
        <f>'Data Site'!F137</f>
        <v>34460</v>
      </c>
      <c r="H137" s="14" t="str">
        <f>'Data Site'!G137</f>
        <v>晴(Cerah)</v>
      </c>
      <c r="I137" s="14" t="str">
        <f>'Data Site'!H137</f>
        <v>精煤</v>
      </c>
      <c r="J137" s="18">
        <f>IFERROR(_xlfn.XLOOKUP(SUBSTITUTE($B137,"AL ","HJI "),'Jetty Data'!$B$2:$B$142,'Jetty Data'!$C$2:$C$142,""),"-")</f>
        <v>49700</v>
      </c>
      <c r="K137" s="18">
        <f>IFERROR(_xlfn.XLOOKUP(SUBSTITUTE($B137,"AL ","HJI "),'Jetty Data'!$B$2:$B$142,'Jetty Data'!$D$2:$D$142,""),"-")</f>
        <v>15980</v>
      </c>
      <c r="L137" s="18">
        <f>IFERROR(_xlfn.XLOOKUP(SUBSTITUTE($B137,"AL ","HJI "),'Jetty Data'!$B$2:$B$142,'Jetty Data'!$E$2:$E$142,""),"-")</f>
        <v>33720</v>
      </c>
      <c r="M137" s="16">
        <f>IFERROR(_xlfn.XLOOKUP(SUBSTITUTE($B137,"AL ","HJI "),'Jetty Data'!$B$2:$B$142,'Jetty Data'!$F$2:$F$142,""),"-")</f>
        <v>0.63263888888888886</v>
      </c>
    </row>
    <row r="138" spans="1:13">
      <c r="A138" s="14">
        <v>137</v>
      </c>
      <c r="B138" s="15" t="str">
        <f>'Data Site'!A138</f>
        <v>HJI 219</v>
      </c>
      <c r="C138" s="16">
        <f>'Data Site'!B138</f>
        <v>0.77222222222222225</v>
      </c>
      <c r="D138" s="16">
        <f>'Data Site'!C138</f>
        <v>0.7944444444444444</v>
      </c>
      <c r="E138" s="17">
        <f>'Data Site'!D138</f>
        <v>47460</v>
      </c>
      <c r="F138" s="17">
        <f>'Data Site'!E138</f>
        <v>14610</v>
      </c>
      <c r="G138" s="17">
        <f>'Data Site'!F138</f>
        <v>32850</v>
      </c>
      <c r="H138" s="14" t="str">
        <f>'Data Site'!G138</f>
        <v>晴(Cerah)</v>
      </c>
      <c r="I138" s="14" t="str">
        <f>'Data Site'!H138</f>
        <v>精煤</v>
      </c>
      <c r="J138" s="18">
        <f>IFERROR(_xlfn.XLOOKUP(SUBSTITUTE($B138,"AL ","HJI "),'Jetty Data'!$B$2:$B$142,'Jetty Data'!$C$2:$C$142,""),"-")</f>
        <v>49090</v>
      </c>
      <c r="K138" s="18">
        <f>IFERROR(_xlfn.XLOOKUP(SUBSTITUTE($B138,"AL ","HJI "),'Jetty Data'!$B$2:$B$142,'Jetty Data'!$D$2:$D$142,""),"-")</f>
        <v>14510</v>
      </c>
      <c r="L138" s="18">
        <f>IFERROR(_xlfn.XLOOKUP(SUBSTITUTE($B138,"AL ","HJI "),'Jetty Data'!$B$2:$B$142,'Jetty Data'!$E$2:$E$142,""),"-")</f>
        <v>34580</v>
      </c>
      <c r="M138" s="16">
        <f>IFERROR(_xlfn.XLOOKUP(SUBSTITUTE($B138,"AL ","HJI "),'Jetty Data'!$B$2:$B$142,'Jetty Data'!$F$2:$F$142,""),"-")</f>
        <v>0.65625</v>
      </c>
    </row>
    <row r="139" spans="1:13">
      <c r="A139" s="14">
        <v>138</v>
      </c>
      <c r="B139" s="15" t="str">
        <f>'Data Site'!A139</f>
        <v>HJI 829</v>
      </c>
      <c r="C139" s="16">
        <f>'Data Site'!B139</f>
        <v>0.77222222222222225</v>
      </c>
      <c r="D139" s="16">
        <f>'Data Site'!C139</f>
        <v>0.79861111111111116</v>
      </c>
      <c r="E139" s="17">
        <f>'Data Site'!D139</f>
        <v>48020</v>
      </c>
      <c r="F139" s="17">
        <f>'Data Site'!E139</f>
        <v>14850</v>
      </c>
      <c r="G139" s="17">
        <f>'Data Site'!F139</f>
        <v>33170</v>
      </c>
      <c r="H139" s="14" t="str">
        <f>'Data Site'!G139</f>
        <v>晴(Cerah)</v>
      </c>
      <c r="I139" s="14" t="str">
        <f>'Data Site'!H139</f>
        <v>精煤</v>
      </c>
      <c r="J139" s="18">
        <f>IFERROR(_xlfn.XLOOKUP(SUBSTITUTE($B139,"AL ","HJI "),'Jetty Data'!$B$2:$B$142,'Jetty Data'!$C$2:$C$142,""),"-")</f>
        <v>47720</v>
      </c>
      <c r="K139" s="18">
        <f>IFERROR(_xlfn.XLOOKUP(SUBSTITUTE($B139,"AL ","HJI "),'Jetty Data'!$B$2:$B$142,'Jetty Data'!$D$2:$D$142,""),"-")</f>
        <v>14850</v>
      </c>
      <c r="L139" s="18">
        <f>IFERROR(_xlfn.XLOOKUP(SUBSTITUTE($B139,"AL ","HJI "),'Jetty Data'!$B$2:$B$142,'Jetty Data'!$E$2:$E$142,""),"-")</f>
        <v>32870</v>
      </c>
      <c r="M139" s="16">
        <f>IFERROR(_xlfn.XLOOKUP(SUBSTITUTE($B139,"AL ","HJI "),'Jetty Data'!$B$2:$B$142,'Jetty Data'!$F$2:$F$142,""),"-")</f>
        <v>0.96458333333333335</v>
      </c>
    </row>
    <row r="140" spans="1:13">
      <c r="A140" s="14">
        <v>139</v>
      </c>
      <c r="B140" s="15" t="str">
        <f>'Data Site'!A140</f>
        <v>HJI 017</v>
      </c>
      <c r="C140" s="16">
        <f>'Data Site'!B140</f>
        <v>0.80555555555555558</v>
      </c>
      <c r="D140" s="16">
        <f>'Data Site'!C140</f>
        <v>0.80972222222222223</v>
      </c>
      <c r="E140" s="17">
        <f>'Data Site'!D140</f>
        <v>47180</v>
      </c>
      <c r="F140" s="17">
        <f>'Data Site'!E140</f>
        <v>15390</v>
      </c>
      <c r="G140" s="17">
        <f>'Data Site'!F140</f>
        <v>31790</v>
      </c>
      <c r="H140" s="14" t="str">
        <f>'Data Site'!G140</f>
        <v>晴(Cerah)</v>
      </c>
      <c r="I140" s="14" t="str">
        <f>'Data Site'!H140</f>
        <v>精煤</v>
      </c>
      <c r="J140" s="18">
        <f>IFERROR(_xlfn.XLOOKUP(SUBSTITUTE($B140,"AL ","HJI "),'Jetty Data'!$B$2:$B$142,'Jetty Data'!$C$2:$C$142,""),"-")</f>
        <v>50020</v>
      </c>
      <c r="K140" s="18">
        <f>IFERROR(_xlfn.XLOOKUP(SUBSTITUTE($B140,"AL ","HJI "),'Jetty Data'!$B$2:$B$142,'Jetty Data'!$D$2:$D$142,""),"-")</f>
        <v>15460</v>
      </c>
      <c r="L140" s="18">
        <f>IFERROR(_xlfn.XLOOKUP(SUBSTITUTE($B140,"AL ","HJI "),'Jetty Data'!$B$2:$B$142,'Jetty Data'!$E$2:$E$142,""),"-")</f>
        <v>34560</v>
      </c>
      <c r="M140" s="16">
        <f>IFERROR(_xlfn.XLOOKUP(SUBSTITUTE($B140,"AL ","HJI "),'Jetty Data'!$B$2:$B$142,'Jetty Data'!$F$2:$F$142,""),"-")</f>
        <v>0.68333333333333335</v>
      </c>
    </row>
    <row r="141" spans="1:13">
      <c r="A141" s="14">
        <v>140</v>
      </c>
      <c r="B141" s="15" t="str">
        <f>'Data Site'!A141</f>
        <v>HJI 039</v>
      </c>
      <c r="C141" s="16">
        <f>'Data Site'!B141</f>
        <v>0.80625000000000002</v>
      </c>
      <c r="D141" s="16">
        <f>'Data Site'!C141</f>
        <v>0.81319444444444444</v>
      </c>
      <c r="E141" s="17">
        <f>'Data Site'!D141</f>
        <v>48930</v>
      </c>
      <c r="F141" s="17">
        <f>'Data Site'!E141</f>
        <v>15330</v>
      </c>
      <c r="G141" s="17">
        <f>'Data Site'!F141</f>
        <v>33600</v>
      </c>
      <c r="H141" s="14" t="str">
        <f>'Data Site'!G141</f>
        <v>晴(Cerah)</v>
      </c>
      <c r="I141" s="14" t="str">
        <f>'Data Site'!H141</f>
        <v>精煤</v>
      </c>
      <c r="J141" s="18">
        <f>IFERROR(_xlfn.XLOOKUP(SUBSTITUTE($B141,"AL ","HJI "),'Jetty Data'!$B$2:$B$142,'Jetty Data'!$C$2:$C$142,""),"-")</f>
        <v>49650</v>
      </c>
      <c r="K141" s="18">
        <f>IFERROR(_xlfn.XLOOKUP(SUBSTITUTE($B141,"AL ","HJI "),'Jetty Data'!$B$2:$B$142,'Jetty Data'!$D$2:$D$142,""),"-")</f>
        <v>15430</v>
      </c>
      <c r="L141" s="18">
        <f>IFERROR(_xlfn.XLOOKUP(SUBSTITUTE($B141,"AL ","HJI "),'Jetty Data'!$B$2:$B$142,'Jetty Data'!$E$2:$E$142,""),"-")</f>
        <v>34220</v>
      </c>
      <c r="M141" s="16">
        <f>IFERROR(_xlfn.XLOOKUP(SUBSTITUTE($B141,"AL ","HJI "),'Jetty Data'!$B$2:$B$142,'Jetty Data'!$F$2:$F$142,""),"-")</f>
        <v>0.68055555555555558</v>
      </c>
    </row>
    <row r="142" spans="1:13">
      <c r="A142" s="14">
        <v>141</v>
      </c>
      <c r="B142" s="15" t="str">
        <f>'Data Site'!A142</f>
        <v>HJI 036</v>
      </c>
      <c r="C142" s="16">
        <f>'Data Site'!B142</f>
        <v>0.81111111111111112</v>
      </c>
      <c r="D142" s="16">
        <f>'Data Site'!C142</f>
        <v>0.81736111111111109</v>
      </c>
      <c r="E142" s="17">
        <f>'Data Site'!D142</f>
        <v>48660</v>
      </c>
      <c r="F142" s="17">
        <f>'Data Site'!E142</f>
        <v>15080</v>
      </c>
      <c r="G142" s="17">
        <f>'Data Site'!F142</f>
        <v>33580</v>
      </c>
      <c r="H142" s="14" t="str">
        <f>'Data Site'!G142</f>
        <v>晴(Cerah)</v>
      </c>
      <c r="I142" s="14" t="str">
        <f>'Data Site'!H142</f>
        <v>精煤</v>
      </c>
      <c r="J142" s="18">
        <f>IFERROR(_xlfn.XLOOKUP(SUBSTITUTE($B142,"AL ","HJI "),'Jetty Data'!$B$2:$B$142,'Jetty Data'!$C$2:$C$142,""),"-")</f>
        <v>46750</v>
      </c>
      <c r="K142" s="18">
        <f>IFERROR(_xlfn.XLOOKUP(SUBSTITUTE($B142,"AL ","HJI "),'Jetty Data'!$B$2:$B$142,'Jetty Data'!$D$2:$D$142,""),"-")</f>
        <v>15100</v>
      </c>
      <c r="L142" s="18">
        <f>IFERROR(_xlfn.XLOOKUP(SUBSTITUTE($B142,"AL ","HJI "),'Jetty Data'!$B$2:$B$142,'Jetty Data'!$E$2:$E$142,""),"-")</f>
        <v>31650</v>
      </c>
      <c r="M142" s="16">
        <f>IFERROR(_xlfn.XLOOKUP(SUBSTITUTE($B142,"AL ","HJI "),'Jetty Data'!$B$2:$B$142,'Jetty Data'!$F$2:$F$142,""),"-")</f>
        <v>0.68402777777777779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Jetty Data</vt:lpstr>
      <vt:lpstr>Data Site</vt:lpstr>
      <vt:lpstr>Compiled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Setiawan</dc:creator>
  <cp:lastModifiedBy>Gabriel Ksatria Rahardja</cp:lastModifiedBy>
  <cp:lastPrinted>2026-06-25T04:28:55Z</cp:lastPrinted>
  <dcterms:created xsi:type="dcterms:W3CDTF">2026-06-25T02:18:23Z</dcterms:created>
  <dcterms:modified xsi:type="dcterms:W3CDTF">2026-06-25T06:06:02Z</dcterms:modified>
</cp:coreProperties>
</file>