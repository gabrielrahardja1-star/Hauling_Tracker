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gabrielrahardja/Documents/Work/MMI/Data Hauling/"/>
    </mc:Choice>
  </mc:AlternateContent>
  <xr:revisionPtr revIDLastSave="0" documentId="8_{45E2638A-087B-8F48-8E2B-599FE91168A0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Data Jetty" sheetId="1" r:id="rId1"/>
    <sheet name="Data Site" sheetId="3" r:id="rId2"/>
    <sheet name="Compiled" sheetId="4" r:id="rId3"/>
  </sheets>
  <definedNames>
    <definedName name="_xlnm._FilterDatabase" localSheetId="1" hidden="1">'Data Site'!$A$1:$I$146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6" i="3" l="1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E148" i="1" l="1"/>
  <c r="D148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148" i="1" l="1"/>
</calcChain>
</file>

<file path=xl/sharedStrings.xml><?xml version="1.0" encoding="utf-8"?>
<sst xmlns="http://schemas.openxmlformats.org/spreadsheetml/2006/main" count="1191" uniqueCount="290">
  <si>
    <t>Tanggal</t>
  </si>
  <si>
    <t>No</t>
  </si>
  <si>
    <t>Kode DT</t>
  </si>
  <si>
    <t>Bruto</t>
  </si>
  <si>
    <t>Tare</t>
  </si>
  <si>
    <t>Netto</t>
  </si>
  <si>
    <t>Jam Tiba</t>
  </si>
  <si>
    <t>11:46</t>
  </si>
  <si>
    <t>11:56</t>
  </si>
  <si>
    <t>13:07</t>
  </si>
  <si>
    <t>13:09</t>
  </si>
  <si>
    <t>13:10</t>
  </si>
  <si>
    <t>13:11</t>
  </si>
  <si>
    <t>13:12</t>
  </si>
  <si>
    <t>13:21</t>
  </si>
  <si>
    <t>14:02</t>
  </si>
  <si>
    <t>14:16</t>
  </si>
  <si>
    <t>14:17</t>
  </si>
  <si>
    <t>14:18</t>
  </si>
  <si>
    <t>14:19</t>
  </si>
  <si>
    <t>14:20</t>
  </si>
  <si>
    <t>14:21</t>
  </si>
  <si>
    <t>14:22</t>
  </si>
  <si>
    <t>14:26</t>
  </si>
  <si>
    <t>14:27</t>
  </si>
  <si>
    <t>14:28</t>
  </si>
  <si>
    <t>14:29</t>
  </si>
  <si>
    <t>14:30</t>
  </si>
  <si>
    <t>14:32</t>
  </si>
  <si>
    <t>14:39</t>
  </si>
  <si>
    <t>14:47</t>
  </si>
  <si>
    <t>14:57</t>
  </si>
  <si>
    <t>15:01</t>
  </si>
  <si>
    <t>15:03</t>
  </si>
  <si>
    <t>15:04</t>
  </si>
  <si>
    <t>15:05</t>
  </si>
  <si>
    <t>15:06</t>
  </si>
  <si>
    <t>15:07</t>
  </si>
  <si>
    <t>15:08</t>
  </si>
  <si>
    <t>15:09</t>
  </si>
  <si>
    <t>15:11</t>
  </si>
  <si>
    <t>15:12</t>
  </si>
  <si>
    <t>15:13</t>
  </si>
  <si>
    <t>15:14</t>
  </si>
  <si>
    <t>15:15</t>
  </si>
  <si>
    <t>15:17</t>
  </si>
  <si>
    <t>15:21</t>
  </si>
  <si>
    <t>15:23</t>
  </si>
  <si>
    <t>15:24</t>
  </si>
  <si>
    <t>15:25</t>
  </si>
  <si>
    <t>15:26</t>
  </si>
  <si>
    <t>11:34</t>
  </si>
  <si>
    <t>16:00</t>
  </si>
  <si>
    <t>16:06</t>
  </si>
  <si>
    <t>16:14</t>
  </si>
  <si>
    <t>16:42</t>
  </si>
  <si>
    <t>17:00</t>
  </si>
  <si>
    <t>17:03</t>
  </si>
  <si>
    <t>17:08</t>
  </si>
  <si>
    <t>17:09</t>
  </si>
  <si>
    <t>17:10</t>
  </si>
  <si>
    <t>17:11</t>
  </si>
  <si>
    <t>17:12</t>
  </si>
  <si>
    <t>17:14</t>
  </si>
  <si>
    <t>17:20</t>
  </si>
  <si>
    <t>17:31</t>
  </si>
  <si>
    <t>17:49</t>
  </si>
  <si>
    <t>17:52</t>
  </si>
  <si>
    <t>17:53</t>
  </si>
  <si>
    <t>17:54</t>
  </si>
  <si>
    <t>18:06</t>
  </si>
  <si>
    <t>19:09</t>
  </si>
  <si>
    <t>18:09</t>
  </si>
  <si>
    <t>18:17</t>
  </si>
  <si>
    <t>18:24</t>
  </si>
  <si>
    <t>19:34</t>
  </si>
  <si>
    <t>19:36</t>
  </si>
  <si>
    <t>AL 105</t>
  </si>
  <si>
    <t>19:37</t>
  </si>
  <si>
    <t>19:38</t>
  </si>
  <si>
    <t>19:39</t>
  </si>
  <si>
    <t>19:40</t>
  </si>
  <si>
    <t>20:12</t>
  </si>
  <si>
    <t>20:13</t>
  </si>
  <si>
    <t>20:14</t>
  </si>
  <si>
    <t>20:15</t>
  </si>
  <si>
    <t>20:29</t>
  </si>
  <si>
    <t>20:30</t>
  </si>
  <si>
    <t>20:51</t>
  </si>
  <si>
    <t>20:53</t>
  </si>
  <si>
    <t>21:15</t>
  </si>
  <si>
    <t>21:16</t>
  </si>
  <si>
    <t>21:18</t>
  </si>
  <si>
    <t>21:19</t>
  </si>
  <si>
    <t>21:46</t>
  </si>
  <si>
    <t>21:47</t>
  </si>
  <si>
    <t>21:48</t>
  </si>
  <si>
    <t>21:49</t>
  </si>
  <si>
    <t>21:50</t>
  </si>
  <si>
    <t>21:52</t>
  </si>
  <si>
    <t>22:07</t>
  </si>
  <si>
    <t>22:52</t>
  </si>
  <si>
    <t>23:01</t>
  </si>
  <si>
    <t>23:02</t>
  </si>
  <si>
    <t>23:12</t>
  </si>
  <si>
    <t>23:38</t>
  </si>
  <si>
    <t>23:42</t>
  </si>
  <si>
    <t>23:43</t>
  </si>
  <si>
    <t>23:51</t>
  </si>
  <si>
    <t>23:54</t>
  </si>
  <si>
    <t>23:59</t>
  </si>
  <si>
    <t>00:00</t>
  </si>
  <si>
    <t>01:04</t>
  </si>
  <si>
    <t>01:05</t>
  </si>
  <si>
    <t>01:07</t>
  </si>
  <si>
    <t>01:08</t>
  </si>
  <si>
    <t>01:10</t>
  </si>
  <si>
    <t>01:14</t>
  </si>
  <si>
    <t>01:24</t>
  </si>
  <si>
    <t>01:36</t>
  </si>
  <si>
    <t>01:38</t>
  </si>
  <si>
    <t>01:39</t>
  </si>
  <si>
    <t>01:40</t>
  </si>
  <si>
    <t>01:41</t>
  </si>
  <si>
    <t>01:42</t>
  </si>
  <si>
    <t>01:43</t>
  </si>
  <si>
    <t>01:44</t>
  </si>
  <si>
    <t>01:45</t>
  </si>
  <si>
    <t>01:46</t>
  </si>
  <si>
    <t>01:47</t>
  </si>
  <si>
    <t>01:48</t>
  </si>
  <si>
    <t>05013</t>
  </si>
  <si>
    <t>01:49</t>
  </si>
  <si>
    <t>01:50</t>
  </si>
  <si>
    <t>01:51</t>
  </si>
  <si>
    <t>01:53</t>
  </si>
  <si>
    <t>01:54</t>
  </si>
  <si>
    <t>02:01</t>
  </si>
  <si>
    <t>03:10</t>
  </si>
  <si>
    <t>03:11</t>
  </si>
  <si>
    <t>04:22</t>
  </si>
  <si>
    <t>05:48</t>
  </si>
  <si>
    <t>06:08</t>
  </si>
  <si>
    <t>06:15</t>
  </si>
  <si>
    <t>10:41</t>
  </si>
  <si>
    <t>11:02</t>
  </si>
  <si>
    <t>13:06</t>
  </si>
  <si>
    <t>TOTAL</t>
  </si>
  <si>
    <t>HJI 193</t>
  </si>
  <si>
    <t>HJI 829</t>
  </si>
  <si>
    <t>HJI 467</t>
  </si>
  <si>
    <t>HJI 540</t>
  </si>
  <si>
    <t>HJI 542</t>
  </si>
  <si>
    <t>HJI 851</t>
  </si>
  <si>
    <t>HJI 544</t>
  </si>
  <si>
    <t>HJI 543</t>
  </si>
  <si>
    <t>HJI 856</t>
  </si>
  <si>
    <t>HJI 535</t>
  </si>
  <si>
    <t>HJI 071</t>
  </si>
  <si>
    <t>HJI 513</t>
  </si>
  <si>
    <t>HJI 517</t>
  </si>
  <si>
    <t>HJI 902</t>
  </si>
  <si>
    <t>HJI 537</t>
  </si>
  <si>
    <t>HJI 538</t>
  </si>
  <si>
    <t>HJI 534</t>
  </si>
  <si>
    <t>HJI 539</t>
  </si>
  <si>
    <t>HJI 908</t>
  </si>
  <si>
    <t>HJI 339</t>
  </si>
  <si>
    <t>HJI 633</t>
  </si>
  <si>
    <t>HJI 617</t>
  </si>
  <si>
    <t>HJI 604</t>
  </si>
  <si>
    <t>HJI 624</t>
  </si>
  <si>
    <t>HJI 515</t>
  </si>
  <si>
    <t>HJI 276</t>
  </si>
  <si>
    <t>HJI 620</t>
  </si>
  <si>
    <t>HJI 017</t>
  </si>
  <si>
    <t>HJI 631</t>
  </si>
  <si>
    <t>HJI 039</t>
  </si>
  <si>
    <t>HJI 354</t>
  </si>
  <si>
    <t>HJI 353</t>
  </si>
  <si>
    <t>HJI 401</t>
  </si>
  <si>
    <t>HJI 217</t>
  </si>
  <si>
    <t>HJI 621</t>
  </si>
  <si>
    <t>HJI 204</t>
  </si>
  <si>
    <t>HJI 164</t>
  </si>
  <si>
    <t>HJI 514</t>
  </si>
  <si>
    <t>HJI 612</t>
  </si>
  <si>
    <t>HJI 199</t>
  </si>
  <si>
    <t>HJI 162</t>
  </si>
  <si>
    <t>HJI 313</t>
  </si>
  <si>
    <t>HJI 516</t>
  </si>
  <si>
    <t>HJI 607</t>
  </si>
  <si>
    <t>HJI 600</t>
  </si>
  <si>
    <t>HJI 511</t>
  </si>
  <si>
    <t>HJI 188</t>
  </si>
  <si>
    <t>HJI 835</t>
  </si>
  <si>
    <t>HJI 327</t>
  </si>
  <si>
    <t>HJI 328</t>
  </si>
  <si>
    <t>HJI 002</t>
  </si>
  <si>
    <t>HJI 018</t>
  </si>
  <si>
    <t>HJI 060</t>
  </si>
  <si>
    <t>HJI 004</t>
  </si>
  <si>
    <t>HJI 009</t>
  </si>
  <si>
    <t>HJI 757</t>
  </si>
  <si>
    <t>HJI 760</t>
  </si>
  <si>
    <t>HJI 541</t>
  </si>
  <si>
    <t>HJI 536</t>
  </si>
  <si>
    <t>HJI 644</t>
  </si>
  <si>
    <t>HJI 602</t>
  </si>
  <si>
    <t>HJI 610</t>
  </si>
  <si>
    <t>HJI 613</t>
  </si>
  <si>
    <t>HJI 773</t>
  </si>
  <si>
    <t>HJI 791</t>
  </si>
  <si>
    <t>HJI 601</t>
  </si>
  <si>
    <t>HJI 374</t>
  </si>
  <si>
    <t>HJI 629</t>
  </si>
  <si>
    <t>HJI 611</t>
  </si>
  <si>
    <t>HJI 788</t>
  </si>
  <si>
    <t>HJI 812</t>
  </si>
  <si>
    <t>HJI 095</t>
  </si>
  <si>
    <t>HJI 427</t>
  </si>
  <si>
    <t>HJI 417</t>
  </si>
  <si>
    <t>HJI 443</t>
  </si>
  <si>
    <t>HJI 068</t>
  </si>
  <si>
    <t>HJI 794</t>
  </si>
  <si>
    <t>HJI 795</t>
  </si>
  <si>
    <t>HJI 905</t>
  </si>
  <si>
    <t>HJI 906</t>
  </si>
  <si>
    <t>HJI 907</t>
  </si>
  <si>
    <t>HJI 904</t>
  </si>
  <si>
    <t>HJI 859</t>
  </si>
  <si>
    <t>HJI 860</t>
  </si>
  <si>
    <t>HJI 861</t>
  </si>
  <si>
    <t>HJI 858</t>
  </si>
  <si>
    <t>HJI 857</t>
  </si>
  <si>
    <t>HJI 811</t>
  </si>
  <si>
    <t>HJI 069</t>
  </si>
  <si>
    <t>HJI 778</t>
  </si>
  <si>
    <t>HJI 531</t>
  </si>
  <si>
    <t>HJI 533</t>
  </si>
  <si>
    <t>HJI 777</t>
  </si>
  <si>
    <t>HJI 067</t>
  </si>
  <si>
    <t>HJI 219</t>
  </si>
  <si>
    <t>HJI 650</t>
  </si>
  <si>
    <t>HJI 901</t>
  </si>
  <si>
    <t>HJI 903</t>
  </si>
  <si>
    <t>HJI 133</t>
  </si>
  <si>
    <t>HJI 089</t>
  </si>
  <si>
    <t>HJI 169</t>
  </si>
  <si>
    <t>HJI 289</t>
  </si>
  <si>
    <t>HJI 519</t>
  </si>
  <si>
    <t>HJI 128</t>
  </si>
  <si>
    <t>HJI 286</t>
  </si>
  <si>
    <t>HJI 409</t>
  </si>
  <si>
    <t>HJI 506</t>
  </si>
  <si>
    <t>HJI 285</t>
  </si>
  <si>
    <t>HJI 502</t>
  </si>
  <si>
    <t>HJI 500</t>
  </si>
  <si>
    <t>HJI 761</t>
  </si>
  <si>
    <t>HJI 810</t>
  </si>
  <si>
    <t>HJI 784</t>
  </si>
  <si>
    <t>No. Tiket</t>
  </si>
  <si>
    <t>No Lambung</t>
  </si>
  <si>
    <t>Jam Masuk (WITA)</t>
  </si>
  <si>
    <t>Jam Keluar (WITA)</t>
  </si>
  <si>
    <t>Gross Site (KG)</t>
  </si>
  <si>
    <t>Tare Site (KG)</t>
  </si>
  <si>
    <t>Netto Site (KG)</t>
  </si>
  <si>
    <t>Cuaca (MMI)</t>
  </si>
  <si>
    <t>Coal quality</t>
    <phoneticPr fontId="2" type="noConversion"/>
  </si>
  <si>
    <t>晴(Cerah)</t>
  </si>
  <si>
    <t>精煤</t>
    <phoneticPr fontId="2" type="noConversion"/>
  </si>
  <si>
    <t>HJI 337</t>
  </si>
  <si>
    <t>HJI 215</t>
  </si>
  <si>
    <t>HJI 094</t>
  </si>
  <si>
    <t>HJI 203</t>
  </si>
  <si>
    <t>HJI 003</t>
  </si>
  <si>
    <t>HJI 469</t>
  </si>
  <si>
    <t>HJI 325</t>
  </si>
  <si>
    <t>HJI 388</t>
  </si>
  <si>
    <t>HJI 774</t>
  </si>
  <si>
    <t>HJI 609</t>
  </si>
  <si>
    <t>HJI 909</t>
  </si>
  <si>
    <t>0 5013</t>
  </si>
  <si>
    <t>No (Jetty)</t>
  </si>
  <si>
    <t>Bruto Jetty (ton)</t>
  </si>
  <si>
    <t>Tare Jetty (ton)</t>
  </si>
  <si>
    <t>Netto Jetty (ton)</t>
  </si>
  <si>
    <t>Coal Quality</t>
  </si>
  <si>
    <t>精煤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</si>
</sst>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yy"/>
    <numFmt numFmtId="165" formatCode="0.000"/>
    <numFmt numFmtId="166" formatCode="0_);[Red]\(0\)"/>
    <numFmt numFmtId="167" formatCode="0;[Red]0"/>
    <numFmt numFmtId="168" formatCode="h:mm;@"/>
  </numFmts>
  <fonts count="5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8"/>
      <color theme="1"/>
      <name val="等线"/>
      <family val="3"/>
      <charset val="134"/>
    </font>
    <font>
      <sz val="8"/>
      <color theme="1"/>
      <name val="Microsoft YaHei UI"/>
      <family val="1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rgb="FFFFC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horizontal="center" vertical="center"/>
    </xf>
    <xf numFmtId="165" fontId="0" fillId="0" borderId="0" xfId="0" applyNumberFormat="1" applyAlignment="1">
      <alignment vertical="center"/>
    </xf>
    <xf numFmtId="165" fontId="0" fillId="0" borderId="0" xfId="0" applyNumberFormat="1"/>
    <xf numFmtId="0" fontId="2" fillId="3" borderId="0" xfId="0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165" fontId="0" fillId="4" borderId="0" xfId="0" applyNumberFormat="1" applyFill="1" applyAlignment="1">
      <alignment vertical="center"/>
    </xf>
    <xf numFmtId="0" fontId="3" fillId="5" borderId="1" xfId="0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/>
    </xf>
    <xf numFmtId="20" fontId="4" fillId="6" borderId="1" xfId="0" applyNumberFormat="1" applyFont="1" applyFill="1" applyBorder="1" applyAlignment="1">
      <alignment horizontal="center" vertical="center" wrapText="1"/>
    </xf>
    <xf numFmtId="166" fontId="4" fillId="6" borderId="1" xfId="0" applyNumberFormat="1" applyFont="1" applyFill="1" applyBorder="1" applyAlignment="1">
      <alignment horizontal="center" vertical="center" wrapText="1"/>
    </xf>
    <xf numFmtId="167" fontId="4" fillId="6" borderId="1" xfId="0" applyNumberFormat="1" applyFont="1" applyFill="1" applyBorder="1" applyAlignment="1">
      <alignment horizontal="center" vertical="center" wrapText="1"/>
    </xf>
    <xf numFmtId="168" fontId="4" fillId="6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167" fontId="4" fillId="0" borderId="1" xfId="0" applyNumberFormat="1" applyFont="1" applyBorder="1" applyAlignment="1">
      <alignment horizontal="center" vertical="center" wrapText="1"/>
    </xf>
    <xf numFmtId="168" fontId="4" fillId="0" borderId="1" xfId="0" applyNumberFormat="1" applyFont="1" applyBorder="1" applyAlignment="1">
      <alignment horizontal="center" vertical="center" wrapText="1"/>
    </xf>
    <xf numFmtId="0" fontId="1" fillId="7" borderId="0" xfId="0" applyFont="1" applyFill="1" applyAlignment="1">
      <alignment horizontal="center"/>
    </xf>
    <xf numFmtId="0" fontId="0" fillId="10" borderId="0" xfId="0" applyFont="1" applyFill="1" applyAlignment="1">
      <alignment horizontal="center" vertical="center"/>
    </xf>
    <xf numFmtId="164" fontId="0" fillId="10" borderId="0" xfId="0" applyNumberFormat="1" applyFont="1" applyFill="1" applyAlignment="1">
      <alignment horizontal="center" vertical="center"/>
    </xf>
    <xf numFmtId="20" fontId="0" fillId="10" borderId="0" xfId="0" applyNumberFormat="1" applyFont="1" applyFill="1" applyAlignment="1">
      <alignment horizontal="center" vertical="center"/>
    </xf>
    <xf numFmtId="3" fontId="0" fillId="10" borderId="0" xfId="0" applyNumberFormat="1" applyFont="1" applyFill="1" applyAlignment="1">
      <alignment horizontal="center" vertical="center"/>
    </xf>
    <xf numFmtId="4" fontId="0" fillId="10" borderId="0" xfId="0" applyNumberFormat="1" applyFont="1" applyFill="1" applyAlignment="1">
      <alignment horizontal="center" vertical="center"/>
    </xf>
    <xf numFmtId="0" fontId="0" fillId="9" borderId="0" xfId="0" applyFont="1" applyFill="1" applyAlignment="1">
      <alignment horizontal="center" vertical="center"/>
    </xf>
    <xf numFmtId="164" fontId="0" fillId="9" borderId="0" xfId="0" applyNumberFormat="1" applyFont="1" applyFill="1" applyAlignment="1">
      <alignment horizontal="center" vertical="center"/>
    </xf>
    <xf numFmtId="20" fontId="0" fillId="9" borderId="0" xfId="0" applyNumberFormat="1" applyFont="1" applyFill="1" applyAlignment="1">
      <alignment horizontal="center" vertical="center"/>
    </xf>
    <xf numFmtId="3" fontId="0" fillId="9" borderId="0" xfId="0" applyNumberFormat="1" applyFont="1" applyFill="1" applyAlignment="1">
      <alignment horizontal="center" vertical="center"/>
    </xf>
    <xf numFmtId="4" fontId="0" fillId="9" borderId="0" xfId="0" applyNumberFormat="1" applyFont="1" applyFill="1" applyAlignment="1">
      <alignment horizontal="center" vertical="center"/>
    </xf>
    <xf numFmtId="49" fontId="0" fillId="11" borderId="0" xfId="0" applyNumberFormat="1" applyFill="1" applyAlignment="1">
      <alignment horizontal="center" vertical="center"/>
    </xf>
    <xf numFmtId="49" fontId="4" fillId="11" borderId="1" xfId="0" applyNumberFormat="1" applyFont="1" applyFill="1" applyBorder="1" applyAlignment="1">
      <alignment horizontal="center" vertical="center"/>
    </xf>
    <xf numFmtId="0" fontId="0" fillId="8" borderId="0" xfId="0" applyFont="1" applyFill="1" applyAlignment="1">
      <alignment horizontal="center" vertical="center"/>
    </xf>
    <xf numFmtId="164" fontId="0" fillId="8" borderId="0" xfId="0" applyNumberFormat="1" applyFont="1" applyFill="1" applyAlignment="1">
      <alignment horizontal="center" vertical="center"/>
    </xf>
    <xf numFmtId="20" fontId="0" fillId="8" borderId="0" xfId="0" applyNumberFormat="1" applyFont="1" applyFill="1" applyAlignment="1">
      <alignment horizontal="center" vertical="center"/>
    </xf>
    <xf numFmtId="3" fontId="0" fillId="8" borderId="0" xfId="0" applyNumberFormat="1" applyFont="1" applyFill="1" applyAlignment="1">
      <alignment horizontal="center" vertical="center"/>
    </xf>
    <xf numFmtId="4" fontId="0" fillId="8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eightDataTable" displayName="WeightDataTable" ref="A1:G146">
  <autoFilter ref="A1:G146" xr:uid="{00000000-000C-0000-FFFF-FFFF00000000}">
    <filterColumn colId="2">
      <filters>
        <filter val="HJI 017"/>
      </filters>
    </filterColumn>
  </autoFilter>
  <tableColumns count="7">
    <tableColumn id="1" xr3:uid="{00000000-0010-0000-0000-000001000000}" name="Tanggal"/>
    <tableColumn id="2" xr3:uid="{00000000-0010-0000-0000-000002000000}" name="No"/>
    <tableColumn id="3" xr3:uid="{00000000-0010-0000-0000-000003000000}" name="Kode DT"/>
    <tableColumn id="4" xr3:uid="{00000000-0010-0000-0000-000004000000}" name="Bruto"/>
    <tableColumn id="5" xr3:uid="{00000000-0010-0000-0000-000005000000}" name="Tare"/>
    <tableColumn id="6" xr3:uid="{00000000-0010-0000-0000-000006000000}" name="Netto"/>
    <tableColumn id="7" xr3:uid="{00000000-0010-0000-0000-000007000000}" name="Jam Tib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0D148CD-C9CF-D842-9C2F-5998B09EA5C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b148942-b4dc-4124-a119-c77a6d42386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8"/>
  <sheetViews>
    <sheetView zoomScale="233" workbookViewId="0">
      <selection activeCell="C142" sqref="C142"/>
    </sheetView>
  </sheetViews>
  <sheetFormatPr baseColWidth="10" defaultColWidth="8.83203125" defaultRowHeight="14"/>
  <cols>
    <col min="1" max="1" width="13" customWidth="1"/>
    <col min="2" max="2" width="9" customWidth="1"/>
    <col min="3" max="3" width="14" customWidth="1"/>
    <col min="4" max="6" width="12" customWidth="1"/>
    <col min="7" max="7" width="10" customWidth="1"/>
  </cols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>
      <c r="A2" s="6">
        <v>46196</v>
      </c>
      <c r="B2" s="7">
        <v>1</v>
      </c>
      <c r="C2" s="8" t="s">
        <v>148</v>
      </c>
      <c r="D2" s="2">
        <v>50.08</v>
      </c>
      <c r="E2" s="2">
        <v>14.85</v>
      </c>
      <c r="F2" s="2">
        <f t="shared" ref="F2:F33" si="0">ROUND(D2-E2,3)</f>
        <v>35.229999999999997</v>
      </c>
      <c r="G2" s="8" t="s">
        <v>7</v>
      </c>
    </row>
    <row r="3" spans="1:7" hidden="1">
      <c r="A3" s="6">
        <v>46196</v>
      </c>
      <c r="B3" s="7">
        <v>2</v>
      </c>
      <c r="C3" s="8" t="s">
        <v>149</v>
      </c>
      <c r="D3" s="2">
        <v>47.8</v>
      </c>
      <c r="E3" s="2">
        <v>14.77</v>
      </c>
      <c r="F3" s="2">
        <f t="shared" si="0"/>
        <v>33.03</v>
      </c>
      <c r="G3" s="8" t="s">
        <v>8</v>
      </c>
    </row>
    <row r="4" spans="1:7" hidden="1">
      <c r="A4" s="6">
        <v>46196</v>
      </c>
      <c r="B4" s="7">
        <v>3</v>
      </c>
      <c r="C4" s="8" t="s">
        <v>150</v>
      </c>
      <c r="D4" s="2">
        <v>87.93</v>
      </c>
      <c r="E4" s="2">
        <v>26.05</v>
      </c>
      <c r="F4" s="2">
        <f t="shared" si="0"/>
        <v>61.88</v>
      </c>
      <c r="G4" s="8" t="s">
        <v>9</v>
      </c>
    </row>
    <row r="5" spans="1:7" hidden="1">
      <c r="A5" s="6">
        <v>46196</v>
      </c>
      <c r="B5" s="7">
        <v>4</v>
      </c>
      <c r="C5" s="8" t="s">
        <v>151</v>
      </c>
      <c r="D5" s="2">
        <v>86.58</v>
      </c>
      <c r="E5" s="2">
        <v>25.73</v>
      </c>
      <c r="F5" s="2">
        <f t="shared" si="0"/>
        <v>60.85</v>
      </c>
      <c r="G5" s="8" t="s">
        <v>10</v>
      </c>
    </row>
    <row r="6" spans="1:7" hidden="1">
      <c r="A6" s="6">
        <v>46196</v>
      </c>
      <c r="B6" s="7">
        <v>5</v>
      </c>
      <c r="C6" s="8" t="s">
        <v>152</v>
      </c>
      <c r="D6" s="2">
        <v>84.66</v>
      </c>
      <c r="E6" s="2">
        <v>25.9</v>
      </c>
      <c r="F6" s="2">
        <f t="shared" si="0"/>
        <v>58.76</v>
      </c>
      <c r="G6" s="8" t="s">
        <v>11</v>
      </c>
    </row>
    <row r="7" spans="1:7" hidden="1">
      <c r="A7" s="6">
        <v>46196</v>
      </c>
      <c r="B7" s="7">
        <v>6</v>
      </c>
      <c r="C7" s="8" t="s">
        <v>153</v>
      </c>
      <c r="D7" s="2">
        <v>46.36</v>
      </c>
      <c r="E7" s="2">
        <v>14.51</v>
      </c>
      <c r="F7" s="2">
        <f t="shared" si="0"/>
        <v>31.85</v>
      </c>
      <c r="G7" s="8" t="s">
        <v>11</v>
      </c>
    </row>
    <row r="8" spans="1:7" hidden="1">
      <c r="A8" s="6">
        <v>46196</v>
      </c>
      <c r="B8" s="7">
        <v>7</v>
      </c>
      <c r="C8" s="8" t="s">
        <v>154</v>
      </c>
      <c r="D8" s="2">
        <v>80.42</v>
      </c>
      <c r="E8" s="2">
        <v>25.85</v>
      </c>
      <c r="F8" s="2">
        <f t="shared" si="0"/>
        <v>54.57</v>
      </c>
      <c r="G8" s="8" t="s">
        <v>12</v>
      </c>
    </row>
    <row r="9" spans="1:7" hidden="1">
      <c r="A9" s="6">
        <v>46196</v>
      </c>
      <c r="B9" s="7">
        <v>8</v>
      </c>
      <c r="C9" s="8" t="s">
        <v>155</v>
      </c>
      <c r="D9" s="2">
        <v>86.51</v>
      </c>
      <c r="E9" s="2">
        <v>25.76</v>
      </c>
      <c r="F9" s="2">
        <f t="shared" si="0"/>
        <v>60.75</v>
      </c>
      <c r="G9" s="8" t="s">
        <v>12</v>
      </c>
    </row>
    <row r="10" spans="1:7" hidden="1">
      <c r="A10" s="6">
        <v>46196</v>
      </c>
      <c r="B10" s="7">
        <v>9</v>
      </c>
      <c r="C10" s="8" t="s">
        <v>156</v>
      </c>
      <c r="D10" s="2">
        <v>48.29</v>
      </c>
      <c r="E10" s="2">
        <v>14.73</v>
      </c>
      <c r="F10" s="2">
        <f t="shared" si="0"/>
        <v>33.56</v>
      </c>
      <c r="G10" s="8" t="s">
        <v>13</v>
      </c>
    </row>
    <row r="11" spans="1:7" hidden="1">
      <c r="A11" s="6">
        <v>46196</v>
      </c>
      <c r="B11" s="7">
        <v>10</v>
      </c>
      <c r="C11" s="8" t="s">
        <v>157</v>
      </c>
      <c r="D11" s="2">
        <v>80.739999999999995</v>
      </c>
      <c r="E11" s="2">
        <v>26.02</v>
      </c>
      <c r="F11" s="2">
        <f t="shared" si="0"/>
        <v>54.72</v>
      </c>
      <c r="G11" s="8" t="s">
        <v>14</v>
      </c>
    </row>
    <row r="12" spans="1:7" hidden="1">
      <c r="A12" s="6">
        <v>46196</v>
      </c>
      <c r="B12" s="7">
        <v>11</v>
      </c>
      <c r="C12" s="8" t="s">
        <v>158</v>
      </c>
      <c r="D12" s="2">
        <v>48.32</v>
      </c>
      <c r="E12" s="2">
        <v>15.09</v>
      </c>
      <c r="F12" s="2">
        <f t="shared" si="0"/>
        <v>33.229999999999997</v>
      </c>
      <c r="G12" s="8" t="s">
        <v>15</v>
      </c>
    </row>
    <row r="13" spans="1:7" hidden="1">
      <c r="A13" s="6">
        <v>46196</v>
      </c>
      <c r="B13" s="7">
        <v>12</v>
      </c>
      <c r="C13" s="8" t="s">
        <v>159</v>
      </c>
      <c r="D13" s="2">
        <v>47.66</v>
      </c>
      <c r="E13" s="2">
        <v>14.74</v>
      </c>
      <c r="F13" s="2">
        <f t="shared" si="0"/>
        <v>32.92</v>
      </c>
      <c r="G13" s="8" t="s">
        <v>16</v>
      </c>
    </row>
    <row r="14" spans="1:7" hidden="1">
      <c r="A14" s="6">
        <v>46196</v>
      </c>
      <c r="B14" s="7">
        <v>13</v>
      </c>
      <c r="C14" s="8" t="s">
        <v>160</v>
      </c>
      <c r="D14" s="2">
        <v>45.17</v>
      </c>
      <c r="E14" s="2">
        <v>14.85</v>
      </c>
      <c r="F14" s="2">
        <f t="shared" si="0"/>
        <v>30.32</v>
      </c>
      <c r="G14" s="8" t="s">
        <v>17</v>
      </c>
    </row>
    <row r="15" spans="1:7" hidden="1">
      <c r="A15" s="6">
        <v>46196</v>
      </c>
      <c r="B15" s="7">
        <v>14</v>
      </c>
      <c r="C15" s="8" t="s">
        <v>161</v>
      </c>
      <c r="D15" s="2">
        <v>48.7</v>
      </c>
      <c r="E15" s="2">
        <v>15.57</v>
      </c>
      <c r="F15" s="2">
        <f t="shared" si="0"/>
        <v>33.130000000000003</v>
      </c>
      <c r="G15" s="8" t="s">
        <v>18</v>
      </c>
    </row>
    <row r="16" spans="1:7" hidden="1">
      <c r="A16" s="6">
        <v>46196</v>
      </c>
      <c r="B16" s="7">
        <v>15</v>
      </c>
      <c r="C16" s="8" t="s">
        <v>162</v>
      </c>
      <c r="D16" s="2">
        <v>86.79</v>
      </c>
      <c r="E16" s="2">
        <v>25.92</v>
      </c>
      <c r="F16" s="2">
        <f t="shared" si="0"/>
        <v>60.87</v>
      </c>
      <c r="G16" s="8" t="s">
        <v>19</v>
      </c>
    </row>
    <row r="17" spans="1:7" hidden="1">
      <c r="A17" s="6">
        <v>46196</v>
      </c>
      <c r="B17" s="7">
        <v>16</v>
      </c>
      <c r="C17" s="8" t="s">
        <v>163</v>
      </c>
      <c r="D17" s="2">
        <v>84.74</v>
      </c>
      <c r="E17" s="2">
        <v>23.18</v>
      </c>
      <c r="F17" s="2">
        <f t="shared" si="0"/>
        <v>61.56</v>
      </c>
      <c r="G17" s="8" t="s">
        <v>20</v>
      </c>
    </row>
    <row r="18" spans="1:7" hidden="1">
      <c r="A18" s="6">
        <v>46196</v>
      </c>
      <c r="B18" s="7">
        <v>17</v>
      </c>
      <c r="C18" s="8" t="s">
        <v>164</v>
      </c>
      <c r="D18" s="2">
        <v>87.53</v>
      </c>
      <c r="E18" s="2">
        <v>25.65</v>
      </c>
      <c r="F18" s="2">
        <f t="shared" si="0"/>
        <v>61.88</v>
      </c>
      <c r="G18" s="8" t="s">
        <v>21</v>
      </c>
    </row>
    <row r="19" spans="1:7" hidden="1">
      <c r="A19" s="6">
        <v>46196</v>
      </c>
      <c r="B19" s="7">
        <v>18</v>
      </c>
      <c r="C19" s="8" t="s">
        <v>165</v>
      </c>
      <c r="D19" s="2">
        <v>87.55</v>
      </c>
      <c r="E19" s="2">
        <v>26.01</v>
      </c>
      <c r="F19" s="2">
        <f t="shared" si="0"/>
        <v>61.54</v>
      </c>
      <c r="G19" s="8" t="s">
        <v>22</v>
      </c>
    </row>
    <row r="20" spans="1:7" hidden="1">
      <c r="A20" s="6">
        <v>46196</v>
      </c>
      <c r="B20" s="7">
        <v>19</v>
      </c>
      <c r="C20" s="8" t="s">
        <v>166</v>
      </c>
      <c r="D20" s="2">
        <v>50.12</v>
      </c>
      <c r="E20" s="2">
        <v>14.17</v>
      </c>
      <c r="F20" s="2">
        <f t="shared" si="0"/>
        <v>35.950000000000003</v>
      </c>
      <c r="G20" s="8" t="s">
        <v>23</v>
      </c>
    </row>
    <row r="21" spans="1:7" hidden="1">
      <c r="A21" s="6">
        <v>46196</v>
      </c>
      <c r="B21" s="7">
        <v>20</v>
      </c>
      <c r="C21" s="8" t="s">
        <v>167</v>
      </c>
      <c r="D21" s="2">
        <v>49.26</v>
      </c>
      <c r="E21" s="2">
        <v>14.48</v>
      </c>
      <c r="F21" s="2">
        <f t="shared" si="0"/>
        <v>34.78</v>
      </c>
      <c r="G21" s="8" t="s">
        <v>24</v>
      </c>
    </row>
    <row r="22" spans="1:7" hidden="1">
      <c r="A22" s="6">
        <v>46196</v>
      </c>
      <c r="B22" s="7">
        <v>21</v>
      </c>
      <c r="C22" s="8" t="s">
        <v>168</v>
      </c>
      <c r="D22" s="2">
        <v>48.36</v>
      </c>
      <c r="E22" s="2">
        <v>15.77</v>
      </c>
      <c r="F22" s="2">
        <f t="shared" si="0"/>
        <v>32.590000000000003</v>
      </c>
      <c r="G22" s="8" t="s">
        <v>25</v>
      </c>
    </row>
    <row r="23" spans="1:7" hidden="1">
      <c r="A23" s="6">
        <v>46196</v>
      </c>
      <c r="B23" s="7">
        <v>22</v>
      </c>
      <c r="C23" s="8" t="s">
        <v>169</v>
      </c>
      <c r="D23" s="2">
        <v>47.61</v>
      </c>
      <c r="E23" s="2">
        <v>14.93</v>
      </c>
      <c r="F23" s="2">
        <f t="shared" si="0"/>
        <v>32.68</v>
      </c>
      <c r="G23" s="8" t="s">
        <v>26</v>
      </c>
    </row>
    <row r="24" spans="1:7" hidden="1">
      <c r="A24" s="6">
        <v>46196</v>
      </c>
      <c r="B24" s="7">
        <v>23</v>
      </c>
      <c r="C24" s="8" t="s">
        <v>170</v>
      </c>
      <c r="D24" s="2">
        <v>48.29</v>
      </c>
      <c r="E24" s="2">
        <v>15.13</v>
      </c>
      <c r="F24" s="2">
        <f t="shared" si="0"/>
        <v>33.159999999999997</v>
      </c>
      <c r="G24" s="8" t="s">
        <v>27</v>
      </c>
    </row>
    <row r="25" spans="1:7" hidden="1">
      <c r="A25" s="6">
        <v>46196</v>
      </c>
      <c r="B25" s="7">
        <v>24</v>
      </c>
      <c r="C25" s="8" t="s">
        <v>171</v>
      </c>
      <c r="D25" s="2">
        <v>50.06</v>
      </c>
      <c r="E25" s="2">
        <v>15.6</v>
      </c>
      <c r="F25" s="2">
        <f t="shared" si="0"/>
        <v>34.46</v>
      </c>
      <c r="G25" s="8" t="s">
        <v>28</v>
      </c>
    </row>
    <row r="26" spans="1:7" hidden="1">
      <c r="A26" s="6">
        <v>46196</v>
      </c>
      <c r="B26" s="7">
        <v>25</v>
      </c>
      <c r="C26" s="8" t="s">
        <v>172</v>
      </c>
      <c r="D26" s="2">
        <v>48.65</v>
      </c>
      <c r="E26" s="2">
        <v>14.62</v>
      </c>
      <c r="F26" s="2">
        <f t="shared" si="0"/>
        <v>34.03</v>
      </c>
      <c r="G26" s="8" t="s">
        <v>29</v>
      </c>
    </row>
    <row r="27" spans="1:7" hidden="1">
      <c r="A27" s="6">
        <v>46196</v>
      </c>
      <c r="B27" s="7">
        <v>26</v>
      </c>
      <c r="C27" s="8" t="s">
        <v>173</v>
      </c>
      <c r="D27" s="2">
        <v>47.87</v>
      </c>
      <c r="E27" s="2">
        <v>15.11</v>
      </c>
      <c r="F27" s="2">
        <f t="shared" si="0"/>
        <v>32.76</v>
      </c>
      <c r="G27" s="8" t="s">
        <v>30</v>
      </c>
    </row>
    <row r="28" spans="1:7" hidden="1">
      <c r="A28" s="6">
        <v>46196</v>
      </c>
      <c r="B28" s="7">
        <v>27</v>
      </c>
      <c r="C28" s="8" t="s">
        <v>174</v>
      </c>
      <c r="D28" s="2">
        <v>49.39</v>
      </c>
      <c r="E28" s="2">
        <v>14.75</v>
      </c>
      <c r="F28" s="2">
        <f t="shared" si="0"/>
        <v>34.64</v>
      </c>
      <c r="G28" s="8" t="s">
        <v>31</v>
      </c>
    </row>
    <row r="29" spans="1:7">
      <c r="A29" s="6">
        <v>46196</v>
      </c>
      <c r="B29" s="7">
        <v>28</v>
      </c>
      <c r="C29" s="8" t="s">
        <v>175</v>
      </c>
      <c r="D29" s="2">
        <v>48.19</v>
      </c>
      <c r="E29" s="2">
        <v>15.48</v>
      </c>
      <c r="F29" s="2">
        <f t="shared" si="0"/>
        <v>32.71</v>
      </c>
      <c r="G29" s="8" t="s">
        <v>32</v>
      </c>
    </row>
    <row r="30" spans="1:7" hidden="1">
      <c r="A30" s="6">
        <v>46196</v>
      </c>
      <c r="B30" s="7">
        <v>29</v>
      </c>
      <c r="C30" s="8" t="s">
        <v>176</v>
      </c>
      <c r="D30" s="2">
        <v>47.21</v>
      </c>
      <c r="E30" s="2">
        <v>15.97</v>
      </c>
      <c r="F30" s="2">
        <f t="shared" si="0"/>
        <v>31.24</v>
      </c>
      <c r="G30" s="8" t="s">
        <v>33</v>
      </c>
    </row>
    <row r="31" spans="1:7" hidden="1">
      <c r="A31" s="6">
        <v>46196</v>
      </c>
      <c r="B31" s="7">
        <v>30</v>
      </c>
      <c r="C31" s="8" t="s">
        <v>177</v>
      </c>
      <c r="D31" s="2">
        <v>48.75</v>
      </c>
      <c r="E31" s="2">
        <v>15.44</v>
      </c>
      <c r="F31" s="2">
        <f t="shared" si="0"/>
        <v>33.31</v>
      </c>
      <c r="G31" s="8" t="s">
        <v>34</v>
      </c>
    </row>
    <row r="32" spans="1:7" hidden="1">
      <c r="A32" s="6">
        <v>46196</v>
      </c>
      <c r="B32" s="7">
        <v>31</v>
      </c>
      <c r="C32" s="8" t="s">
        <v>178</v>
      </c>
      <c r="D32" s="2">
        <v>44.65</v>
      </c>
      <c r="E32" s="2">
        <v>12.78</v>
      </c>
      <c r="F32" s="2">
        <f t="shared" si="0"/>
        <v>31.87</v>
      </c>
      <c r="G32" s="8" t="s">
        <v>35</v>
      </c>
    </row>
    <row r="33" spans="1:7" hidden="1">
      <c r="A33" s="6">
        <v>46196</v>
      </c>
      <c r="B33" s="7">
        <v>32</v>
      </c>
      <c r="C33" s="8" t="s">
        <v>179</v>
      </c>
      <c r="D33" s="2">
        <v>47.57</v>
      </c>
      <c r="E33" s="2">
        <v>13.36</v>
      </c>
      <c r="F33" s="2">
        <f t="shared" si="0"/>
        <v>34.21</v>
      </c>
      <c r="G33" s="8" t="s">
        <v>36</v>
      </c>
    </row>
    <row r="34" spans="1:7" hidden="1">
      <c r="A34" s="6">
        <v>46196</v>
      </c>
      <c r="B34" s="7">
        <v>33</v>
      </c>
      <c r="C34" s="8" t="s">
        <v>180</v>
      </c>
      <c r="D34" s="2">
        <v>46.63</v>
      </c>
      <c r="E34" s="2">
        <v>12.93</v>
      </c>
      <c r="F34" s="2">
        <f t="shared" ref="F34:F65" si="1">ROUND(D34-E34,3)</f>
        <v>33.700000000000003</v>
      </c>
      <c r="G34" s="8" t="s">
        <v>37</v>
      </c>
    </row>
    <row r="35" spans="1:7" hidden="1">
      <c r="A35" s="6">
        <v>46196</v>
      </c>
      <c r="B35" s="7">
        <v>34</v>
      </c>
      <c r="C35" s="8" t="s">
        <v>181</v>
      </c>
      <c r="D35" s="2">
        <v>49.49</v>
      </c>
      <c r="E35" s="2">
        <v>14.05</v>
      </c>
      <c r="F35" s="2">
        <f t="shared" si="1"/>
        <v>35.44</v>
      </c>
      <c r="G35" s="8" t="s">
        <v>38</v>
      </c>
    </row>
    <row r="36" spans="1:7" hidden="1">
      <c r="A36" s="6">
        <v>46196</v>
      </c>
      <c r="B36" s="7">
        <v>35</v>
      </c>
      <c r="C36" s="8" t="s">
        <v>274</v>
      </c>
      <c r="D36" s="2">
        <v>48.4</v>
      </c>
      <c r="E36" s="2">
        <v>14.21</v>
      </c>
      <c r="F36" s="2">
        <f t="shared" si="1"/>
        <v>34.19</v>
      </c>
      <c r="G36" s="8" t="s">
        <v>39</v>
      </c>
    </row>
    <row r="37" spans="1:7" hidden="1">
      <c r="A37" s="6">
        <v>46196</v>
      </c>
      <c r="B37" s="7">
        <v>36</v>
      </c>
      <c r="C37" s="8" t="s">
        <v>182</v>
      </c>
      <c r="D37" s="2">
        <v>47.92</v>
      </c>
      <c r="E37" s="2">
        <v>15.18</v>
      </c>
      <c r="F37" s="2">
        <f t="shared" si="1"/>
        <v>32.74</v>
      </c>
      <c r="G37" s="8" t="s">
        <v>40</v>
      </c>
    </row>
    <row r="38" spans="1:7" hidden="1">
      <c r="A38" s="6">
        <v>46196</v>
      </c>
      <c r="B38" s="7">
        <v>37</v>
      </c>
      <c r="C38" s="8" t="s">
        <v>183</v>
      </c>
      <c r="D38" s="2">
        <v>48.02</v>
      </c>
      <c r="E38" s="2">
        <v>15.13</v>
      </c>
      <c r="F38" s="2">
        <f t="shared" si="1"/>
        <v>32.89</v>
      </c>
      <c r="G38" s="8" t="s">
        <v>41</v>
      </c>
    </row>
    <row r="39" spans="1:7" hidden="1">
      <c r="A39" s="6">
        <v>46196</v>
      </c>
      <c r="B39" s="7">
        <v>38</v>
      </c>
      <c r="C39" s="8" t="s">
        <v>184</v>
      </c>
      <c r="D39" s="2">
        <v>47.22</v>
      </c>
      <c r="E39" s="2">
        <v>14.24</v>
      </c>
      <c r="F39" s="2">
        <f t="shared" si="1"/>
        <v>32.979999999999997</v>
      </c>
      <c r="G39" s="8" t="s">
        <v>42</v>
      </c>
    </row>
    <row r="40" spans="1:7" hidden="1">
      <c r="A40" s="6">
        <v>46196</v>
      </c>
      <c r="B40" s="7">
        <v>39</v>
      </c>
      <c r="C40" s="8" t="s">
        <v>185</v>
      </c>
      <c r="D40" s="2">
        <v>49.81</v>
      </c>
      <c r="E40" s="2">
        <v>14.59</v>
      </c>
      <c r="F40" s="2">
        <f t="shared" si="1"/>
        <v>35.22</v>
      </c>
      <c r="G40" s="8" t="s">
        <v>43</v>
      </c>
    </row>
    <row r="41" spans="1:7" hidden="1">
      <c r="A41" s="6">
        <v>46196</v>
      </c>
      <c r="B41" s="7">
        <v>40</v>
      </c>
      <c r="C41" s="8" t="s">
        <v>186</v>
      </c>
      <c r="D41" s="2">
        <v>48.76</v>
      </c>
      <c r="E41" s="2">
        <v>15</v>
      </c>
      <c r="F41" s="2">
        <f t="shared" si="1"/>
        <v>33.76</v>
      </c>
      <c r="G41" s="8" t="s">
        <v>44</v>
      </c>
    </row>
    <row r="42" spans="1:7" hidden="1">
      <c r="A42" s="6">
        <v>46196</v>
      </c>
      <c r="B42" s="7">
        <v>41</v>
      </c>
      <c r="C42" s="8" t="s">
        <v>187</v>
      </c>
      <c r="D42" s="2">
        <v>47.33</v>
      </c>
      <c r="E42" s="2">
        <v>14.66</v>
      </c>
      <c r="F42" s="2">
        <f t="shared" si="1"/>
        <v>32.67</v>
      </c>
      <c r="G42" s="8" t="s">
        <v>45</v>
      </c>
    </row>
    <row r="43" spans="1:7" hidden="1">
      <c r="A43" s="6">
        <v>46196</v>
      </c>
      <c r="B43" s="7">
        <v>42</v>
      </c>
      <c r="C43" s="8" t="s">
        <v>188</v>
      </c>
      <c r="D43" s="2">
        <v>48.52</v>
      </c>
      <c r="E43" s="2">
        <v>15.06</v>
      </c>
      <c r="F43" s="2">
        <f t="shared" si="1"/>
        <v>33.46</v>
      </c>
      <c r="G43" s="8" t="s">
        <v>46</v>
      </c>
    </row>
    <row r="44" spans="1:7" hidden="1">
      <c r="A44" s="6">
        <v>46196</v>
      </c>
      <c r="B44" s="7">
        <v>43</v>
      </c>
      <c r="C44" s="8" t="s">
        <v>189</v>
      </c>
      <c r="D44" s="2">
        <v>65.153999999999996</v>
      </c>
      <c r="E44" s="2">
        <v>19.510000000000002</v>
      </c>
      <c r="F44" s="2">
        <f t="shared" si="1"/>
        <v>45.643999999999998</v>
      </c>
      <c r="G44" s="8" t="s">
        <v>47</v>
      </c>
    </row>
    <row r="45" spans="1:7" hidden="1">
      <c r="A45" s="6">
        <v>46196</v>
      </c>
      <c r="B45" s="7">
        <v>44</v>
      </c>
      <c r="C45" s="8" t="s">
        <v>190</v>
      </c>
      <c r="D45" s="2">
        <v>50.61</v>
      </c>
      <c r="E45" s="2">
        <v>14.75</v>
      </c>
      <c r="F45" s="2">
        <f t="shared" si="1"/>
        <v>35.86</v>
      </c>
      <c r="G45" s="8" t="s">
        <v>47</v>
      </c>
    </row>
    <row r="46" spans="1:7" hidden="1">
      <c r="A46" s="6">
        <v>46196</v>
      </c>
      <c r="B46" s="7">
        <v>45</v>
      </c>
      <c r="C46" s="8" t="s">
        <v>191</v>
      </c>
      <c r="D46" s="2">
        <v>47.69</v>
      </c>
      <c r="E46" s="2">
        <v>15.43</v>
      </c>
      <c r="F46" s="2">
        <f t="shared" si="1"/>
        <v>32.26</v>
      </c>
      <c r="G46" s="8" t="s">
        <v>48</v>
      </c>
    </row>
    <row r="47" spans="1:7" hidden="1">
      <c r="A47" s="6">
        <v>46196</v>
      </c>
      <c r="B47" s="7">
        <v>46</v>
      </c>
      <c r="C47" s="8" t="s">
        <v>192</v>
      </c>
      <c r="D47" s="2">
        <v>51.12</v>
      </c>
      <c r="E47" s="2">
        <v>15.57</v>
      </c>
      <c r="F47" s="2">
        <f t="shared" si="1"/>
        <v>35.549999999999997</v>
      </c>
      <c r="G47" s="8" t="s">
        <v>49</v>
      </c>
    </row>
    <row r="48" spans="1:7" hidden="1">
      <c r="A48" s="6">
        <v>46196</v>
      </c>
      <c r="B48" s="7">
        <v>47</v>
      </c>
      <c r="C48" s="8" t="s">
        <v>193</v>
      </c>
      <c r="D48" s="2">
        <v>48.04</v>
      </c>
      <c r="E48" s="2">
        <v>14.84</v>
      </c>
      <c r="F48" s="2">
        <f t="shared" si="1"/>
        <v>33.200000000000003</v>
      </c>
      <c r="G48" s="8" t="s">
        <v>50</v>
      </c>
    </row>
    <row r="49" spans="1:7" hidden="1">
      <c r="A49" s="6">
        <v>46196</v>
      </c>
      <c r="B49" s="7">
        <v>48</v>
      </c>
      <c r="C49" s="8" t="s">
        <v>194</v>
      </c>
      <c r="D49" s="2">
        <v>48.65</v>
      </c>
      <c r="E49" s="2">
        <v>14.34</v>
      </c>
      <c r="F49" s="2">
        <f t="shared" si="1"/>
        <v>34.31</v>
      </c>
      <c r="G49" s="8" t="s">
        <v>51</v>
      </c>
    </row>
    <row r="50" spans="1:7" hidden="1">
      <c r="A50" s="6">
        <v>46196</v>
      </c>
      <c r="B50" s="7">
        <v>49</v>
      </c>
      <c r="C50" s="8" t="s">
        <v>272</v>
      </c>
      <c r="D50" s="2">
        <v>49.75</v>
      </c>
      <c r="E50" s="2">
        <v>14.42</v>
      </c>
      <c r="F50" s="2">
        <f t="shared" si="1"/>
        <v>35.33</v>
      </c>
      <c r="G50" s="8" t="s">
        <v>52</v>
      </c>
    </row>
    <row r="51" spans="1:7" hidden="1">
      <c r="A51" s="6">
        <v>46196</v>
      </c>
      <c r="B51" s="7">
        <v>50</v>
      </c>
      <c r="C51" s="8" t="s">
        <v>195</v>
      </c>
      <c r="D51" s="2">
        <v>50.57</v>
      </c>
      <c r="E51" s="2">
        <v>15.01</v>
      </c>
      <c r="F51" s="2">
        <f t="shared" si="1"/>
        <v>35.56</v>
      </c>
      <c r="G51" s="8" t="s">
        <v>53</v>
      </c>
    </row>
    <row r="52" spans="1:7" hidden="1">
      <c r="A52" s="6">
        <v>46196</v>
      </c>
      <c r="B52" s="7">
        <v>51</v>
      </c>
      <c r="C52" s="8" t="s">
        <v>275</v>
      </c>
      <c r="D52" s="2">
        <v>52.29</v>
      </c>
      <c r="E52" s="2">
        <v>14.83</v>
      </c>
      <c r="F52" s="2">
        <f t="shared" si="1"/>
        <v>37.46</v>
      </c>
      <c r="G52" s="8" t="s">
        <v>54</v>
      </c>
    </row>
    <row r="53" spans="1:7" hidden="1">
      <c r="A53" s="6">
        <v>46196</v>
      </c>
      <c r="B53" s="7">
        <v>52</v>
      </c>
      <c r="C53" s="8" t="s">
        <v>196</v>
      </c>
      <c r="D53" s="2">
        <v>48.84</v>
      </c>
      <c r="E53" s="2">
        <v>14.78</v>
      </c>
      <c r="F53" s="2">
        <f t="shared" si="1"/>
        <v>34.06</v>
      </c>
      <c r="G53" s="8" t="s">
        <v>55</v>
      </c>
    </row>
    <row r="54" spans="1:7" hidden="1">
      <c r="A54" s="6">
        <v>46196</v>
      </c>
      <c r="B54" s="7">
        <v>53</v>
      </c>
      <c r="C54" s="8" t="s">
        <v>197</v>
      </c>
      <c r="D54" s="2">
        <v>48.51</v>
      </c>
      <c r="E54" s="2">
        <v>14.33</v>
      </c>
      <c r="F54" s="2">
        <f t="shared" si="1"/>
        <v>34.18</v>
      </c>
      <c r="G54" s="8" t="s">
        <v>55</v>
      </c>
    </row>
    <row r="55" spans="1:7" hidden="1">
      <c r="A55" s="6">
        <v>46196</v>
      </c>
      <c r="B55" s="7">
        <v>54</v>
      </c>
      <c r="C55" s="8" t="s">
        <v>198</v>
      </c>
      <c r="D55" s="2">
        <v>43.13</v>
      </c>
      <c r="E55" s="2">
        <v>13.15</v>
      </c>
      <c r="F55" s="2">
        <f t="shared" si="1"/>
        <v>29.98</v>
      </c>
      <c r="G55" s="8" t="s">
        <v>56</v>
      </c>
    </row>
    <row r="56" spans="1:7" hidden="1">
      <c r="A56" s="6">
        <v>46196</v>
      </c>
      <c r="B56" s="7">
        <v>55</v>
      </c>
      <c r="C56" s="8" t="s">
        <v>199</v>
      </c>
      <c r="D56" s="2">
        <v>47.77</v>
      </c>
      <c r="E56" s="2">
        <v>13.82</v>
      </c>
      <c r="F56" s="2">
        <f t="shared" si="1"/>
        <v>33.950000000000003</v>
      </c>
      <c r="G56" s="8" t="s">
        <v>57</v>
      </c>
    </row>
    <row r="57" spans="1:7" hidden="1">
      <c r="A57" s="6">
        <v>46196</v>
      </c>
      <c r="B57" s="7">
        <v>56</v>
      </c>
      <c r="C57" s="8" t="s">
        <v>273</v>
      </c>
      <c r="D57" s="2">
        <v>48.79</v>
      </c>
      <c r="E57" s="2">
        <v>14</v>
      </c>
      <c r="F57" s="2">
        <f t="shared" si="1"/>
        <v>34.79</v>
      </c>
      <c r="G57" s="8" t="s">
        <v>58</v>
      </c>
    </row>
    <row r="58" spans="1:7" hidden="1">
      <c r="A58" s="6">
        <v>46196</v>
      </c>
      <c r="B58" s="7">
        <v>57</v>
      </c>
      <c r="C58" s="8" t="s">
        <v>200</v>
      </c>
      <c r="D58" s="2">
        <v>46.8</v>
      </c>
      <c r="E58" s="2">
        <v>13.22</v>
      </c>
      <c r="F58" s="2">
        <f t="shared" si="1"/>
        <v>33.58</v>
      </c>
      <c r="G58" s="8" t="s">
        <v>59</v>
      </c>
    </row>
    <row r="59" spans="1:7" hidden="1">
      <c r="A59" s="6">
        <v>46196</v>
      </c>
      <c r="B59" s="7">
        <v>58</v>
      </c>
      <c r="C59" s="8" t="s">
        <v>201</v>
      </c>
      <c r="D59" s="2">
        <v>47.9</v>
      </c>
      <c r="E59" s="2">
        <v>12.93</v>
      </c>
      <c r="F59" s="2">
        <f t="shared" si="1"/>
        <v>34.97</v>
      </c>
      <c r="G59" s="8" t="s">
        <v>60</v>
      </c>
    </row>
    <row r="60" spans="1:7" hidden="1">
      <c r="A60" s="6">
        <v>46196</v>
      </c>
      <c r="B60" s="7">
        <v>59</v>
      </c>
      <c r="C60" s="8" t="s">
        <v>276</v>
      </c>
      <c r="D60" s="2">
        <v>47.37</v>
      </c>
      <c r="E60" s="2">
        <v>13</v>
      </c>
      <c r="F60" s="2">
        <f t="shared" si="1"/>
        <v>34.369999999999997</v>
      </c>
      <c r="G60" s="8" t="s">
        <v>61</v>
      </c>
    </row>
    <row r="61" spans="1:7" hidden="1">
      <c r="A61" s="6">
        <v>46196</v>
      </c>
      <c r="B61" s="7">
        <v>60</v>
      </c>
      <c r="C61" s="8" t="s">
        <v>202</v>
      </c>
      <c r="D61" s="2">
        <v>45.61</v>
      </c>
      <c r="E61" s="2">
        <v>13.33</v>
      </c>
      <c r="F61" s="2">
        <f t="shared" si="1"/>
        <v>32.28</v>
      </c>
      <c r="G61" s="8" t="s">
        <v>62</v>
      </c>
    </row>
    <row r="62" spans="1:7" hidden="1">
      <c r="A62" s="6">
        <v>46196</v>
      </c>
      <c r="B62" s="7">
        <v>61</v>
      </c>
      <c r="C62" s="8" t="s">
        <v>203</v>
      </c>
      <c r="D62" s="2">
        <v>48.24</v>
      </c>
      <c r="E62" s="2">
        <v>15.08</v>
      </c>
      <c r="F62" s="2">
        <f t="shared" si="1"/>
        <v>33.159999999999997</v>
      </c>
      <c r="G62" s="8" t="s">
        <v>63</v>
      </c>
    </row>
    <row r="63" spans="1:7" hidden="1">
      <c r="A63" s="6">
        <v>46196</v>
      </c>
      <c r="B63" s="7">
        <v>62</v>
      </c>
      <c r="C63" s="8" t="s">
        <v>204</v>
      </c>
      <c r="D63" s="2">
        <v>47.58</v>
      </c>
      <c r="E63" s="2">
        <v>14.27</v>
      </c>
      <c r="F63" s="2">
        <f t="shared" si="1"/>
        <v>33.31</v>
      </c>
      <c r="G63" s="8" t="s">
        <v>63</v>
      </c>
    </row>
    <row r="64" spans="1:7" hidden="1">
      <c r="A64" s="6">
        <v>46196</v>
      </c>
      <c r="B64" s="7">
        <v>63</v>
      </c>
      <c r="C64" s="8" t="s">
        <v>277</v>
      </c>
      <c r="D64" s="2">
        <v>49.27</v>
      </c>
      <c r="E64" s="2">
        <v>15.41</v>
      </c>
      <c r="F64" s="2">
        <f t="shared" si="1"/>
        <v>33.86</v>
      </c>
      <c r="G64" s="8" t="s">
        <v>64</v>
      </c>
    </row>
    <row r="65" spans="1:7" hidden="1">
      <c r="A65" s="6">
        <v>46196</v>
      </c>
      <c r="B65" s="7">
        <v>64</v>
      </c>
      <c r="C65" s="8" t="s">
        <v>205</v>
      </c>
      <c r="D65" s="2">
        <v>85.6</v>
      </c>
      <c r="E65" s="2">
        <v>26.6</v>
      </c>
      <c r="F65" s="2">
        <f t="shared" si="1"/>
        <v>59</v>
      </c>
      <c r="G65" s="8" t="s">
        <v>65</v>
      </c>
    </row>
    <row r="66" spans="1:7" hidden="1">
      <c r="A66" s="6">
        <v>46196</v>
      </c>
      <c r="B66" s="7">
        <v>65</v>
      </c>
      <c r="C66" s="8" t="s">
        <v>206</v>
      </c>
      <c r="D66" s="2">
        <v>88.28</v>
      </c>
      <c r="E66" s="2">
        <v>26.38</v>
      </c>
      <c r="F66" s="2">
        <f t="shared" ref="F66:F97" si="2">ROUND(D66-E66,3)</f>
        <v>61.9</v>
      </c>
      <c r="G66" s="8" t="s">
        <v>65</v>
      </c>
    </row>
    <row r="67" spans="1:7" hidden="1">
      <c r="A67" s="6">
        <v>46196</v>
      </c>
      <c r="B67" s="7">
        <v>66</v>
      </c>
      <c r="C67" s="8" t="s">
        <v>207</v>
      </c>
      <c r="D67" s="2">
        <v>49.03</v>
      </c>
      <c r="E67" s="2">
        <v>15.73</v>
      </c>
      <c r="F67" s="2">
        <f t="shared" si="2"/>
        <v>33.299999999999997</v>
      </c>
      <c r="G67" s="8" t="s">
        <v>66</v>
      </c>
    </row>
    <row r="68" spans="1:7" hidden="1">
      <c r="A68" s="6">
        <v>46196</v>
      </c>
      <c r="B68" s="7">
        <v>67</v>
      </c>
      <c r="C68" s="8" t="s">
        <v>208</v>
      </c>
      <c r="D68" s="2">
        <v>49.4</v>
      </c>
      <c r="E68" s="2">
        <v>15.89</v>
      </c>
      <c r="F68" s="2">
        <f t="shared" si="2"/>
        <v>33.51</v>
      </c>
      <c r="G68" s="8" t="s">
        <v>67</v>
      </c>
    </row>
    <row r="69" spans="1:7" hidden="1">
      <c r="A69" s="6">
        <v>46196</v>
      </c>
      <c r="B69" s="7">
        <v>68</v>
      </c>
      <c r="C69" s="8" t="s">
        <v>209</v>
      </c>
      <c r="D69" s="2">
        <v>49.45</v>
      </c>
      <c r="E69" s="2">
        <v>15.32</v>
      </c>
      <c r="F69" s="2">
        <f t="shared" si="2"/>
        <v>34.130000000000003</v>
      </c>
      <c r="G69" s="8" t="s">
        <v>68</v>
      </c>
    </row>
    <row r="70" spans="1:7" hidden="1">
      <c r="A70" s="6">
        <v>46196</v>
      </c>
      <c r="B70" s="7">
        <v>69</v>
      </c>
      <c r="C70" s="8" t="s">
        <v>210</v>
      </c>
      <c r="D70" s="2">
        <v>49.81</v>
      </c>
      <c r="E70" s="2">
        <v>15.28</v>
      </c>
      <c r="F70" s="2">
        <f t="shared" si="2"/>
        <v>34.53</v>
      </c>
      <c r="G70" s="8" t="s">
        <v>69</v>
      </c>
    </row>
    <row r="71" spans="1:7" hidden="1">
      <c r="A71" s="6">
        <v>46196</v>
      </c>
      <c r="B71" s="7">
        <v>70</v>
      </c>
      <c r="C71" s="8" t="s">
        <v>211</v>
      </c>
      <c r="D71" s="2">
        <v>48.95</v>
      </c>
      <c r="E71" s="2">
        <v>14.47</v>
      </c>
      <c r="F71" s="2">
        <f t="shared" si="2"/>
        <v>34.479999999999997</v>
      </c>
      <c r="G71" s="8" t="s">
        <v>70</v>
      </c>
    </row>
    <row r="72" spans="1:7" hidden="1">
      <c r="A72" s="6">
        <v>46196</v>
      </c>
      <c r="B72" s="7">
        <v>71</v>
      </c>
      <c r="C72" s="8" t="s">
        <v>212</v>
      </c>
      <c r="D72" s="2">
        <v>46.25</v>
      </c>
      <c r="E72" s="2">
        <v>14.94</v>
      </c>
      <c r="F72" s="2">
        <f t="shared" si="2"/>
        <v>31.31</v>
      </c>
      <c r="G72" s="8" t="s">
        <v>71</v>
      </c>
    </row>
    <row r="73" spans="1:7" hidden="1">
      <c r="A73" s="6">
        <v>46196</v>
      </c>
      <c r="B73" s="7">
        <v>72</v>
      </c>
      <c r="C73" s="8" t="s">
        <v>213</v>
      </c>
      <c r="D73" s="2">
        <v>45.23</v>
      </c>
      <c r="E73" s="2">
        <v>14.72</v>
      </c>
      <c r="F73" s="2">
        <f t="shared" si="2"/>
        <v>30.51</v>
      </c>
      <c r="G73" s="8" t="s">
        <v>72</v>
      </c>
    </row>
    <row r="74" spans="1:7" hidden="1">
      <c r="A74" s="6">
        <v>46196</v>
      </c>
      <c r="B74" s="7">
        <v>73</v>
      </c>
      <c r="C74" s="8" t="s">
        <v>280</v>
      </c>
      <c r="D74" s="2">
        <v>49.52</v>
      </c>
      <c r="E74" s="2">
        <v>15.16</v>
      </c>
      <c r="F74" s="2">
        <f t="shared" si="2"/>
        <v>34.36</v>
      </c>
      <c r="G74" s="8" t="s">
        <v>73</v>
      </c>
    </row>
    <row r="75" spans="1:7" hidden="1">
      <c r="A75" s="6">
        <v>46196</v>
      </c>
      <c r="B75" s="7">
        <v>74</v>
      </c>
      <c r="C75" s="8" t="s">
        <v>214</v>
      </c>
      <c r="D75" s="2">
        <v>49.24</v>
      </c>
      <c r="E75" s="2">
        <v>15.44</v>
      </c>
      <c r="F75" s="2">
        <f t="shared" si="2"/>
        <v>33.799999999999997</v>
      </c>
      <c r="G75" s="8" t="s">
        <v>74</v>
      </c>
    </row>
    <row r="76" spans="1:7" hidden="1">
      <c r="A76" s="6">
        <v>46196</v>
      </c>
      <c r="B76" s="7">
        <v>75</v>
      </c>
      <c r="C76" s="8" t="s">
        <v>215</v>
      </c>
      <c r="D76" s="2">
        <v>45.77</v>
      </c>
      <c r="E76" s="2">
        <v>13.82</v>
      </c>
      <c r="F76" s="2">
        <f t="shared" si="2"/>
        <v>31.95</v>
      </c>
      <c r="G76" s="8" t="s">
        <v>75</v>
      </c>
    </row>
    <row r="77" spans="1:7" hidden="1">
      <c r="A77" s="6">
        <v>46196</v>
      </c>
      <c r="B77" s="7">
        <v>76</v>
      </c>
      <c r="C77" s="8" t="s">
        <v>281</v>
      </c>
      <c r="D77" s="2">
        <v>47.03</v>
      </c>
      <c r="E77" s="2">
        <v>15.44</v>
      </c>
      <c r="F77" s="2">
        <f t="shared" si="2"/>
        <v>31.59</v>
      </c>
      <c r="G77" s="8" t="s">
        <v>75</v>
      </c>
    </row>
    <row r="78" spans="1:7" hidden="1">
      <c r="A78" s="6">
        <v>46196</v>
      </c>
      <c r="B78" s="7">
        <v>77</v>
      </c>
      <c r="C78" s="8" t="s">
        <v>216</v>
      </c>
      <c r="D78" s="2">
        <v>47.03</v>
      </c>
      <c r="E78" s="2">
        <v>15.01</v>
      </c>
      <c r="F78" s="2">
        <f t="shared" si="2"/>
        <v>32.020000000000003</v>
      </c>
      <c r="G78" s="8" t="s">
        <v>76</v>
      </c>
    </row>
    <row r="79" spans="1:7" hidden="1">
      <c r="A79" s="9">
        <v>46196</v>
      </c>
      <c r="B79" s="10">
        <v>78</v>
      </c>
      <c r="C79" s="11" t="s">
        <v>77</v>
      </c>
      <c r="D79" s="12">
        <v>49.57</v>
      </c>
      <c r="E79" s="12">
        <v>15.29</v>
      </c>
      <c r="F79" s="12">
        <f t="shared" si="2"/>
        <v>34.28</v>
      </c>
      <c r="G79" s="11" t="s">
        <v>78</v>
      </c>
    </row>
    <row r="80" spans="1:7" hidden="1">
      <c r="A80" s="6">
        <v>46196</v>
      </c>
      <c r="B80" s="7">
        <v>79</v>
      </c>
      <c r="C80" s="8" t="s">
        <v>217</v>
      </c>
      <c r="D80" s="2">
        <v>49.02</v>
      </c>
      <c r="E80" s="2">
        <v>15.15</v>
      </c>
      <c r="F80" s="2">
        <f t="shared" si="2"/>
        <v>33.869999999999997</v>
      </c>
      <c r="G80" s="8" t="s">
        <v>79</v>
      </c>
    </row>
    <row r="81" spans="1:7" hidden="1">
      <c r="A81" s="6">
        <v>46196</v>
      </c>
      <c r="B81" s="7">
        <v>80</v>
      </c>
      <c r="C81" s="8" t="s">
        <v>279</v>
      </c>
      <c r="D81" s="2">
        <v>46.93</v>
      </c>
      <c r="E81" s="2">
        <v>14.69</v>
      </c>
      <c r="F81" s="2">
        <f t="shared" si="2"/>
        <v>32.24</v>
      </c>
      <c r="G81" s="8" t="s">
        <v>80</v>
      </c>
    </row>
    <row r="82" spans="1:7" hidden="1">
      <c r="A82" s="6">
        <v>46196</v>
      </c>
      <c r="B82" s="7">
        <v>81</v>
      </c>
      <c r="C82" s="8" t="s">
        <v>218</v>
      </c>
      <c r="D82" s="2">
        <v>49.84</v>
      </c>
      <c r="E82" s="2">
        <v>14.57</v>
      </c>
      <c r="F82" s="2">
        <f t="shared" si="2"/>
        <v>35.270000000000003</v>
      </c>
      <c r="G82" s="8" t="s">
        <v>81</v>
      </c>
    </row>
    <row r="83" spans="1:7" hidden="1">
      <c r="A83" s="6">
        <v>46196</v>
      </c>
      <c r="B83" s="7">
        <v>82</v>
      </c>
      <c r="C83" s="8" t="s">
        <v>219</v>
      </c>
      <c r="D83" s="2">
        <v>46.21</v>
      </c>
      <c r="E83" s="2">
        <v>14.68</v>
      </c>
      <c r="F83" s="2">
        <f t="shared" si="2"/>
        <v>31.53</v>
      </c>
      <c r="G83" s="8" t="s">
        <v>82</v>
      </c>
    </row>
    <row r="84" spans="1:7" hidden="1">
      <c r="A84" s="6">
        <v>46196</v>
      </c>
      <c r="B84" s="7">
        <v>83</v>
      </c>
      <c r="C84" s="8" t="s">
        <v>220</v>
      </c>
      <c r="D84" s="2">
        <v>49.78</v>
      </c>
      <c r="E84" s="2">
        <v>15.23</v>
      </c>
      <c r="F84" s="2">
        <f t="shared" si="2"/>
        <v>34.549999999999997</v>
      </c>
      <c r="G84" s="8" t="s">
        <v>83</v>
      </c>
    </row>
    <row r="85" spans="1:7" hidden="1">
      <c r="A85" s="6">
        <v>46196</v>
      </c>
      <c r="B85" s="7">
        <v>84</v>
      </c>
      <c r="C85" s="8" t="s">
        <v>221</v>
      </c>
      <c r="D85" s="2">
        <v>48.99</v>
      </c>
      <c r="E85" s="2">
        <v>15.01</v>
      </c>
      <c r="F85" s="2">
        <f t="shared" si="2"/>
        <v>33.979999999999997</v>
      </c>
      <c r="G85" s="8" t="s">
        <v>84</v>
      </c>
    </row>
    <row r="86" spans="1:7" hidden="1">
      <c r="A86" s="6">
        <v>46196</v>
      </c>
      <c r="B86" s="7">
        <v>85</v>
      </c>
      <c r="C86" s="8" t="s">
        <v>222</v>
      </c>
      <c r="D86" s="2">
        <v>47.58</v>
      </c>
      <c r="E86" s="2">
        <v>14.75</v>
      </c>
      <c r="F86" s="2">
        <f t="shared" si="2"/>
        <v>32.83</v>
      </c>
      <c r="G86" s="8" t="s">
        <v>85</v>
      </c>
    </row>
    <row r="87" spans="1:7" hidden="1">
      <c r="A87" s="6">
        <v>46196</v>
      </c>
      <c r="B87" s="7">
        <v>86</v>
      </c>
      <c r="C87" s="8" t="s">
        <v>223</v>
      </c>
      <c r="D87" s="2">
        <v>50.63</v>
      </c>
      <c r="E87" s="2">
        <v>15.43</v>
      </c>
      <c r="F87" s="2">
        <f t="shared" si="2"/>
        <v>35.200000000000003</v>
      </c>
      <c r="G87" s="8" t="s">
        <v>86</v>
      </c>
    </row>
    <row r="88" spans="1:7" hidden="1">
      <c r="A88" s="6">
        <v>46196</v>
      </c>
      <c r="B88" s="7">
        <v>87</v>
      </c>
      <c r="C88" s="8" t="s">
        <v>278</v>
      </c>
      <c r="D88" s="2">
        <v>48.65</v>
      </c>
      <c r="E88" s="2">
        <v>15.01</v>
      </c>
      <c r="F88" s="2">
        <f t="shared" si="2"/>
        <v>33.64</v>
      </c>
      <c r="G88" s="8" t="s">
        <v>87</v>
      </c>
    </row>
    <row r="89" spans="1:7" hidden="1">
      <c r="A89" s="6">
        <v>46196</v>
      </c>
      <c r="B89" s="7">
        <v>88</v>
      </c>
      <c r="C89" s="8" t="s">
        <v>224</v>
      </c>
      <c r="D89" s="2">
        <v>46.5</v>
      </c>
      <c r="E89" s="2">
        <v>15.07</v>
      </c>
      <c r="F89" s="2">
        <f t="shared" si="2"/>
        <v>31.43</v>
      </c>
      <c r="G89" s="8" t="s">
        <v>88</v>
      </c>
    </row>
    <row r="90" spans="1:7" hidden="1">
      <c r="A90" s="6">
        <v>46196</v>
      </c>
      <c r="B90" s="7">
        <v>89</v>
      </c>
      <c r="C90" s="8" t="s">
        <v>225</v>
      </c>
      <c r="D90" s="2">
        <v>46.54</v>
      </c>
      <c r="E90" s="2">
        <v>15.03</v>
      </c>
      <c r="F90" s="2">
        <f t="shared" si="2"/>
        <v>31.51</v>
      </c>
      <c r="G90" s="8" t="s">
        <v>89</v>
      </c>
    </row>
    <row r="91" spans="1:7" hidden="1">
      <c r="A91" s="6">
        <v>46196</v>
      </c>
      <c r="B91" s="7">
        <v>90</v>
      </c>
      <c r="C91" s="8" t="s">
        <v>226</v>
      </c>
      <c r="D91" s="2">
        <v>47.18</v>
      </c>
      <c r="E91" s="2">
        <v>15.52</v>
      </c>
      <c r="F91" s="2">
        <f t="shared" si="2"/>
        <v>31.66</v>
      </c>
      <c r="G91" s="8" t="s">
        <v>90</v>
      </c>
    </row>
    <row r="92" spans="1:7" hidden="1">
      <c r="A92" s="6">
        <v>46196</v>
      </c>
      <c r="B92" s="7">
        <v>91</v>
      </c>
      <c r="C92" s="8" t="s">
        <v>227</v>
      </c>
      <c r="D92" s="2">
        <v>44.89</v>
      </c>
      <c r="E92" s="2">
        <v>16.16</v>
      </c>
      <c r="F92" s="2">
        <f t="shared" si="2"/>
        <v>28.73</v>
      </c>
      <c r="G92" s="8" t="s">
        <v>91</v>
      </c>
    </row>
    <row r="93" spans="1:7" hidden="1">
      <c r="A93" s="6">
        <v>46196</v>
      </c>
      <c r="B93" s="7">
        <v>92</v>
      </c>
      <c r="C93" s="8" t="s">
        <v>228</v>
      </c>
      <c r="D93" s="2">
        <v>48.55</v>
      </c>
      <c r="E93" s="2">
        <v>15.42</v>
      </c>
      <c r="F93" s="2">
        <f t="shared" si="2"/>
        <v>33.130000000000003</v>
      </c>
      <c r="G93" s="8" t="s">
        <v>92</v>
      </c>
    </row>
    <row r="94" spans="1:7" hidden="1">
      <c r="A94" s="6">
        <v>46196</v>
      </c>
      <c r="B94" s="7">
        <v>93</v>
      </c>
      <c r="C94" s="8" t="s">
        <v>229</v>
      </c>
      <c r="D94" s="2">
        <v>43.11</v>
      </c>
      <c r="E94" s="2">
        <v>13.44</v>
      </c>
      <c r="F94" s="2">
        <f t="shared" si="2"/>
        <v>29.67</v>
      </c>
      <c r="G94" s="8" t="s">
        <v>93</v>
      </c>
    </row>
    <row r="95" spans="1:7" hidden="1">
      <c r="A95" s="6">
        <v>46196</v>
      </c>
      <c r="B95" s="7">
        <v>94</v>
      </c>
      <c r="C95" s="8" t="s">
        <v>230</v>
      </c>
      <c r="D95" s="2">
        <v>47.33</v>
      </c>
      <c r="E95" s="2">
        <v>14.37</v>
      </c>
      <c r="F95" s="2">
        <f t="shared" si="2"/>
        <v>32.96</v>
      </c>
      <c r="G95" s="8" t="s">
        <v>94</v>
      </c>
    </row>
    <row r="96" spans="1:7" hidden="1">
      <c r="A96" s="6">
        <v>46196</v>
      </c>
      <c r="B96" s="7">
        <v>95</v>
      </c>
      <c r="C96" s="8" t="s">
        <v>231</v>
      </c>
      <c r="D96" s="2">
        <v>45.06</v>
      </c>
      <c r="E96" s="2">
        <v>14.44</v>
      </c>
      <c r="F96" s="2">
        <f t="shared" si="2"/>
        <v>30.62</v>
      </c>
      <c r="G96" s="8" t="s">
        <v>95</v>
      </c>
    </row>
    <row r="97" spans="1:7" hidden="1">
      <c r="A97" s="6">
        <v>46196</v>
      </c>
      <c r="B97" s="7">
        <v>96</v>
      </c>
      <c r="C97" s="8" t="s">
        <v>232</v>
      </c>
      <c r="D97" s="2">
        <v>45.86</v>
      </c>
      <c r="E97" s="2">
        <v>14.27</v>
      </c>
      <c r="F97" s="2">
        <f t="shared" si="2"/>
        <v>31.59</v>
      </c>
      <c r="G97" s="8" t="s">
        <v>96</v>
      </c>
    </row>
    <row r="98" spans="1:7" hidden="1">
      <c r="A98" s="6">
        <v>46196</v>
      </c>
      <c r="B98" s="7">
        <v>97</v>
      </c>
      <c r="C98" s="8" t="s">
        <v>233</v>
      </c>
      <c r="D98" s="2">
        <v>47.15</v>
      </c>
      <c r="E98" s="2">
        <v>14.35</v>
      </c>
      <c r="F98" s="2">
        <f t="shared" ref="F98:F129" si="3">ROUND(D98-E98,3)</f>
        <v>32.799999999999997</v>
      </c>
      <c r="G98" s="8" t="s">
        <v>97</v>
      </c>
    </row>
    <row r="99" spans="1:7" hidden="1">
      <c r="A99" s="6">
        <v>46196</v>
      </c>
      <c r="B99" s="7">
        <v>98</v>
      </c>
      <c r="C99" s="8" t="s">
        <v>234</v>
      </c>
      <c r="D99" s="2">
        <v>47.66</v>
      </c>
      <c r="E99" s="2">
        <v>15.28</v>
      </c>
      <c r="F99" s="2">
        <f t="shared" si="3"/>
        <v>32.380000000000003</v>
      </c>
      <c r="G99" s="8" t="s">
        <v>98</v>
      </c>
    </row>
    <row r="100" spans="1:7" hidden="1">
      <c r="A100" s="6">
        <v>46196</v>
      </c>
      <c r="B100" s="7">
        <v>99</v>
      </c>
      <c r="C100" s="8" t="s">
        <v>235</v>
      </c>
      <c r="D100" s="2">
        <v>50.07</v>
      </c>
      <c r="E100" s="2">
        <v>15.41</v>
      </c>
      <c r="F100" s="2">
        <f t="shared" si="3"/>
        <v>34.659999999999997</v>
      </c>
      <c r="G100" s="8" t="s">
        <v>99</v>
      </c>
    </row>
    <row r="101" spans="1:7" hidden="1">
      <c r="A101" s="6">
        <v>46196</v>
      </c>
      <c r="B101" s="7">
        <v>100</v>
      </c>
      <c r="C101" s="8" t="s">
        <v>236</v>
      </c>
      <c r="D101" s="2">
        <v>49.68</v>
      </c>
      <c r="E101" s="2">
        <v>15.27</v>
      </c>
      <c r="F101" s="2">
        <f t="shared" si="3"/>
        <v>34.409999999999997</v>
      </c>
      <c r="G101" s="8" t="s">
        <v>100</v>
      </c>
    </row>
    <row r="102" spans="1:7" hidden="1">
      <c r="A102" s="6">
        <v>46196</v>
      </c>
      <c r="B102" s="7">
        <v>101</v>
      </c>
      <c r="C102" s="8" t="s">
        <v>237</v>
      </c>
      <c r="D102" s="2">
        <v>48.93</v>
      </c>
      <c r="E102" s="2">
        <v>14.88</v>
      </c>
      <c r="F102" s="2">
        <f t="shared" si="3"/>
        <v>34.049999999999997</v>
      </c>
      <c r="G102" s="8" t="s">
        <v>101</v>
      </c>
    </row>
    <row r="103" spans="1:7" hidden="1">
      <c r="A103" s="6">
        <v>46196</v>
      </c>
      <c r="B103" s="7">
        <v>102</v>
      </c>
      <c r="C103" s="8" t="s">
        <v>238</v>
      </c>
      <c r="D103" s="2">
        <v>50.21</v>
      </c>
      <c r="E103" s="2">
        <v>14.69</v>
      </c>
      <c r="F103" s="2">
        <f t="shared" si="3"/>
        <v>35.520000000000003</v>
      </c>
      <c r="G103" s="8" t="s">
        <v>102</v>
      </c>
    </row>
    <row r="104" spans="1:7" hidden="1">
      <c r="A104" s="6">
        <v>46196</v>
      </c>
      <c r="B104" s="7">
        <v>103</v>
      </c>
      <c r="C104" s="8" t="s">
        <v>239</v>
      </c>
      <c r="D104" s="2">
        <v>83.52</v>
      </c>
      <c r="E104" s="2">
        <v>23.03</v>
      </c>
      <c r="F104" s="2">
        <f t="shared" si="3"/>
        <v>60.49</v>
      </c>
      <c r="G104" s="8" t="s">
        <v>103</v>
      </c>
    </row>
    <row r="105" spans="1:7" hidden="1">
      <c r="A105" s="6">
        <v>46196</v>
      </c>
      <c r="B105" s="7">
        <v>104</v>
      </c>
      <c r="C105" s="8" t="s">
        <v>240</v>
      </c>
      <c r="D105" s="2">
        <v>46.75</v>
      </c>
      <c r="E105" s="2">
        <v>14.86</v>
      </c>
      <c r="F105" s="2">
        <f t="shared" si="3"/>
        <v>31.89</v>
      </c>
      <c r="G105" s="8" t="s">
        <v>104</v>
      </c>
    </row>
    <row r="106" spans="1:7" hidden="1">
      <c r="A106" s="6">
        <v>46196</v>
      </c>
      <c r="B106" s="7">
        <v>105</v>
      </c>
      <c r="C106" s="8" t="s">
        <v>241</v>
      </c>
      <c r="D106" s="2">
        <v>49.71</v>
      </c>
      <c r="E106" s="2">
        <v>15.24</v>
      </c>
      <c r="F106" s="2">
        <f t="shared" si="3"/>
        <v>34.47</v>
      </c>
      <c r="G106" s="8" t="s">
        <v>105</v>
      </c>
    </row>
    <row r="107" spans="1:7" hidden="1">
      <c r="A107" s="6">
        <v>46196</v>
      </c>
      <c r="B107" s="7">
        <v>106</v>
      </c>
      <c r="C107" s="8" t="s">
        <v>173</v>
      </c>
      <c r="D107" s="2">
        <v>45.15</v>
      </c>
      <c r="E107" s="2">
        <v>15.11</v>
      </c>
      <c r="F107" s="2">
        <f t="shared" si="3"/>
        <v>30.04</v>
      </c>
      <c r="G107" s="8" t="s">
        <v>106</v>
      </c>
    </row>
    <row r="108" spans="1:7" hidden="1">
      <c r="A108" s="6">
        <v>46196</v>
      </c>
      <c r="B108" s="7">
        <v>107</v>
      </c>
      <c r="C108" s="8" t="s">
        <v>242</v>
      </c>
      <c r="D108" s="2">
        <v>44.45</v>
      </c>
      <c r="E108" s="2">
        <v>14.57</v>
      </c>
      <c r="F108" s="2">
        <f t="shared" si="3"/>
        <v>29.88</v>
      </c>
      <c r="G108" s="8" t="s">
        <v>107</v>
      </c>
    </row>
    <row r="109" spans="1:7" hidden="1">
      <c r="A109" s="6">
        <v>46196</v>
      </c>
      <c r="B109" s="7">
        <v>108</v>
      </c>
      <c r="C109" s="8" t="s">
        <v>150</v>
      </c>
      <c r="D109" s="2">
        <v>86.42</v>
      </c>
      <c r="E109" s="2">
        <v>25.95</v>
      </c>
      <c r="F109" s="2">
        <f t="shared" si="3"/>
        <v>60.47</v>
      </c>
      <c r="G109" s="8" t="s">
        <v>108</v>
      </c>
    </row>
    <row r="110" spans="1:7" hidden="1">
      <c r="A110" s="6">
        <v>46196</v>
      </c>
      <c r="B110" s="7">
        <v>109</v>
      </c>
      <c r="C110" s="8" t="s">
        <v>243</v>
      </c>
      <c r="D110" s="2">
        <v>46.84</v>
      </c>
      <c r="E110" s="2">
        <v>15.08</v>
      </c>
      <c r="F110" s="2">
        <f t="shared" si="3"/>
        <v>31.76</v>
      </c>
      <c r="G110" s="8" t="s">
        <v>109</v>
      </c>
    </row>
    <row r="111" spans="1:7" hidden="1">
      <c r="A111" s="6">
        <v>46196</v>
      </c>
      <c r="B111" s="7">
        <v>110</v>
      </c>
      <c r="C111" s="8" t="s">
        <v>167</v>
      </c>
      <c r="D111" s="2">
        <v>47.82</v>
      </c>
      <c r="E111" s="2">
        <v>14.38</v>
      </c>
      <c r="F111" s="2">
        <f t="shared" si="3"/>
        <v>33.44</v>
      </c>
      <c r="G111" s="8" t="s">
        <v>110</v>
      </c>
    </row>
    <row r="112" spans="1:7" hidden="1">
      <c r="A112" s="6">
        <v>46196</v>
      </c>
      <c r="B112" s="7">
        <v>111</v>
      </c>
      <c r="C112" s="8" t="s">
        <v>282</v>
      </c>
      <c r="D112" s="2">
        <v>46.45</v>
      </c>
      <c r="E112" s="2">
        <v>14.5</v>
      </c>
      <c r="F112" s="2">
        <f t="shared" si="3"/>
        <v>31.95</v>
      </c>
      <c r="G112" s="8" t="s">
        <v>111</v>
      </c>
    </row>
    <row r="113" spans="1:7" hidden="1">
      <c r="A113" s="6">
        <v>46196</v>
      </c>
      <c r="B113" s="7">
        <v>112</v>
      </c>
      <c r="C113" s="8" t="s">
        <v>244</v>
      </c>
      <c r="D113" s="2">
        <v>48.76</v>
      </c>
      <c r="E113" s="2">
        <v>15.96</v>
      </c>
      <c r="F113" s="2">
        <f t="shared" si="3"/>
        <v>32.799999999999997</v>
      </c>
      <c r="G113" s="8" t="s">
        <v>112</v>
      </c>
    </row>
    <row r="114" spans="1:7" hidden="1">
      <c r="A114" s="6">
        <v>46196</v>
      </c>
      <c r="B114" s="7">
        <v>113</v>
      </c>
      <c r="C114" s="8" t="s">
        <v>245</v>
      </c>
      <c r="D114" s="2">
        <v>49.23</v>
      </c>
      <c r="E114" s="2">
        <v>15.64</v>
      </c>
      <c r="F114" s="2">
        <f t="shared" si="3"/>
        <v>33.590000000000003</v>
      </c>
      <c r="G114" s="8" t="s">
        <v>113</v>
      </c>
    </row>
    <row r="115" spans="1:7" hidden="1">
      <c r="A115" s="6">
        <v>46196</v>
      </c>
      <c r="B115" s="7">
        <v>114</v>
      </c>
      <c r="C115" s="8" t="s">
        <v>246</v>
      </c>
      <c r="D115" s="2">
        <v>49.38</v>
      </c>
      <c r="E115" s="2">
        <v>14.6</v>
      </c>
      <c r="F115" s="2">
        <f t="shared" si="3"/>
        <v>34.78</v>
      </c>
      <c r="G115" s="8" t="s">
        <v>114</v>
      </c>
    </row>
    <row r="116" spans="1:7" hidden="1">
      <c r="A116" s="6">
        <v>46196</v>
      </c>
      <c r="B116" s="7">
        <v>115</v>
      </c>
      <c r="C116" s="8" t="s">
        <v>247</v>
      </c>
      <c r="D116" s="2">
        <v>49.65</v>
      </c>
      <c r="E116" s="2">
        <v>15.36</v>
      </c>
      <c r="F116" s="2">
        <f t="shared" si="3"/>
        <v>34.29</v>
      </c>
      <c r="G116" s="8" t="s">
        <v>115</v>
      </c>
    </row>
    <row r="117" spans="1:7" hidden="1">
      <c r="A117" s="6">
        <v>46196</v>
      </c>
      <c r="B117" s="7">
        <v>116</v>
      </c>
      <c r="C117" s="8" t="s">
        <v>166</v>
      </c>
      <c r="D117" s="2">
        <v>46.33</v>
      </c>
      <c r="E117" s="2">
        <v>14.22</v>
      </c>
      <c r="F117" s="2">
        <f t="shared" si="3"/>
        <v>32.11</v>
      </c>
      <c r="G117" s="8" t="s">
        <v>116</v>
      </c>
    </row>
    <row r="118" spans="1:7" hidden="1">
      <c r="A118" s="6">
        <v>46196</v>
      </c>
      <c r="B118" s="7">
        <v>117</v>
      </c>
      <c r="C118" s="8" t="s">
        <v>248</v>
      </c>
      <c r="D118" s="2">
        <v>45.99</v>
      </c>
      <c r="E118" s="2">
        <v>14.78</v>
      </c>
      <c r="F118" s="2">
        <f t="shared" si="3"/>
        <v>31.21</v>
      </c>
      <c r="G118" s="8" t="s">
        <v>117</v>
      </c>
    </row>
    <row r="119" spans="1:7" hidden="1">
      <c r="A119" s="6">
        <v>46196</v>
      </c>
      <c r="B119" s="7">
        <v>118</v>
      </c>
      <c r="C119" s="8" t="s">
        <v>181</v>
      </c>
      <c r="D119" s="2">
        <v>47.12</v>
      </c>
      <c r="E119" s="2">
        <v>13.96</v>
      </c>
      <c r="F119" s="2">
        <f t="shared" si="3"/>
        <v>33.159999999999997</v>
      </c>
      <c r="G119" s="8" t="s">
        <v>118</v>
      </c>
    </row>
    <row r="120" spans="1:7" hidden="1">
      <c r="A120" s="6">
        <v>46196</v>
      </c>
      <c r="B120" s="7">
        <v>119</v>
      </c>
      <c r="C120" s="8" t="s">
        <v>249</v>
      </c>
      <c r="D120" s="2">
        <v>50.21</v>
      </c>
      <c r="E120" s="2">
        <v>15.7</v>
      </c>
      <c r="F120" s="2">
        <f t="shared" si="3"/>
        <v>34.51</v>
      </c>
      <c r="G120" s="8" t="s">
        <v>119</v>
      </c>
    </row>
    <row r="121" spans="1:7" hidden="1">
      <c r="A121" s="6">
        <v>46196</v>
      </c>
      <c r="B121" s="7">
        <v>120</v>
      </c>
      <c r="C121" s="8" t="s">
        <v>250</v>
      </c>
      <c r="D121" s="2">
        <v>48.3</v>
      </c>
      <c r="E121" s="2">
        <v>14.97</v>
      </c>
      <c r="F121" s="2">
        <f t="shared" si="3"/>
        <v>33.33</v>
      </c>
      <c r="G121" s="8" t="s">
        <v>120</v>
      </c>
    </row>
    <row r="122" spans="1:7" hidden="1">
      <c r="A122" s="6">
        <v>46196</v>
      </c>
      <c r="B122" s="7">
        <v>121</v>
      </c>
      <c r="C122" s="8" t="s">
        <v>251</v>
      </c>
      <c r="D122" s="2">
        <v>40.74</v>
      </c>
      <c r="E122" s="2">
        <v>12.68</v>
      </c>
      <c r="F122" s="2">
        <f t="shared" si="3"/>
        <v>28.06</v>
      </c>
      <c r="G122" s="8" t="s">
        <v>121</v>
      </c>
    </row>
    <row r="123" spans="1:7" hidden="1">
      <c r="A123" s="6">
        <v>46196</v>
      </c>
      <c r="B123" s="7">
        <v>122</v>
      </c>
      <c r="C123" s="8" t="s">
        <v>252</v>
      </c>
      <c r="D123" s="2">
        <v>48.14</v>
      </c>
      <c r="E123" s="2">
        <v>14.71</v>
      </c>
      <c r="F123" s="2">
        <f t="shared" si="3"/>
        <v>33.43</v>
      </c>
      <c r="G123" s="8" t="s">
        <v>122</v>
      </c>
    </row>
    <row r="124" spans="1:7" hidden="1">
      <c r="A124" s="6">
        <v>46196</v>
      </c>
      <c r="B124" s="7">
        <v>123</v>
      </c>
      <c r="C124" s="8" t="s">
        <v>253</v>
      </c>
      <c r="D124" s="2">
        <v>51.01</v>
      </c>
      <c r="E124" s="2">
        <v>14.87</v>
      </c>
      <c r="F124" s="2">
        <f t="shared" si="3"/>
        <v>36.14</v>
      </c>
      <c r="G124" s="8" t="s">
        <v>123</v>
      </c>
    </row>
    <row r="125" spans="1:7" hidden="1">
      <c r="A125" s="6">
        <v>46196</v>
      </c>
      <c r="B125" s="7">
        <v>124</v>
      </c>
      <c r="C125" s="8" t="s">
        <v>185</v>
      </c>
      <c r="D125" s="2">
        <v>46.82</v>
      </c>
      <c r="E125" s="2">
        <v>14.61</v>
      </c>
      <c r="F125" s="2">
        <f t="shared" si="3"/>
        <v>32.21</v>
      </c>
      <c r="G125" s="8" t="s">
        <v>124</v>
      </c>
    </row>
    <row r="126" spans="1:7" hidden="1">
      <c r="A126" s="6">
        <v>46196</v>
      </c>
      <c r="B126" s="7">
        <v>125</v>
      </c>
      <c r="C126" s="8" t="s">
        <v>172</v>
      </c>
      <c r="D126" s="2">
        <v>49.74</v>
      </c>
      <c r="E126" s="2">
        <v>14.58</v>
      </c>
      <c r="F126" s="2">
        <f t="shared" si="3"/>
        <v>35.159999999999997</v>
      </c>
      <c r="G126" s="8" t="s">
        <v>125</v>
      </c>
    </row>
    <row r="127" spans="1:7" hidden="1">
      <c r="A127" s="6">
        <v>46196</v>
      </c>
      <c r="B127" s="7">
        <v>126</v>
      </c>
      <c r="C127" s="8" t="s">
        <v>160</v>
      </c>
      <c r="D127" s="2">
        <v>45.43</v>
      </c>
      <c r="E127" s="2">
        <v>14.77</v>
      </c>
      <c r="F127" s="2">
        <f t="shared" si="3"/>
        <v>30.66</v>
      </c>
      <c r="G127" s="8" t="s">
        <v>126</v>
      </c>
    </row>
    <row r="128" spans="1:7" hidden="1">
      <c r="A128" s="6">
        <v>46196</v>
      </c>
      <c r="B128" s="7">
        <v>127</v>
      </c>
      <c r="C128" s="8" t="s">
        <v>159</v>
      </c>
      <c r="D128" s="2">
        <v>47.07</v>
      </c>
      <c r="E128" s="2">
        <v>14.73</v>
      </c>
      <c r="F128" s="2">
        <f t="shared" si="3"/>
        <v>32.340000000000003</v>
      </c>
      <c r="G128" s="8" t="s">
        <v>127</v>
      </c>
    </row>
    <row r="129" spans="1:7" hidden="1">
      <c r="A129" s="6">
        <v>46196</v>
      </c>
      <c r="B129" s="7">
        <v>128</v>
      </c>
      <c r="C129" s="8" t="s">
        <v>193</v>
      </c>
      <c r="D129" s="2">
        <v>46.25</v>
      </c>
      <c r="E129" s="2">
        <v>14.84</v>
      </c>
      <c r="F129" s="2">
        <f t="shared" si="3"/>
        <v>31.41</v>
      </c>
      <c r="G129" s="8" t="s">
        <v>128</v>
      </c>
    </row>
    <row r="130" spans="1:7" hidden="1">
      <c r="A130" s="6">
        <v>46196</v>
      </c>
      <c r="B130" s="7">
        <v>129</v>
      </c>
      <c r="C130" s="8" t="s">
        <v>161</v>
      </c>
      <c r="D130" s="2">
        <v>49.81</v>
      </c>
      <c r="E130" s="2">
        <v>15.51</v>
      </c>
      <c r="F130" s="2">
        <f t="shared" ref="F130:F161" si="4">ROUND(D130-E130,3)</f>
        <v>34.299999999999997</v>
      </c>
      <c r="G130" s="8" t="s">
        <v>129</v>
      </c>
    </row>
    <row r="131" spans="1:7" hidden="1">
      <c r="A131" s="6">
        <v>46196</v>
      </c>
      <c r="B131" s="7">
        <v>130</v>
      </c>
      <c r="C131" s="8" t="s">
        <v>254</v>
      </c>
      <c r="D131" s="2">
        <v>45.25</v>
      </c>
      <c r="E131" s="2">
        <v>14.7</v>
      </c>
      <c r="F131" s="2">
        <f t="shared" si="4"/>
        <v>30.55</v>
      </c>
      <c r="G131" s="8" t="s">
        <v>130</v>
      </c>
    </row>
    <row r="132" spans="1:7" hidden="1">
      <c r="A132" s="9">
        <v>46196</v>
      </c>
      <c r="B132" s="10">
        <v>131</v>
      </c>
      <c r="C132" s="11" t="s">
        <v>131</v>
      </c>
      <c r="D132" s="12">
        <v>46.84</v>
      </c>
      <c r="E132" s="12">
        <v>14.69</v>
      </c>
      <c r="F132" s="12">
        <f t="shared" si="4"/>
        <v>32.15</v>
      </c>
      <c r="G132" s="11" t="s">
        <v>132</v>
      </c>
    </row>
    <row r="133" spans="1:7" hidden="1">
      <c r="A133" s="6">
        <v>46196</v>
      </c>
      <c r="B133" s="7">
        <v>132</v>
      </c>
      <c r="C133" s="8" t="s">
        <v>255</v>
      </c>
      <c r="D133" s="2">
        <v>47.71</v>
      </c>
      <c r="E133" s="2">
        <v>14.34</v>
      </c>
      <c r="F133" s="2">
        <f t="shared" si="4"/>
        <v>33.369999999999997</v>
      </c>
      <c r="G133" s="8" t="s">
        <v>133</v>
      </c>
    </row>
    <row r="134" spans="1:7" hidden="1">
      <c r="A134" s="6">
        <v>46196</v>
      </c>
      <c r="B134" s="7">
        <v>133</v>
      </c>
      <c r="C134" s="8" t="s">
        <v>183</v>
      </c>
      <c r="D134" s="2">
        <v>46.86</v>
      </c>
      <c r="E134" s="2">
        <v>15.05</v>
      </c>
      <c r="F134" s="2">
        <f t="shared" si="4"/>
        <v>31.81</v>
      </c>
      <c r="G134" s="8" t="s">
        <v>134</v>
      </c>
    </row>
    <row r="135" spans="1:7" hidden="1">
      <c r="A135" s="6">
        <v>46196</v>
      </c>
      <c r="B135" s="7">
        <v>134</v>
      </c>
      <c r="C135" s="8" t="s">
        <v>184</v>
      </c>
      <c r="D135" s="2">
        <v>47.74</v>
      </c>
      <c r="E135" s="2">
        <v>14.21</v>
      </c>
      <c r="F135" s="2">
        <f t="shared" si="4"/>
        <v>33.53</v>
      </c>
      <c r="G135" s="8" t="s">
        <v>135</v>
      </c>
    </row>
    <row r="136" spans="1:7" hidden="1">
      <c r="A136" s="6">
        <v>46196</v>
      </c>
      <c r="B136" s="7">
        <v>135</v>
      </c>
      <c r="C136" s="8" t="s">
        <v>188</v>
      </c>
      <c r="D136" s="2">
        <v>45.97</v>
      </c>
      <c r="E136" s="2">
        <v>15.08</v>
      </c>
      <c r="F136" s="2">
        <f t="shared" si="4"/>
        <v>30.89</v>
      </c>
      <c r="G136" s="8" t="s">
        <v>136</v>
      </c>
    </row>
    <row r="137" spans="1:7" hidden="1">
      <c r="A137" s="6">
        <v>46196</v>
      </c>
      <c r="B137" s="7">
        <v>136</v>
      </c>
      <c r="C137" s="8" t="s">
        <v>196</v>
      </c>
      <c r="D137" s="2">
        <v>49.66</v>
      </c>
      <c r="E137" s="2">
        <v>14.83</v>
      </c>
      <c r="F137" s="2">
        <f t="shared" si="4"/>
        <v>34.83</v>
      </c>
      <c r="G137" s="8" t="s">
        <v>137</v>
      </c>
    </row>
    <row r="138" spans="1:7" hidden="1">
      <c r="A138" s="6">
        <v>46196</v>
      </c>
      <c r="B138" s="7">
        <v>137</v>
      </c>
      <c r="C138" s="8" t="s">
        <v>256</v>
      </c>
      <c r="D138" s="2">
        <v>45.71</v>
      </c>
      <c r="E138" s="2">
        <v>14.07</v>
      </c>
      <c r="F138" s="2">
        <f t="shared" si="4"/>
        <v>31.64</v>
      </c>
      <c r="G138" s="8" t="s">
        <v>138</v>
      </c>
    </row>
    <row r="139" spans="1:7" hidden="1">
      <c r="A139" s="6">
        <v>46196</v>
      </c>
      <c r="B139" s="7">
        <v>138</v>
      </c>
      <c r="C139" s="8" t="s">
        <v>257</v>
      </c>
      <c r="D139" s="2">
        <v>43.81</v>
      </c>
      <c r="E139" s="2">
        <v>13.82</v>
      </c>
      <c r="F139" s="2">
        <f t="shared" si="4"/>
        <v>29.99</v>
      </c>
      <c r="G139" s="8" t="s">
        <v>139</v>
      </c>
    </row>
    <row r="140" spans="1:7" hidden="1">
      <c r="A140" s="6">
        <v>46196</v>
      </c>
      <c r="B140" s="7">
        <v>139</v>
      </c>
      <c r="C140" s="8" t="s">
        <v>148</v>
      </c>
      <c r="D140" s="2">
        <v>47.43</v>
      </c>
      <c r="E140" s="2">
        <v>14.8</v>
      </c>
      <c r="F140" s="2">
        <f t="shared" si="4"/>
        <v>32.630000000000003</v>
      </c>
      <c r="G140" s="8" t="s">
        <v>140</v>
      </c>
    </row>
    <row r="141" spans="1:7" hidden="1">
      <c r="A141" s="6">
        <v>46196</v>
      </c>
      <c r="B141" s="7">
        <v>140</v>
      </c>
      <c r="C141" s="8" t="s">
        <v>187</v>
      </c>
      <c r="D141" s="2">
        <v>46.09</v>
      </c>
      <c r="E141" s="2">
        <v>14.59</v>
      </c>
      <c r="F141" s="2">
        <f t="shared" si="4"/>
        <v>31.5</v>
      </c>
      <c r="G141" s="8" t="s">
        <v>141</v>
      </c>
    </row>
    <row r="142" spans="1:7" hidden="1">
      <c r="A142" s="6">
        <v>46196</v>
      </c>
      <c r="B142" s="7">
        <v>141</v>
      </c>
      <c r="C142" s="38" t="s">
        <v>158</v>
      </c>
      <c r="D142" s="2">
        <v>44.7</v>
      </c>
      <c r="E142" s="2">
        <v>14.99</v>
      </c>
      <c r="F142" s="2">
        <f t="shared" si="4"/>
        <v>29.71</v>
      </c>
      <c r="G142" s="8" t="s">
        <v>142</v>
      </c>
    </row>
    <row r="143" spans="1:7">
      <c r="A143" s="6">
        <v>46196</v>
      </c>
      <c r="B143" s="7">
        <v>142</v>
      </c>
      <c r="C143" s="38" t="s">
        <v>175</v>
      </c>
      <c r="D143" s="2">
        <v>48.15</v>
      </c>
      <c r="E143" s="2">
        <v>15.51</v>
      </c>
      <c r="F143" s="2">
        <f t="shared" si="4"/>
        <v>32.64</v>
      </c>
      <c r="G143" s="8" t="s">
        <v>143</v>
      </c>
    </row>
    <row r="144" spans="1:7" hidden="1">
      <c r="A144" s="6">
        <v>46196</v>
      </c>
      <c r="B144" s="7">
        <v>143</v>
      </c>
      <c r="C144" s="8" t="s">
        <v>258</v>
      </c>
      <c r="D144" s="2">
        <v>43.6</v>
      </c>
      <c r="E144" s="2">
        <v>14.7</v>
      </c>
      <c r="F144" s="2">
        <f t="shared" si="4"/>
        <v>28.9</v>
      </c>
      <c r="G144" s="8" t="s">
        <v>144</v>
      </c>
    </row>
    <row r="145" spans="1:7" hidden="1">
      <c r="A145" s="6">
        <v>46196</v>
      </c>
      <c r="B145" s="7">
        <v>144</v>
      </c>
      <c r="C145" s="8" t="s">
        <v>259</v>
      </c>
      <c r="D145" s="2">
        <v>45.78</v>
      </c>
      <c r="E145" s="2">
        <v>13.66</v>
      </c>
      <c r="F145" s="2">
        <f t="shared" si="4"/>
        <v>32.119999999999997</v>
      </c>
      <c r="G145" s="8" t="s">
        <v>145</v>
      </c>
    </row>
    <row r="146" spans="1:7" hidden="1">
      <c r="A146" s="6">
        <v>46196</v>
      </c>
      <c r="B146" s="7">
        <v>145</v>
      </c>
      <c r="C146" s="8" t="s">
        <v>260</v>
      </c>
      <c r="D146" s="2">
        <v>44.57</v>
      </c>
      <c r="E146" s="2">
        <v>14.57</v>
      </c>
      <c r="F146" s="2">
        <f t="shared" si="4"/>
        <v>30</v>
      </c>
      <c r="G146" s="8" t="s">
        <v>146</v>
      </c>
    </row>
    <row r="147" spans="1:7">
      <c r="D147" s="3"/>
      <c r="E147" s="3"/>
      <c r="F147" s="3"/>
    </row>
    <row r="148" spans="1:7" ht="15">
      <c r="A148" s="4" t="s">
        <v>147</v>
      </c>
      <c r="B148" s="4"/>
      <c r="C148" s="4"/>
      <c r="D148" s="5">
        <f>SUM(D2:D146)</f>
        <v>7471.0639999999994</v>
      </c>
      <c r="E148" s="5">
        <f>SUM(E2:E146)</f>
        <v>2294.2700000000009</v>
      </c>
      <c r="F148" s="5">
        <f>SUM(F2:F146)</f>
        <v>5176.7940000000008</v>
      </c>
      <c r="G148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B4878-2641-294A-920E-CB761060DF89}">
  <sheetPr filterMode="1"/>
  <dimension ref="A1:I146"/>
  <sheetViews>
    <sheetView zoomScale="150" workbookViewId="0">
      <selection activeCell="A30" sqref="A30:I33"/>
    </sheetView>
  </sheetViews>
  <sheetFormatPr baseColWidth="10" defaultRowHeight="14"/>
  <sheetData>
    <row r="1" spans="1:9" ht="24">
      <c r="A1" s="13" t="s">
        <v>261</v>
      </c>
      <c r="B1" s="13" t="s">
        <v>262</v>
      </c>
      <c r="C1" s="14" t="s">
        <v>263</v>
      </c>
      <c r="D1" s="14" t="s">
        <v>264</v>
      </c>
      <c r="E1" s="13" t="s">
        <v>265</v>
      </c>
      <c r="F1" s="13" t="s">
        <v>266</v>
      </c>
      <c r="G1" s="13" t="s">
        <v>267</v>
      </c>
      <c r="H1" s="13" t="s">
        <v>268</v>
      </c>
      <c r="I1" s="13" t="s">
        <v>269</v>
      </c>
    </row>
    <row r="2" spans="1:9" hidden="1">
      <c r="A2" s="15">
        <v>1</v>
      </c>
      <c r="B2" s="16" t="s">
        <v>148</v>
      </c>
      <c r="C2" s="17">
        <v>0.34097222222222223</v>
      </c>
      <c r="D2" s="17">
        <v>0.34861111111111109</v>
      </c>
      <c r="E2" s="18">
        <v>50570</v>
      </c>
      <c r="F2" s="19">
        <v>14850</v>
      </c>
      <c r="G2" s="19">
        <f>E2-F2</f>
        <v>35720</v>
      </c>
      <c r="H2" s="20" t="s">
        <v>270</v>
      </c>
      <c r="I2" s="20" t="s">
        <v>271</v>
      </c>
    </row>
    <row r="3" spans="1:9" hidden="1">
      <c r="A3" s="21">
        <v>2</v>
      </c>
      <c r="B3" s="22" t="s">
        <v>164</v>
      </c>
      <c r="C3" s="23">
        <v>0.34097222222222223</v>
      </c>
      <c r="D3" s="23">
        <v>0.35</v>
      </c>
      <c r="E3" s="24">
        <v>87530</v>
      </c>
      <c r="F3" s="25">
        <v>25650</v>
      </c>
      <c r="G3" s="25">
        <f>E3-F3</f>
        <v>61880</v>
      </c>
      <c r="H3" s="26" t="s">
        <v>270</v>
      </c>
      <c r="I3" s="26" t="s">
        <v>271</v>
      </c>
    </row>
    <row r="4" spans="1:9" hidden="1">
      <c r="A4" s="15">
        <v>3</v>
      </c>
      <c r="B4" s="16" t="s">
        <v>162</v>
      </c>
      <c r="C4" s="17">
        <v>0.34236111111111112</v>
      </c>
      <c r="D4" s="17">
        <v>0.35625000000000001</v>
      </c>
      <c r="E4" s="18">
        <v>86790</v>
      </c>
      <c r="F4" s="19">
        <v>25920</v>
      </c>
      <c r="G4" s="19">
        <f t="shared" ref="G4:G71" si="0">E4-F4</f>
        <v>60870</v>
      </c>
      <c r="H4" s="20" t="s">
        <v>270</v>
      </c>
      <c r="I4" s="20" t="s">
        <v>271</v>
      </c>
    </row>
    <row r="5" spans="1:9" hidden="1">
      <c r="A5" s="21">
        <v>4</v>
      </c>
      <c r="B5" s="22" t="s">
        <v>163</v>
      </c>
      <c r="C5" s="23">
        <v>0.34166666666666667</v>
      </c>
      <c r="D5" s="23">
        <v>0.35833333333333334</v>
      </c>
      <c r="E5" s="24">
        <v>84740</v>
      </c>
      <c r="F5" s="25">
        <v>23180</v>
      </c>
      <c r="G5" s="25">
        <f t="shared" si="0"/>
        <v>61560</v>
      </c>
      <c r="H5" s="26" t="s">
        <v>270</v>
      </c>
      <c r="I5" s="26" t="s">
        <v>271</v>
      </c>
    </row>
    <row r="6" spans="1:9" hidden="1">
      <c r="A6" s="15">
        <v>5</v>
      </c>
      <c r="B6" s="16" t="s">
        <v>150</v>
      </c>
      <c r="C6" s="17">
        <v>0.34236111111111112</v>
      </c>
      <c r="D6" s="17">
        <v>0.36319444444444443</v>
      </c>
      <c r="E6" s="18">
        <v>87930</v>
      </c>
      <c r="F6" s="19">
        <v>26050</v>
      </c>
      <c r="G6" s="19">
        <f>E6-F6</f>
        <v>61880</v>
      </c>
      <c r="H6" s="20" t="s">
        <v>270</v>
      </c>
      <c r="I6" s="20" t="s">
        <v>271</v>
      </c>
    </row>
    <row r="7" spans="1:9" hidden="1">
      <c r="A7" s="21">
        <v>6</v>
      </c>
      <c r="B7" s="22" t="s">
        <v>161</v>
      </c>
      <c r="C7" s="23">
        <v>0.34305555555555556</v>
      </c>
      <c r="D7" s="23">
        <v>0.36527777777777776</v>
      </c>
      <c r="E7" s="24">
        <v>48520</v>
      </c>
      <c r="F7" s="25">
        <v>15570</v>
      </c>
      <c r="G7" s="25">
        <f>E7-F7</f>
        <v>32950</v>
      </c>
      <c r="H7" s="26" t="s">
        <v>270</v>
      </c>
      <c r="I7" s="26" t="s">
        <v>271</v>
      </c>
    </row>
    <row r="8" spans="1:9" hidden="1">
      <c r="A8" s="15">
        <v>7</v>
      </c>
      <c r="B8" s="16" t="s">
        <v>165</v>
      </c>
      <c r="C8" s="17">
        <v>0.34166666666666667</v>
      </c>
      <c r="D8" s="17">
        <v>0.37013888888888891</v>
      </c>
      <c r="E8" s="18">
        <v>87550</v>
      </c>
      <c r="F8" s="19">
        <v>26010</v>
      </c>
      <c r="G8" s="19">
        <f t="shared" ref="G8:G9" si="1">E8-F8</f>
        <v>61540</v>
      </c>
      <c r="H8" s="20" t="s">
        <v>270</v>
      </c>
      <c r="I8" s="20" t="s">
        <v>271</v>
      </c>
    </row>
    <row r="9" spans="1:9" hidden="1">
      <c r="A9" s="21">
        <v>8</v>
      </c>
      <c r="B9" s="22" t="s">
        <v>172</v>
      </c>
      <c r="C9" s="23">
        <v>0.34305555555555556</v>
      </c>
      <c r="D9" s="23">
        <v>0.37152777777777779</v>
      </c>
      <c r="E9" s="24">
        <v>49100</v>
      </c>
      <c r="F9" s="25">
        <v>14620</v>
      </c>
      <c r="G9" s="25">
        <f t="shared" si="1"/>
        <v>34480</v>
      </c>
      <c r="H9" s="26" t="s">
        <v>270</v>
      </c>
      <c r="I9" s="26" t="s">
        <v>271</v>
      </c>
    </row>
    <row r="10" spans="1:9" hidden="1">
      <c r="A10" s="15">
        <v>9</v>
      </c>
      <c r="B10" s="16" t="s">
        <v>151</v>
      </c>
      <c r="C10" s="17">
        <v>0.34375</v>
      </c>
      <c r="D10" s="17">
        <v>0.37569444444444444</v>
      </c>
      <c r="E10" s="18">
        <v>86580</v>
      </c>
      <c r="F10" s="19">
        <v>25730</v>
      </c>
      <c r="G10" s="19">
        <f t="shared" si="0"/>
        <v>60850</v>
      </c>
      <c r="H10" s="20" t="s">
        <v>270</v>
      </c>
      <c r="I10" s="20" t="s">
        <v>271</v>
      </c>
    </row>
    <row r="11" spans="1:9" hidden="1">
      <c r="A11" s="21">
        <v>10</v>
      </c>
      <c r="B11" s="22" t="s">
        <v>149</v>
      </c>
      <c r="C11" s="23">
        <v>0.36805555555555558</v>
      </c>
      <c r="D11" s="23">
        <v>0.37708333333333333</v>
      </c>
      <c r="E11" s="24">
        <v>48250</v>
      </c>
      <c r="F11" s="25">
        <v>14770</v>
      </c>
      <c r="G11" s="25">
        <f t="shared" si="0"/>
        <v>33480</v>
      </c>
      <c r="H11" s="26" t="s">
        <v>270</v>
      </c>
      <c r="I11" s="26" t="s">
        <v>271</v>
      </c>
    </row>
    <row r="12" spans="1:9" hidden="1">
      <c r="A12" s="15">
        <v>11</v>
      </c>
      <c r="B12" s="16" t="s">
        <v>153</v>
      </c>
      <c r="C12" s="17">
        <v>0.36875000000000002</v>
      </c>
      <c r="D12" s="17">
        <v>0.38333333333333336</v>
      </c>
      <c r="E12" s="18">
        <v>46860</v>
      </c>
      <c r="F12" s="19">
        <v>14510</v>
      </c>
      <c r="G12" s="19">
        <f t="shared" si="0"/>
        <v>32350</v>
      </c>
      <c r="H12" s="20" t="s">
        <v>270</v>
      </c>
      <c r="I12" s="20" t="s">
        <v>271</v>
      </c>
    </row>
    <row r="13" spans="1:9" hidden="1">
      <c r="A13" s="21">
        <v>12</v>
      </c>
      <c r="B13" s="22" t="s">
        <v>152</v>
      </c>
      <c r="C13" s="23">
        <v>0.34444444444444444</v>
      </c>
      <c r="D13" s="23">
        <v>0.38472222222222224</v>
      </c>
      <c r="E13" s="24">
        <v>84660</v>
      </c>
      <c r="F13" s="25">
        <v>25900</v>
      </c>
      <c r="G13" s="25">
        <f t="shared" si="0"/>
        <v>58760</v>
      </c>
      <c r="H13" s="26" t="s">
        <v>270</v>
      </c>
      <c r="I13" s="26" t="s">
        <v>271</v>
      </c>
    </row>
    <row r="14" spans="1:9" hidden="1">
      <c r="A14" s="15">
        <v>13</v>
      </c>
      <c r="B14" s="16" t="s">
        <v>154</v>
      </c>
      <c r="C14" s="17">
        <v>0.36736111111111114</v>
      </c>
      <c r="D14" s="17">
        <v>0.39305555555555555</v>
      </c>
      <c r="E14" s="18">
        <v>80420</v>
      </c>
      <c r="F14" s="19">
        <v>25850</v>
      </c>
      <c r="G14" s="19">
        <f t="shared" si="0"/>
        <v>54570</v>
      </c>
      <c r="H14" s="20" t="s">
        <v>270</v>
      </c>
      <c r="I14" s="20" t="s">
        <v>271</v>
      </c>
    </row>
    <row r="15" spans="1:9" hidden="1">
      <c r="A15" s="21">
        <v>14</v>
      </c>
      <c r="B15" s="22" t="s">
        <v>155</v>
      </c>
      <c r="C15" s="23">
        <v>0.36736111111111114</v>
      </c>
      <c r="D15" s="23">
        <v>0.39097222222222222</v>
      </c>
      <c r="E15" s="24">
        <v>86510</v>
      </c>
      <c r="F15" s="25">
        <v>25760</v>
      </c>
      <c r="G15" s="25">
        <f t="shared" si="0"/>
        <v>60750</v>
      </c>
      <c r="H15" s="26" t="s">
        <v>270</v>
      </c>
      <c r="I15" s="26" t="s">
        <v>271</v>
      </c>
    </row>
    <row r="16" spans="1:9" hidden="1">
      <c r="A16" s="15">
        <v>15</v>
      </c>
      <c r="B16" s="16" t="s">
        <v>190</v>
      </c>
      <c r="C16" s="17">
        <v>0.38263888888888886</v>
      </c>
      <c r="D16" s="17">
        <v>0.39374999999999999</v>
      </c>
      <c r="E16" s="18">
        <v>50970</v>
      </c>
      <c r="F16" s="19">
        <v>14750</v>
      </c>
      <c r="G16" s="19">
        <f t="shared" si="0"/>
        <v>36220</v>
      </c>
      <c r="H16" s="20" t="s">
        <v>270</v>
      </c>
      <c r="I16" s="20" t="s">
        <v>271</v>
      </c>
    </row>
    <row r="17" spans="1:9" hidden="1">
      <c r="A17" s="21">
        <v>16</v>
      </c>
      <c r="B17" s="22" t="s">
        <v>159</v>
      </c>
      <c r="C17" s="23">
        <v>0.38194444444444442</v>
      </c>
      <c r="D17" s="23">
        <v>0.39930555555555558</v>
      </c>
      <c r="E17" s="24">
        <v>48660</v>
      </c>
      <c r="F17" s="25">
        <v>14740</v>
      </c>
      <c r="G17" s="25">
        <f t="shared" si="0"/>
        <v>33920</v>
      </c>
      <c r="H17" s="26" t="s">
        <v>270</v>
      </c>
      <c r="I17" s="26" t="s">
        <v>271</v>
      </c>
    </row>
    <row r="18" spans="1:9" hidden="1">
      <c r="A18" s="15">
        <v>17</v>
      </c>
      <c r="B18" s="16" t="s">
        <v>156</v>
      </c>
      <c r="C18" s="17">
        <v>0.36805555555555558</v>
      </c>
      <c r="D18" s="17">
        <v>0.40138888888888891</v>
      </c>
      <c r="E18" s="18">
        <v>48870</v>
      </c>
      <c r="F18" s="19">
        <v>14730</v>
      </c>
      <c r="G18" s="19">
        <f t="shared" si="0"/>
        <v>34140</v>
      </c>
      <c r="H18" s="20" t="s">
        <v>270</v>
      </c>
      <c r="I18" s="20" t="s">
        <v>271</v>
      </c>
    </row>
    <row r="19" spans="1:9" hidden="1">
      <c r="A19" s="21">
        <v>18</v>
      </c>
      <c r="B19" s="22" t="s">
        <v>160</v>
      </c>
      <c r="C19" s="23">
        <v>0.39513888888888887</v>
      </c>
      <c r="D19" s="23">
        <v>0.40277777777777779</v>
      </c>
      <c r="E19" s="24">
        <v>45500</v>
      </c>
      <c r="F19" s="25">
        <v>14850</v>
      </c>
      <c r="G19" s="25">
        <f t="shared" si="0"/>
        <v>30650</v>
      </c>
      <c r="H19" s="26" t="s">
        <v>270</v>
      </c>
      <c r="I19" s="26" t="s">
        <v>271</v>
      </c>
    </row>
    <row r="20" spans="1:9" hidden="1">
      <c r="A20" s="15">
        <v>19</v>
      </c>
      <c r="B20" s="16" t="s">
        <v>183</v>
      </c>
      <c r="C20" s="17">
        <v>0.36875000000000002</v>
      </c>
      <c r="D20" s="17">
        <v>0.40486111111111112</v>
      </c>
      <c r="E20" s="18">
        <v>48530</v>
      </c>
      <c r="F20" s="19">
        <v>15130</v>
      </c>
      <c r="G20" s="19">
        <f t="shared" si="0"/>
        <v>33400</v>
      </c>
      <c r="H20" s="20" t="s">
        <v>270</v>
      </c>
      <c r="I20" s="20" t="s">
        <v>271</v>
      </c>
    </row>
    <row r="21" spans="1:9" hidden="1">
      <c r="A21" s="21">
        <v>20</v>
      </c>
      <c r="B21" s="22" t="s">
        <v>188</v>
      </c>
      <c r="C21" s="23">
        <v>0.38124999999999998</v>
      </c>
      <c r="D21" s="23">
        <v>0.40833333333333333</v>
      </c>
      <c r="E21" s="24">
        <v>48870</v>
      </c>
      <c r="F21" s="25">
        <v>15060</v>
      </c>
      <c r="G21" s="25">
        <f t="shared" si="0"/>
        <v>33810</v>
      </c>
      <c r="H21" s="26" t="s">
        <v>270</v>
      </c>
      <c r="I21" s="26" t="s">
        <v>271</v>
      </c>
    </row>
    <row r="22" spans="1:9" hidden="1">
      <c r="A22" s="15">
        <v>21</v>
      </c>
      <c r="B22" s="16" t="s">
        <v>193</v>
      </c>
      <c r="C22" s="17">
        <v>0.38194444444444442</v>
      </c>
      <c r="D22" s="17">
        <v>0.40972222222222221</v>
      </c>
      <c r="E22" s="18">
        <v>48350</v>
      </c>
      <c r="F22" s="19">
        <v>14840</v>
      </c>
      <c r="G22" s="19">
        <f t="shared" si="0"/>
        <v>33510</v>
      </c>
      <c r="H22" s="20" t="s">
        <v>270</v>
      </c>
      <c r="I22" s="20" t="s">
        <v>271</v>
      </c>
    </row>
    <row r="23" spans="1:9" hidden="1">
      <c r="A23" s="21">
        <v>22</v>
      </c>
      <c r="B23" s="22" t="s">
        <v>185</v>
      </c>
      <c r="C23" s="23">
        <v>0.3972222222222222</v>
      </c>
      <c r="D23" s="23">
        <v>0.41319444444444442</v>
      </c>
      <c r="E23" s="24">
        <v>50200</v>
      </c>
      <c r="F23" s="25">
        <v>14590</v>
      </c>
      <c r="G23" s="25">
        <f t="shared" si="0"/>
        <v>35610</v>
      </c>
      <c r="H23" s="26" t="s">
        <v>270</v>
      </c>
      <c r="I23" s="26" t="s">
        <v>271</v>
      </c>
    </row>
    <row r="24" spans="1:9" hidden="1">
      <c r="A24" s="15">
        <v>23</v>
      </c>
      <c r="B24" s="16" t="s">
        <v>184</v>
      </c>
      <c r="C24" s="17">
        <v>0.39583333333333331</v>
      </c>
      <c r="D24" s="17">
        <v>0.4152777777777778</v>
      </c>
      <c r="E24" s="18">
        <v>47680</v>
      </c>
      <c r="F24" s="19">
        <v>14240</v>
      </c>
      <c r="G24" s="19">
        <f t="shared" si="0"/>
        <v>33440</v>
      </c>
      <c r="H24" s="20" t="s">
        <v>270</v>
      </c>
      <c r="I24" s="20" t="s">
        <v>271</v>
      </c>
    </row>
    <row r="25" spans="1:9" hidden="1">
      <c r="A25" s="21">
        <v>24</v>
      </c>
      <c r="B25" s="22" t="s">
        <v>166</v>
      </c>
      <c r="C25" s="23">
        <v>0.39791666666666664</v>
      </c>
      <c r="D25" s="23">
        <v>0.41666666666666669</v>
      </c>
      <c r="E25" s="24">
        <v>50510</v>
      </c>
      <c r="F25" s="25">
        <v>14170</v>
      </c>
      <c r="G25" s="25">
        <f t="shared" si="0"/>
        <v>36340</v>
      </c>
      <c r="H25" s="26" t="s">
        <v>270</v>
      </c>
      <c r="I25" s="26" t="s">
        <v>271</v>
      </c>
    </row>
    <row r="26" spans="1:9" hidden="1">
      <c r="A26" s="15">
        <v>25</v>
      </c>
      <c r="B26" s="16" t="s">
        <v>178</v>
      </c>
      <c r="C26" s="17">
        <v>0.39861111111111114</v>
      </c>
      <c r="D26" s="17">
        <v>0.41944444444444445</v>
      </c>
      <c r="E26" s="18">
        <v>44960</v>
      </c>
      <c r="F26" s="19">
        <v>12780</v>
      </c>
      <c r="G26" s="19">
        <f t="shared" si="0"/>
        <v>32180</v>
      </c>
      <c r="H26" s="20" t="s">
        <v>270</v>
      </c>
      <c r="I26" s="20" t="s">
        <v>271</v>
      </c>
    </row>
    <row r="27" spans="1:9" hidden="1">
      <c r="A27" s="21">
        <v>26</v>
      </c>
      <c r="B27" s="22" t="s">
        <v>180</v>
      </c>
      <c r="C27" s="23">
        <v>0.41111111111111109</v>
      </c>
      <c r="D27" s="23">
        <v>0.42291666666666666</v>
      </c>
      <c r="E27" s="24">
        <v>47110</v>
      </c>
      <c r="F27" s="25">
        <v>12930</v>
      </c>
      <c r="G27" s="25">
        <f t="shared" si="0"/>
        <v>34180</v>
      </c>
      <c r="H27" s="26" t="s">
        <v>270</v>
      </c>
      <c r="I27" s="26" t="s">
        <v>271</v>
      </c>
    </row>
    <row r="28" spans="1:9" hidden="1">
      <c r="A28" s="15">
        <v>27</v>
      </c>
      <c r="B28" s="16" t="s">
        <v>157</v>
      </c>
      <c r="C28" s="17">
        <v>0.39791666666666664</v>
      </c>
      <c r="D28" s="17">
        <v>0.42638888888888887</v>
      </c>
      <c r="E28" s="18">
        <v>80740</v>
      </c>
      <c r="F28" s="19">
        <v>26020</v>
      </c>
      <c r="G28" s="19">
        <f t="shared" si="0"/>
        <v>54720</v>
      </c>
      <c r="H28" s="20" t="s">
        <v>270</v>
      </c>
      <c r="I28" s="20" t="s">
        <v>271</v>
      </c>
    </row>
    <row r="29" spans="1:9" hidden="1">
      <c r="A29" s="21">
        <v>28</v>
      </c>
      <c r="B29" s="22" t="s">
        <v>179</v>
      </c>
      <c r="C29" s="23">
        <v>0.41180555555555554</v>
      </c>
      <c r="D29" s="23">
        <v>0.42638888888888887</v>
      </c>
      <c r="E29" s="24">
        <v>48050</v>
      </c>
      <c r="F29" s="25">
        <v>13360</v>
      </c>
      <c r="G29" s="25">
        <f t="shared" si="0"/>
        <v>34690</v>
      </c>
      <c r="H29" s="26" t="s">
        <v>270</v>
      </c>
      <c r="I29" s="26" t="s">
        <v>271</v>
      </c>
    </row>
    <row r="30" spans="1:9">
      <c r="A30" s="15">
        <v>29</v>
      </c>
      <c r="B30" s="16" t="s">
        <v>175</v>
      </c>
      <c r="C30" s="17">
        <v>0.41180555555555554</v>
      </c>
      <c r="D30" s="17">
        <v>0.43055555555555558</v>
      </c>
      <c r="E30" s="18">
        <v>48510</v>
      </c>
      <c r="F30" s="19">
        <v>15480</v>
      </c>
      <c r="G30" s="19">
        <f t="shared" si="0"/>
        <v>33030</v>
      </c>
      <c r="H30" s="20" t="s">
        <v>270</v>
      </c>
      <c r="I30" s="20" t="s">
        <v>271</v>
      </c>
    </row>
    <row r="31" spans="1:9" hidden="1">
      <c r="A31" s="21">
        <v>30</v>
      </c>
      <c r="B31" s="22" t="s">
        <v>177</v>
      </c>
      <c r="C31" s="23">
        <v>0.41180555555555554</v>
      </c>
      <c r="D31" s="23">
        <v>0.43125000000000002</v>
      </c>
      <c r="E31" s="24">
        <v>49290</v>
      </c>
      <c r="F31" s="25">
        <v>15440</v>
      </c>
      <c r="G31" s="25">
        <f t="shared" si="0"/>
        <v>33850</v>
      </c>
      <c r="H31" s="26" t="s">
        <v>270</v>
      </c>
      <c r="I31" s="26" t="s">
        <v>271</v>
      </c>
    </row>
    <row r="32" spans="1:9" hidden="1">
      <c r="A32" s="15">
        <v>31</v>
      </c>
      <c r="B32" s="16" t="s">
        <v>167</v>
      </c>
      <c r="C32" s="17">
        <v>0.41249999999999998</v>
      </c>
      <c r="D32" s="17">
        <v>0.43472222222222223</v>
      </c>
      <c r="E32" s="18">
        <v>49830</v>
      </c>
      <c r="F32" s="19">
        <v>14480</v>
      </c>
      <c r="G32" s="19">
        <f t="shared" si="0"/>
        <v>35350</v>
      </c>
      <c r="H32" s="20" t="s">
        <v>270</v>
      </c>
      <c r="I32" s="20" t="s">
        <v>271</v>
      </c>
    </row>
    <row r="33" spans="1:9">
      <c r="A33" s="21">
        <v>32</v>
      </c>
      <c r="B33" s="22" t="s">
        <v>158</v>
      </c>
      <c r="C33" s="23">
        <v>0.41249999999999998</v>
      </c>
      <c r="D33" s="23">
        <v>0.4375</v>
      </c>
      <c r="E33" s="24">
        <v>48780</v>
      </c>
      <c r="F33" s="25">
        <v>15090</v>
      </c>
      <c r="G33" s="25">
        <f t="shared" si="0"/>
        <v>33690</v>
      </c>
      <c r="H33" s="26" t="s">
        <v>270</v>
      </c>
      <c r="I33" s="26" t="s">
        <v>271</v>
      </c>
    </row>
    <row r="34" spans="1:9" hidden="1">
      <c r="A34" s="15">
        <v>33</v>
      </c>
      <c r="B34" s="16" t="s">
        <v>272</v>
      </c>
      <c r="C34" s="17">
        <v>0.42430555555555555</v>
      </c>
      <c r="D34" s="17">
        <v>0.44236111111111109</v>
      </c>
      <c r="E34" s="18">
        <v>50480</v>
      </c>
      <c r="F34" s="19">
        <v>14420</v>
      </c>
      <c r="G34" s="19">
        <f t="shared" si="0"/>
        <v>36060</v>
      </c>
      <c r="H34" s="20" t="s">
        <v>270</v>
      </c>
      <c r="I34" s="20" t="s">
        <v>271</v>
      </c>
    </row>
    <row r="35" spans="1:9" hidden="1">
      <c r="A35" s="21">
        <v>34</v>
      </c>
      <c r="B35" s="22" t="s">
        <v>187</v>
      </c>
      <c r="C35" s="23">
        <v>0.42430555555555555</v>
      </c>
      <c r="D35" s="23">
        <v>0.44513888888888886</v>
      </c>
      <c r="E35" s="24">
        <v>47710</v>
      </c>
      <c r="F35" s="25">
        <v>14660</v>
      </c>
      <c r="G35" s="25">
        <f t="shared" si="0"/>
        <v>33050</v>
      </c>
      <c r="H35" s="26" t="s">
        <v>270</v>
      </c>
      <c r="I35" s="26" t="s">
        <v>271</v>
      </c>
    </row>
    <row r="36" spans="1:9" hidden="1">
      <c r="A36" s="15">
        <v>35</v>
      </c>
      <c r="B36" s="16" t="s">
        <v>181</v>
      </c>
      <c r="C36" s="17">
        <v>0.42499999999999999</v>
      </c>
      <c r="D36" s="17">
        <v>0.44583333333333336</v>
      </c>
      <c r="E36" s="18">
        <v>50050</v>
      </c>
      <c r="F36" s="19">
        <v>14050</v>
      </c>
      <c r="G36" s="19">
        <f t="shared" si="0"/>
        <v>36000</v>
      </c>
      <c r="H36" s="20" t="s">
        <v>270</v>
      </c>
      <c r="I36" s="20" t="s">
        <v>271</v>
      </c>
    </row>
    <row r="37" spans="1:9" hidden="1">
      <c r="A37" s="21">
        <v>36</v>
      </c>
      <c r="B37" s="22" t="s">
        <v>273</v>
      </c>
      <c r="C37" s="23">
        <v>0.42569444444444443</v>
      </c>
      <c r="D37" s="23">
        <v>0.45069444444444445</v>
      </c>
      <c r="E37" s="24">
        <v>49120</v>
      </c>
      <c r="F37" s="25">
        <v>14000</v>
      </c>
      <c r="G37" s="25">
        <f t="shared" si="0"/>
        <v>35120</v>
      </c>
      <c r="H37" s="26" t="s">
        <v>270</v>
      </c>
      <c r="I37" s="26" t="s">
        <v>271</v>
      </c>
    </row>
    <row r="38" spans="1:9" hidden="1">
      <c r="A38" s="15">
        <v>37</v>
      </c>
      <c r="B38" s="16" t="s">
        <v>274</v>
      </c>
      <c r="C38" s="17">
        <v>0.42499999999999999</v>
      </c>
      <c r="D38" s="17">
        <v>0.4513888888888889</v>
      </c>
      <c r="E38" s="18">
        <v>48760</v>
      </c>
      <c r="F38" s="19">
        <v>14210</v>
      </c>
      <c r="G38" s="19">
        <f t="shared" si="0"/>
        <v>34550</v>
      </c>
      <c r="H38" s="20" t="s">
        <v>270</v>
      </c>
      <c r="I38" s="20" t="s">
        <v>271</v>
      </c>
    </row>
    <row r="39" spans="1:9" hidden="1">
      <c r="A39" s="21">
        <v>38</v>
      </c>
      <c r="B39" s="22" t="s">
        <v>200</v>
      </c>
      <c r="C39" s="23">
        <v>0.43958333333333333</v>
      </c>
      <c r="D39" s="23">
        <v>0.4548611111111111</v>
      </c>
      <c r="E39" s="24">
        <v>47280</v>
      </c>
      <c r="F39" s="25">
        <v>13220</v>
      </c>
      <c r="G39" s="25">
        <f t="shared" si="0"/>
        <v>34060</v>
      </c>
      <c r="H39" s="26" t="s">
        <v>270</v>
      </c>
      <c r="I39" s="26" t="s">
        <v>271</v>
      </c>
    </row>
    <row r="40" spans="1:9" hidden="1">
      <c r="A40" s="15">
        <v>39</v>
      </c>
      <c r="B40" s="16" t="s">
        <v>199</v>
      </c>
      <c r="C40" s="17">
        <v>0.43958333333333333</v>
      </c>
      <c r="D40" s="17">
        <v>0.45694444444444443</v>
      </c>
      <c r="E40" s="18">
        <v>48040</v>
      </c>
      <c r="F40" s="19">
        <v>13820</v>
      </c>
      <c r="G40" s="19">
        <f t="shared" si="0"/>
        <v>34220</v>
      </c>
      <c r="H40" s="20" t="s">
        <v>270</v>
      </c>
      <c r="I40" s="20" t="s">
        <v>271</v>
      </c>
    </row>
    <row r="41" spans="1:9" hidden="1">
      <c r="A41" s="21">
        <v>40</v>
      </c>
      <c r="B41" s="22" t="s">
        <v>202</v>
      </c>
      <c r="C41" s="23">
        <v>0.43958333333333333</v>
      </c>
      <c r="D41" s="23">
        <v>0.45763888888888887</v>
      </c>
      <c r="E41" s="24">
        <v>46130</v>
      </c>
      <c r="F41" s="25">
        <v>13330</v>
      </c>
      <c r="G41" s="25">
        <f t="shared" si="0"/>
        <v>32800</v>
      </c>
      <c r="H41" s="26" t="s">
        <v>270</v>
      </c>
      <c r="I41" s="26" t="s">
        <v>271</v>
      </c>
    </row>
    <row r="42" spans="1:9" hidden="1">
      <c r="A42" s="15">
        <v>41</v>
      </c>
      <c r="B42" s="16" t="s">
        <v>171</v>
      </c>
      <c r="C42" s="17">
        <v>0.44027777777777777</v>
      </c>
      <c r="D42" s="17">
        <v>0.4597222222222222</v>
      </c>
      <c r="E42" s="18">
        <v>50450</v>
      </c>
      <c r="F42" s="19">
        <v>15600</v>
      </c>
      <c r="G42" s="19">
        <f t="shared" si="0"/>
        <v>34850</v>
      </c>
      <c r="H42" s="20" t="s">
        <v>270</v>
      </c>
      <c r="I42" s="20" t="s">
        <v>271</v>
      </c>
    </row>
    <row r="43" spans="1:9" hidden="1">
      <c r="A43" s="21">
        <v>42</v>
      </c>
      <c r="B43" s="22" t="s">
        <v>169</v>
      </c>
      <c r="C43" s="23">
        <v>0.44027777777777777</v>
      </c>
      <c r="D43" s="23">
        <v>0.46388888888888891</v>
      </c>
      <c r="E43" s="24">
        <v>48070</v>
      </c>
      <c r="F43" s="25">
        <v>14930</v>
      </c>
      <c r="G43" s="25">
        <f t="shared" si="0"/>
        <v>33140</v>
      </c>
      <c r="H43" s="26" t="s">
        <v>270</v>
      </c>
      <c r="I43" s="26" t="s">
        <v>271</v>
      </c>
    </row>
    <row r="44" spans="1:9" hidden="1">
      <c r="A44" s="15">
        <v>43</v>
      </c>
      <c r="B44" s="16" t="s">
        <v>170</v>
      </c>
      <c r="C44" s="17">
        <v>0.45277777777777778</v>
      </c>
      <c r="D44" s="17">
        <v>0.46527777777777779</v>
      </c>
      <c r="E44" s="18">
        <v>48610</v>
      </c>
      <c r="F44" s="19">
        <v>15130</v>
      </c>
      <c r="G44" s="19">
        <f t="shared" si="0"/>
        <v>33480</v>
      </c>
      <c r="H44" s="20" t="s">
        <v>270</v>
      </c>
      <c r="I44" s="20" t="s">
        <v>271</v>
      </c>
    </row>
    <row r="45" spans="1:9" hidden="1">
      <c r="A45" s="21">
        <v>44</v>
      </c>
      <c r="B45" s="22" t="s">
        <v>168</v>
      </c>
      <c r="C45" s="23">
        <v>0.45347222222222222</v>
      </c>
      <c r="D45" s="23">
        <v>0.46875</v>
      </c>
      <c r="E45" s="24">
        <v>48770</v>
      </c>
      <c r="F45" s="25">
        <v>15770</v>
      </c>
      <c r="G45" s="25">
        <f t="shared" si="0"/>
        <v>33000</v>
      </c>
      <c r="H45" s="26" t="s">
        <v>270</v>
      </c>
      <c r="I45" s="26" t="s">
        <v>271</v>
      </c>
    </row>
    <row r="46" spans="1:9" hidden="1">
      <c r="A46" s="15">
        <v>45</v>
      </c>
      <c r="B46" s="16" t="s">
        <v>182</v>
      </c>
      <c r="C46" s="17">
        <v>0.45347222222222222</v>
      </c>
      <c r="D46" s="17">
        <v>0.46944444444444444</v>
      </c>
      <c r="E46" s="18">
        <v>48330</v>
      </c>
      <c r="F46" s="19">
        <v>15180</v>
      </c>
      <c r="G46" s="19">
        <f t="shared" si="0"/>
        <v>33150</v>
      </c>
      <c r="H46" s="20" t="s">
        <v>270</v>
      </c>
      <c r="I46" s="20" t="s">
        <v>271</v>
      </c>
    </row>
    <row r="47" spans="1:9" hidden="1">
      <c r="A47" s="21">
        <v>46</v>
      </c>
      <c r="B47" s="22" t="s">
        <v>174</v>
      </c>
      <c r="C47" s="23">
        <v>0.45347222222222222</v>
      </c>
      <c r="D47" s="23">
        <v>0.47083333333333333</v>
      </c>
      <c r="E47" s="24">
        <v>49800</v>
      </c>
      <c r="F47" s="25">
        <v>14750</v>
      </c>
      <c r="G47" s="25">
        <f t="shared" si="0"/>
        <v>35050</v>
      </c>
      <c r="H47" s="26" t="s">
        <v>270</v>
      </c>
      <c r="I47" s="26" t="s">
        <v>271</v>
      </c>
    </row>
    <row r="48" spans="1:9" hidden="1">
      <c r="A48" s="15">
        <v>47</v>
      </c>
      <c r="B48" s="16" t="s">
        <v>201</v>
      </c>
      <c r="C48" s="17">
        <v>0.45416666666666666</v>
      </c>
      <c r="D48" s="17">
        <v>0.47430555555555554</v>
      </c>
      <c r="E48" s="18">
        <v>47150</v>
      </c>
      <c r="F48" s="19">
        <v>12930</v>
      </c>
      <c r="G48" s="19">
        <f t="shared" si="0"/>
        <v>34220</v>
      </c>
      <c r="H48" s="20" t="s">
        <v>270</v>
      </c>
      <c r="I48" s="20" t="s">
        <v>271</v>
      </c>
    </row>
    <row r="49" spans="1:9" hidden="1">
      <c r="A49" s="21">
        <v>48</v>
      </c>
      <c r="B49" s="22" t="s">
        <v>173</v>
      </c>
      <c r="C49" s="23">
        <v>0.46666666666666667</v>
      </c>
      <c r="D49" s="23">
        <v>0.47499999999999998</v>
      </c>
      <c r="E49" s="24">
        <v>48240</v>
      </c>
      <c r="F49" s="25">
        <v>15110</v>
      </c>
      <c r="G49" s="25">
        <f t="shared" si="0"/>
        <v>33130</v>
      </c>
      <c r="H49" s="26" t="s">
        <v>270</v>
      </c>
      <c r="I49" s="26" t="s">
        <v>271</v>
      </c>
    </row>
    <row r="50" spans="1:9" hidden="1">
      <c r="A50" s="15">
        <v>49</v>
      </c>
      <c r="B50" s="16" t="s">
        <v>176</v>
      </c>
      <c r="C50" s="17">
        <v>0.45416666666666666</v>
      </c>
      <c r="D50" s="17">
        <v>0.47916666666666669</v>
      </c>
      <c r="E50" s="18">
        <v>47510</v>
      </c>
      <c r="F50" s="19">
        <v>15970</v>
      </c>
      <c r="G50" s="19">
        <f t="shared" si="0"/>
        <v>31540</v>
      </c>
      <c r="H50" s="20" t="s">
        <v>270</v>
      </c>
      <c r="I50" s="20" t="s">
        <v>271</v>
      </c>
    </row>
    <row r="51" spans="1:9" hidden="1">
      <c r="A51" s="21">
        <v>50</v>
      </c>
      <c r="B51" s="22" t="s">
        <v>198</v>
      </c>
      <c r="C51" s="23">
        <v>0.46666666666666667</v>
      </c>
      <c r="D51" s="23">
        <v>0.48055555555555557</v>
      </c>
      <c r="E51" s="24">
        <v>43570</v>
      </c>
      <c r="F51" s="25">
        <v>13150</v>
      </c>
      <c r="G51" s="25">
        <f t="shared" si="0"/>
        <v>30420</v>
      </c>
      <c r="H51" s="26" t="s">
        <v>270</v>
      </c>
      <c r="I51" s="26" t="s">
        <v>271</v>
      </c>
    </row>
    <row r="52" spans="1:9" hidden="1">
      <c r="A52" s="15">
        <v>51</v>
      </c>
      <c r="B52" s="16" t="s">
        <v>194</v>
      </c>
      <c r="C52" s="17">
        <v>0.46666666666666667</v>
      </c>
      <c r="D52" s="17">
        <v>0.48194444444444445</v>
      </c>
      <c r="E52" s="18">
        <v>49210</v>
      </c>
      <c r="F52" s="19">
        <v>14340</v>
      </c>
      <c r="G52" s="19">
        <f t="shared" si="0"/>
        <v>34870</v>
      </c>
      <c r="H52" s="20" t="s">
        <v>270</v>
      </c>
      <c r="I52" s="20" t="s">
        <v>271</v>
      </c>
    </row>
    <row r="53" spans="1:9" hidden="1">
      <c r="A53" s="21">
        <v>52</v>
      </c>
      <c r="B53" s="22" t="s">
        <v>275</v>
      </c>
      <c r="C53" s="23">
        <v>0.46736111111111112</v>
      </c>
      <c r="D53" s="23">
        <v>0.48541666666666666</v>
      </c>
      <c r="E53" s="24">
        <v>52610</v>
      </c>
      <c r="F53" s="25">
        <v>14830</v>
      </c>
      <c r="G53" s="25">
        <f t="shared" si="0"/>
        <v>37780</v>
      </c>
      <c r="H53" s="26" t="s">
        <v>270</v>
      </c>
      <c r="I53" s="26" t="s">
        <v>271</v>
      </c>
    </row>
    <row r="54" spans="1:9" hidden="1">
      <c r="A54" s="15">
        <v>53</v>
      </c>
      <c r="B54" s="16" t="s">
        <v>192</v>
      </c>
      <c r="C54" s="17">
        <v>0.46736111111111112</v>
      </c>
      <c r="D54" s="17">
        <v>0.48680555555555555</v>
      </c>
      <c r="E54" s="18">
        <v>51500</v>
      </c>
      <c r="F54" s="19">
        <v>15570</v>
      </c>
      <c r="G54" s="19">
        <f t="shared" si="0"/>
        <v>35930</v>
      </c>
      <c r="H54" s="20" t="s">
        <v>270</v>
      </c>
      <c r="I54" s="20" t="s">
        <v>271</v>
      </c>
    </row>
    <row r="55" spans="1:9" hidden="1">
      <c r="A55" s="21">
        <v>54</v>
      </c>
      <c r="B55" s="22" t="s">
        <v>196</v>
      </c>
      <c r="C55" s="23">
        <v>0.47708333333333336</v>
      </c>
      <c r="D55" s="23">
        <v>0.48888888888888887</v>
      </c>
      <c r="E55" s="24">
        <v>49330</v>
      </c>
      <c r="F55" s="25">
        <v>14780</v>
      </c>
      <c r="G55" s="25">
        <f t="shared" si="0"/>
        <v>34550</v>
      </c>
      <c r="H55" s="26" t="s">
        <v>270</v>
      </c>
      <c r="I55" s="26" t="s">
        <v>271</v>
      </c>
    </row>
    <row r="56" spans="1:9" hidden="1">
      <c r="A56" s="15">
        <v>55</v>
      </c>
      <c r="B56" s="16" t="s">
        <v>191</v>
      </c>
      <c r="C56" s="17">
        <v>0.47708333333333336</v>
      </c>
      <c r="D56" s="17">
        <v>0.49236111111111114</v>
      </c>
      <c r="E56" s="18">
        <v>48040</v>
      </c>
      <c r="F56" s="19">
        <v>15430</v>
      </c>
      <c r="G56" s="19">
        <f t="shared" si="0"/>
        <v>32610</v>
      </c>
      <c r="H56" s="20" t="s">
        <v>270</v>
      </c>
      <c r="I56" s="20" t="s">
        <v>271</v>
      </c>
    </row>
    <row r="57" spans="1:9" hidden="1">
      <c r="A57" s="21">
        <v>56</v>
      </c>
      <c r="B57" s="22" t="s">
        <v>197</v>
      </c>
      <c r="C57" s="23">
        <v>0.46736111111111112</v>
      </c>
      <c r="D57" s="23">
        <v>0.49375000000000002</v>
      </c>
      <c r="E57" s="24">
        <v>48940</v>
      </c>
      <c r="F57" s="25">
        <v>14330</v>
      </c>
      <c r="G57" s="25">
        <f t="shared" si="0"/>
        <v>34610</v>
      </c>
      <c r="H57" s="26" t="s">
        <v>270</v>
      </c>
      <c r="I57" s="26" t="s">
        <v>271</v>
      </c>
    </row>
    <row r="58" spans="1:9" hidden="1">
      <c r="A58" s="15">
        <v>57</v>
      </c>
      <c r="B58" s="16" t="s">
        <v>186</v>
      </c>
      <c r="C58" s="17">
        <v>0.4777777777777778</v>
      </c>
      <c r="D58" s="17">
        <v>0.49583333333333335</v>
      </c>
      <c r="E58" s="18">
        <v>49120</v>
      </c>
      <c r="F58" s="19">
        <v>15000</v>
      </c>
      <c r="G58" s="19">
        <f t="shared" si="0"/>
        <v>34120</v>
      </c>
      <c r="H58" s="20" t="s">
        <v>270</v>
      </c>
      <c r="I58" s="20" t="s">
        <v>271</v>
      </c>
    </row>
    <row r="59" spans="1:9" hidden="1">
      <c r="A59" s="21">
        <v>58</v>
      </c>
      <c r="B59" s="22" t="s">
        <v>195</v>
      </c>
      <c r="C59" s="23">
        <v>0.4777777777777778</v>
      </c>
      <c r="D59" s="23">
        <v>0.49930555555555556</v>
      </c>
      <c r="E59" s="24">
        <v>50960</v>
      </c>
      <c r="F59" s="25">
        <v>15010</v>
      </c>
      <c r="G59" s="25">
        <f t="shared" si="0"/>
        <v>35950</v>
      </c>
      <c r="H59" s="26" t="s">
        <v>270</v>
      </c>
      <c r="I59" s="26" t="s">
        <v>271</v>
      </c>
    </row>
    <row r="60" spans="1:9" hidden="1">
      <c r="A60" s="15">
        <v>59</v>
      </c>
      <c r="B60" s="16" t="s">
        <v>189</v>
      </c>
      <c r="C60" s="17">
        <v>0.47708333333333336</v>
      </c>
      <c r="D60" s="17">
        <v>0.50069444444444444</v>
      </c>
      <c r="E60" s="18">
        <v>65150</v>
      </c>
      <c r="F60" s="19">
        <v>19510</v>
      </c>
      <c r="G60" s="19">
        <f t="shared" si="0"/>
        <v>45640</v>
      </c>
      <c r="H60" s="20" t="s">
        <v>270</v>
      </c>
      <c r="I60" s="20" t="s">
        <v>271</v>
      </c>
    </row>
    <row r="61" spans="1:9" hidden="1">
      <c r="A61" s="21">
        <v>60</v>
      </c>
      <c r="B61" s="22" t="s">
        <v>236</v>
      </c>
      <c r="C61" s="23">
        <v>0.54722222222222228</v>
      </c>
      <c r="D61" s="23">
        <v>0.56041666666666667</v>
      </c>
      <c r="E61" s="24">
        <v>49990</v>
      </c>
      <c r="F61" s="25">
        <v>15270</v>
      </c>
      <c r="G61" s="25">
        <f t="shared" si="0"/>
        <v>34720</v>
      </c>
      <c r="H61" s="26" t="s">
        <v>270</v>
      </c>
      <c r="I61" s="26" t="s">
        <v>271</v>
      </c>
    </row>
    <row r="62" spans="1:9" hidden="1">
      <c r="A62" s="15">
        <v>61</v>
      </c>
      <c r="B62" s="16" t="s">
        <v>276</v>
      </c>
      <c r="C62" s="17">
        <v>0.54791666666666672</v>
      </c>
      <c r="D62" s="17">
        <v>0.56527777777777777</v>
      </c>
      <c r="E62" s="18">
        <v>47750</v>
      </c>
      <c r="F62" s="19">
        <v>13000</v>
      </c>
      <c r="G62" s="19">
        <f t="shared" si="0"/>
        <v>34750</v>
      </c>
      <c r="H62" s="20" t="s">
        <v>270</v>
      </c>
      <c r="I62" s="20" t="s">
        <v>271</v>
      </c>
    </row>
    <row r="63" spans="1:9" hidden="1">
      <c r="A63" s="21">
        <v>62</v>
      </c>
      <c r="B63" s="22" t="s">
        <v>277</v>
      </c>
      <c r="C63" s="23">
        <v>0.54791666666666672</v>
      </c>
      <c r="D63" s="23">
        <v>0.56666666666666665</v>
      </c>
      <c r="E63" s="24">
        <v>49590</v>
      </c>
      <c r="F63" s="25">
        <v>15410</v>
      </c>
      <c r="G63" s="25">
        <f t="shared" si="0"/>
        <v>34180</v>
      </c>
      <c r="H63" s="26" t="s">
        <v>270</v>
      </c>
      <c r="I63" s="26" t="s">
        <v>271</v>
      </c>
    </row>
    <row r="64" spans="1:9" hidden="1">
      <c r="A64" s="15">
        <v>63</v>
      </c>
      <c r="B64" s="16" t="s">
        <v>205</v>
      </c>
      <c r="C64" s="17">
        <v>0.54861111111111116</v>
      </c>
      <c r="D64" s="17">
        <v>0.5756944444444444</v>
      </c>
      <c r="E64" s="18">
        <v>85600</v>
      </c>
      <c r="F64" s="19">
        <v>26600</v>
      </c>
      <c r="G64" s="19">
        <f t="shared" si="0"/>
        <v>59000</v>
      </c>
      <c r="H64" s="20" t="s">
        <v>270</v>
      </c>
      <c r="I64" s="20" t="s">
        <v>271</v>
      </c>
    </row>
    <row r="65" spans="1:9" hidden="1">
      <c r="A65" s="21">
        <v>64</v>
      </c>
      <c r="B65" s="22" t="s">
        <v>203</v>
      </c>
      <c r="C65" s="23">
        <v>0.55069444444444449</v>
      </c>
      <c r="D65" s="23">
        <v>0.57986111111111116</v>
      </c>
      <c r="E65" s="24">
        <v>48610</v>
      </c>
      <c r="F65" s="25">
        <v>15080</v>
      </c>
      <c r="G65" s="25">
        <f t="shared" si="0"/>
        <v>33530</v>
      </c>
      <c r="H65" s="26" t="s">
        <v>270</v>
      </c>
      <c r="I65" s="26" t="s">
        <v>271</v>
      </c>
    </row>
    <row r="66" spans="1:9" hidden="1">
      <c r="A66" s="15">
        <v>65</v>
      </c>
      <c r="B66" s="16" t="s">
        <v>206</v>
      </c>
      <c r="C66" s="17">
        <v>0.57847222222222228</v>
      </c>
      <c r="D66" s="17">
        <v>0.58680555555555558</v>
      </c>
      <c r="E66" s="18">
        <v>88280</v>
      </c>
      <c r="F66" s="19">
        <v>26380</v>
      </c>
      <c r="G66" s="19">
        <f t="shared" si="0"/>
        <v>61900</v>
      </c>
      <c r="H66" s="20" t="s">
        <v>270</v>
      </c>
      <c r="I66" s="20" t="s">
        <v>271</v>
      </c>
    </row>
    <row r="67" spans="1:9" hidden="1">
      <c r="A67" s="21">
        <v>66</v>
      </c>
      <c r="B67" s="22" t="s">
        <v>204</v>
      </c>
      <c r="C67" s="23">
        <v>0.55000000000000004</v>
      </c>
      <c r="D67" s="23">
        <v>0.58819444444444446</v>
      </c>
      <c r="E67" s="24">
        <v>47940</v>
      </c>
      <c r="F67" s="25">
        <v>14270</v>
      </c>
      <c r="G67" s="25">
        <f t="shared" si="0"/>
        <v>33670</v>
      </c>
      <c r="H67" s="26" t="s">
        <v>270</v>
      </c>
      <c r="I67" s="26" t="s">
        <v>271</v>
      </c>
    </row>
    <row r="68" spans="1:9" hidden="1">
      <c r="A68" s="15">
        <v>67</v>
      </c>
      <c r="B68" s="16" t="s">
        <v>278</v>
      </c>
      <c r="C68" s="17">
        <v>0.55138888888888893</v>
      </c>
      <c r="D68" s="17">
        <v>0.59027777777777779</v>
      </c>
      <c r="E68" s="18">
        <v>48880</v>
      </c>
      <c r="F68" s="19">
        <v>15010</v>
      </c>
      <c r="G68" s="19">
        <f t="shared" si="0"/>
        <v>33870</v>
      </c>
      <c r="H68" s="20" t="s">
        <v>270</v>
      </c>
      <c r="I68" s="20" t="s">
        <v>271</v>
      </c>
    </row>
    <row r="69" spans="1:9" hidden="1">
      <c r="A69" s="21">
        <v>68</v>
      </c>
      <c r="B69" s="22" t="s">
        <v>208</v>
      </c>
      <c r="C69" s="23">
        <v>0.55138888888888893</v>
      </c>
      <c r="D69" s="23">
        <v>0.59375</v>
      </c>
      <c r="E69" s="24">
        <v>49750</v>
      </c>
      <c r="F69" s="25">
        <v>15890</v>
      </c>
      <c r="G69" s="25">
        <f t="shared" si="0"/>
        <v>33860</v>
      </c>
      <c r="H69" s="26" t="s">
        <v>270</v>
      </c>
      <c r="I69" s="26" t="s">
        <v>271</v>
      </c>
    </row>
    <row r="70" spans="1:9" hidden="1">
      <c r="A70" s="15">
        <v>69</v>
      </c>
      <c r="B70" s="16" t="s">
        <v>209</v>
      </c>
      <c r="C70" s="17">
        <v>0.55069444444444449</v>
      </c>
      <c r="D70" s="17">
        <v>0.59513888888888888</v>
      </c>
      <c r="E70" s="18">
        <v>49780</v>
      </c>
      <c r="F70" s="19">
        <v>15320</v>
      </c>
      <c r="G70" s="19">
        <f t="shared" si="0"/>
        <v>34460</v>
      </c>
      <c r="H70" s="20" t="s">
        <v>270</v>
      </c>
      <c r="I70" s="20" t="s">
        <v>271</v>
      </c>
    </row>
    <row r="71" spans="1:9" hidden="1">
      <c r="A71" s="21">
        <v>70</v>
      </c>
      <c r="B71" s="22" t="s">
        <v>210</v>
      </c>
      <c r="C71" s="23">
        <v>0.58194444444444449</v>
      </c>
      <c r="D71" s="23">
        <v>0.59861111111111109</v>
      </c>
      <c r="E71" s="24">
        <v>50120</v>
      </c>
      <c r="F71" s="25">
        <v>15280</v>
      </c>
      <c r="G71" s="25">
        <f t="shared" si="0"/>
        <v>34840</v>
      </c>
      <c r="H71" s="26" t="s">
        <v>270</v>
      </c>
      <c r="I71" s="26" t="s">
        <v>271</v>
      </c>
    </row>
    <row r="72" spans="1:9" hidden="1">
      <c r="A72" s="15">
        <v>71</v>
      </c>
      <c r="B72" s="16" t="s">
        <v>223</v>
      </c>
      <c r="C72" s="17">
        <v>0.58194444444444449</v>
      </c>
      <c r="D72" s="17">
        <v>0.60069444444444442</v>
      </c>
      <c r="E72" s="18">
        <v>50940</v>
      </c>
      <c r="F72" s="19">
        <v>15430</v>
      </c>
      <c r="G72" s="19">
        <f t="shared" ref="G72:G146" si="2">E72-F72</f>
        <v>35510</v>
      </c>
      <c r="H72" s="20" t="s">
        <v>270</v>
      </c>
      <c r="I72" s="20" t="s">
        <v>271</v>
      </c>
    </row>
    <row r="73" spans="1:9" hidden="1">
      <c r="A73" s="21">
        <v>72</v>
      </c>
      <c r="B73" s="22" t="s">
        <v>207</v>
      </c>
      <c r="C73" s="23">
        <v>0.58263888888888893</v>
      </c>
      <c r="D73" s="23">
        <v>0.6020833333333333</v>
      </c>
      <c r="E73" s="24">
        <v>49250</v>
      </c>
      <c r="F73" s="25">
        <v>15730</v>
      </c>
      <c r="G73" s="25">
        <f t="shared" si="2"/>
        <v>33520</v>
      </c>
      <c r="H73" s="26" t="s">
        <v>270</v>
      </c>
      <c r="I73" s="26" t="s">
        <v>271</v>
      </c>
    </row>
    <row r="74" spans="1:9" hidden="1">
      <c r="A74" s="15">
        <v>73</v>
      </c>
      <c r="B74" s="16" t="s">
        <v>211</v>
      </c>
      <c r="C74" s="17">
        <v>0.58263888888888893</v>
      </c>
      <c r="D74" s="17">
        <v>0.60486111111111107</v>
      </c>
      <c r="E74" s="18">
        <v>49310</v>
      </c>
      <c r="F74" s="19">
        <v>14470</v>
      </c>
      <c r="G74" s="19">
        <f t="shared" si="2"/>
        <v>34840</v>
      </c>
      <c r="H74" s="20" t="s">
        <v>270</v>
      </c>
      <c r="I74" s="20" t="s">
        <v>271</v>
      </c>
    </row>
    <row r="75" spans="1:9" hidden="1">
      <c r="A75" s="21">
        <v>74</v>
      </c>
      <c r="B75" s="22" t="s">
        <v>235</v>
      </c>
      <c r="C75" s="23">
        <v>0.59652777777777777</v>
      </c>
      <c r="D75" s="23">
        <v>0.6069444444444444</v>
      </c>
      <c r="E75" s="24">
        <v>50430</v>
      </c>
      <c r="F75" s="25">
        <v>15410</v>
      </c>
      <c r="G75" s="25">
        <f t="shared" si="2"/>
        <v>35020</v>
      </c>
      <c r="H75" s="26" t="s">
        <v>270</v>
      </c>
      <c r="I75" s="26" t="s">
        <v>271</v>
      </c>
    </row>
    <row r="76" spans="1:9" hidden="1">
      <c r="A76" s="15">
        <v>75</v>
      </c>
      <c r="B76" s="16" t="s">
        <v>212</v>
      </c>
      <c r="C76" s="17">
        <v>0.58333333333333337</v>
      </c>
      <c r="D76" s="17">
        <v>0.60833333333333328</v>
      </c>
      <c r="E76" s="18">
        <v>46380</v>
      </c>
      <c r="F76" s="19">
        <v>14940</v>
      </c>
      <c r="G76" s="19">
        <f>E76-F76</f>
        <v>31440</v>
      </c>
      <c r="H76" s="20" t="s">
        <v>270</v>
      </c>
      <c r="I76" s="20" t="s">
        <v>271</v>
      </c>
    </row>
    <row r="77" spans="1:9" hidden="1">
      <c r="A77" s="21">
        <v>76</v>
      </c>
      <c r="B77" s="22" t="s">
        <v>220</v>
      </c>
      <c r="C77" s="23">
        <v>0.59791666666666665</v>
      </c>
      <c r="D77" s="23">
        <v>0.61250000000000004</v>
      </c>
      <c r="E77" s="24">
        <v>50080</v>
      </c>
      <c r="F77" s="25">
        <v>15230</v>
      </c>
      <c r="G77" s="25">
        <f>E77-F77</f>
        <v>34850</v>
      </c>
      <c r="H77" s="26" t="s">
        <v>270</v>
      </c>
      <c r="I77" s="26" t="s">
        <v>271</v>
      </c>
    </row>
    <row r="78" spans="1:9" hidden="1">
      <c r="A78" s="15">
        <v>77</v>
      </c>
      <c r="B78" s="16" t="s">
        <v>259</v>
      </c>
      <c r="C78" s="17">
        <v>0.59722222222222221</v>
      </c>
      <c r="D78" s="17">
        <v>0.61388888888888893</v>
      </c>
      <c r="E78" s="18">
        <v>46200</v>
      </c>
      <c r="F78" s="19">
        <v>13660</v>
      </c>
      <c r="G78" s="19">
        <f t="shared" ref="G78:G141" si="3">E78-F78</f>
        <v>32540</v>
      </c>
      <c r="H78" s="20" t="s">
        <v>270</v>
      </c>
      <c r="I78" s="20" t="s">
        <v>271</v>
      </c>
    </row>
    <row r="79" spans="1:9" hidden="1">
      <c r="A79" s="21">
        <v>78</v>
      </c>
      <c r="B79" s="22" t="s">
        <v>219</v>
      </c>
      <c r="C79" s="23">
        <v>0.60972222222222228</v>
      </c>
      <c r="D79" s="23">
        <v>0.61527777777777781</v>
      </c>
      <c r="E79" s="24">
        <v>46410</v>
      </c>
      <c r="F79" s="25">
        <v>14680</v>
      </c>
      <c r="G79" s="25">
        <f t="shared" si="3"/>
        <v>31730</v>
      </c>
      <c r="H79" s="26" t="s">
        <v>270</v>
      </c>
      <c r="I79" s="26" t="s">
        <v>271</v>
      </c>
    </row>
    <row r="80" spans="1:9" hidden="1">
      <c r="A80" s="15">
        <v>79</v>
      </c>
      <c r="B80" s="16" t="s">
        <v>222</v>
      </c>
      <c r="C80" s="17">
        <v>0.59791666666666665</v>
      </c>
      <c r="D80" s="17">
        <v>0.61805555555555558</v>
      </c>
      <c r="E80" s="18">
        <v>47890</v>
      </c>
      <c r="F80" s="19">
        <v>14750</v>
      </c>
      <c r="G80" s="19">
        <f t="shared" si="3"/>
        <v>33140</v>
      </c>
      <c r="H80" s="20" t="s">
        <v>270</v>
      </c>
      <c r="I80" s="20" t="s">
        <v>271</v>
      </c>
    </row>
    <row r="81" spans="1:9" hidden="1">
      <c r="A81" s="21">
        <v>80</v>
      </c>
      <c r="B81" s="22" t="s">
        <v>218</v>
      </c>
      <c r="C81" s="23">
        <v>0.59722222222222221</v>
      </c>
      <c r="D81" s="23">
        <v>0.61944444444444446</v>
      </c>
      <c r="E81" s="24">
        <v>50170</v>
      </c>
      <c r="F81" s="25">
        <v>14570</v>
      </c>
      <c r="G81" s="25">
        <f t="shared" si="3"/>
        <v>35600</v>
      </c>
      <c r="H81" s="26" t="s">
        <v>270</v>
      </c>
      <c r="I81" s="26" t="s">
        <v>271</v>
      </c>
    </row>
    <row r="82" spans="1:9" hidden="1">
      <c r="A82" s="15">
        <v>81</v>
      </c>
      <c r="B82" s="16" t="s">
        <v>221</v>
      </c>
      <c r="C82" s="17">
        <v>0.61041666666666672</v>
      </c>
      <c r="D82" s="17">
        <v>0.62361111111111112</v>
      </c>
      <c r="E82" s="18">
        <v>49290</v>
      </c>
      <c r="F82" s="19">
        <v>15010</v>
      </c>
      <c r="G82" s="19">
        <f t="shared" si="3"/>
        <v>34280</v>
      </c>
      <c r="H82" s="20" t="s">
        <v>270</v>
      </c>
      <c r="I82" s="20" t="s">
        <v>271</v>
      </c>
    </row>
    <row r="83" spans="1:9" hidden="1">
      <c r="A83" s="21">
        <v>82</v>
      </c>
      <c r="B83" s="22" t="s">
        <v>279</v>
      </c>
      <c r="C83" s="23">
        <v>0.61111111111111116</v>
      </c>
      <c r="D83" s="23">
        <v>0.62569444444444444</v>
      </c>
      <c r="E83" s="24">
        <v>47160</v>
      </c>
      <c r="F83" s="25">
        <v>14690</v>
      </c>
      <c r="G83" s="25">
        <f t="shared" si="3"/>
        <v>32470</v>
      </c>
      <c r="H83" s="26" t="s">
        <v>270</v>
      </c>
      <c r="I83" s="26" t="s">
        <v>271</v>
      </c>
    </row>
    <row r="84" spans="1:9" hidden="1">
      <c r="A84" s="15">
        <v>83</v>
      </c>
      <c r="B84" s="16" t="s">
        <v>280</v>
      </c>
      <c r="C84" s="17">
        <v>0.61041666666666672</v>
      </c>
      <c r="D84" s="17">
        <v>0.62708333333333333</v>
      </c>
      <c r="E84" s="18">
        <v>49860</v>
      </c>
      <c r="F84" s="19">
        <v>15160</v>
      </c>
      <c r="G84" s="19">
        <f t="shared" si="3"/>
        <v>34700</v>
      </c>
      <c r="H84" s="20" t="s">
        <v>270</v>
      </c>
      <c r="I84" s="20" t="s">
        <v>271</v>
      </c>
    </row>
    <row r="85" spans="1:9" hidden="1">
      <c r="A85" s="21">
        <v>84</v>
      </c>
      <c r="B85" s="22" t="s">
        <v>213</v>
      </c>
      <c r="C85" s="23">
        <v>0.61111111111111116</v>
      </c>
      <c r="D85" s="23">
        <v>0.62916666666666665</v>
      </c>
      <c r="E85" s="24">
        <v>45400</v>
      </c>
      <c r="F85" s="25">
        <v>14720</v>
      </c>
      <c r="G85" s="25">
        <f t="shared" si="3"/>
        <v>30680</v>
      </c>
      <c r="H85" s="26" t="s">
        <v>270</v>
      </c>
      <c r="I85" s="26" t="s">
        <v>271</v>
      </c>
    </row>
    <row r="86" spans="1:9" hidden="1">
      <c r="A86" s="15">
        <v>85</v>
      </c>
      <c r="B86" s="16" t="s">
        <v>216</v>
      </c>
      <c r="C86" s="17">
        <v>0.6118055555555556</v>
      </c>
      <c r="D86" s="17">
        <v>0.6333333333333333</v>
      </c>
      <c r="E86" s="18">
        <v>47300</v>
      </c>
      <c r="F86" s="19">
        <v>15010</v>
      </c>
      <c r="G86" s="19">
        <f t="shared" si="3"/>
        <v>32290</v>
      </c>
      <c r="H86" s="20" t="s">
        <v>270</v>
      </c>
      <c r="I86" s="20" t="s">
        <v>271</v>
      </c>
    </row>
    <row r="87" spans="1:9" hidden="1">
      <c r="A87" s="21">
        <v>86</v>
      </c>
      <c r="B87" s="22" t="s">
        <v>77</v>
      </c>
      <c r="C87" s="23">
        <v>0.62152777777777779</v>
      </c>
      <c r="D87" s="23">
        <v>0.63402777777777775</v>
      </c>
      <c r="E87" s="24">
        <v>49880</v>
      </c>
      <c r="F87" s="25">
        <v>15290</v>
      </c>
      <c r="G87" s="25">
        <f t="shared" si="3"/>
        <v>34590</v>
      </c>
      <c r="H87" s="26" t="s">
        <v>270</v>
      </c>
      <c r="I87" s="26" t="s">
        <v>271</v>
      </c>
    </row>
    <row r="88" spans="1:9" hidden="1">
      <c r="A88" s="15">
        <v>87</v>
      </c>
      <c r="B88" s="16" t="s">
        <v>226</v>
      </c>
      <c r="C88" s="17">
        <v>0.62222222222222223</v>
      </c>
      <c r="D88" s="17">
        <v>0.63749999999999996</v>
      </c>
      <c r="E88" s="18">
        <v>47460</v>
      </c>
      <c r="F88" s="19">
        <v>15520</v>
      </c>
      <c r="G88" s="19">
        <f t="shared" si="3"/>
        <v>31940</v>
      </c>
      <c r="H88" s="20" t="s">
        <v>270</v>
      </c>
      <c r="I88" s="20" t="s">
        <v>271</v>
      </c>
    </row>
    <row r="89" spans="1:9" hidden="1">
      <c r="A89" s="21">
        <v>88</v>
      </c>
      <c r="B89" s="22" t="s">
        <v>229</v>
      </c>
      <c r="C89" s="23">
        <v>0.62222222222222223</v>
      </c>
      <c r="D89" s="23">
        <v>0.63888888888888884</v>
      </c>
      <c r="E89" s="24">
        <v>43360</v>
      </c>
      <c r="F89" s="25">
        <v>13440</v>
      </c>
      <c r="G89" s="25">
        <f t="shared" si="3"/>
        <v>29920</v>
      </c>
      <c r="H89" s="26" t="s">
        <v>270</v>
      </c>
      <c r="I89" s="26" t="s">
        <v>271</v>
      </c>
    </row>
    <row r="90" spans="1:9" hidden="1">
      <c r="A90" s="15">
        <v>89</v>
      </c>
      <c r="B90" s="16" t="s">
        <v>227</v>
      </c>
      <c r="C90" s="17">
        <v>0.62291666666666667</v>
      </c>
      <c r="D90" s="17">
        <v>0.64027777777777772</v>
      </c>
      <c r="E90" s="18">
        <v>45130</v>
      </c>
      <c r="F90" s="19">
        <v>16160</v>
      </c>
      <c r="G90" s="19">
        <f t="shared" si="3"/>
        <v>28970</v>
      </c>
      <c r="H90" s="20" t="s">
        <v>270</v>
      </c>
      <c r="I90" s="20" t="s">
        <v>271</v>
      </c>
    </row>
    <row r="91" spans="1:9" hidden="1">
      <c r="A91" s="21">
        <v>90</v>
      </c>
      <c r="B91" s="22" t="s">
        <v>281</v>
      </c>
      <c r="C91" s="23">
        <v>0.63541666666666663</v>
      </c>
      <c r="D91" s="23">
        <v>0.64375000000000004</v>
      </c>
      <c r="E91" s="24">
        <v>47340</v>
      </c>
      <c r="F91" s="25">
        <v>15440</v>
      </c>
      <c r="G91" s="25">
        <f t="shared" si="3"/>
        <v>31900</v>
      </c>
      <c r="H91" s="26" t="s">
        <v>270</v>
      </c>
      <c r="I91" s="26" t="s">
        <v>271</v>
      </c>
    </row>
    <row r="92" spans="1:9" hidden="1">
      <c r="A92" s="15">
        <v>91</v>
      </c>
      <c r="B92" s="16" t="s">
        <v>228</v>
      </c>
      <c r="C92" s="17">
        <v>0.62222222222222223</v>
      </c>
      <c r="D92" s="17">
        <v>0.64513888888888893</v>
      </c>
      <c r="E92" s="18">
        <v>48870</v>
      </c>
      <c r="F92" s="19">
        <v>15420</v>
      </c>
      <c r="G92" s="19">
        <f t="shared" si="3"/>
        <v>33450</v>
      </c>
      <c r="H92" s="20" t="s">
        <v>270</v>
      </c>
      <c r="I92" s="20" t="s">
        <v>271</v>
      </c>
    </row>
    <row r="93" spans="1:9" hidden="1">
      <c r="A93" s="21">
        <v>92</v>
      </c>
      <c r="B93" s="22" t="s">
        <v>215</v>
      </c>
      <c r="C93" s="23">
        <v>0.63611111111111107</v>
      </c>
      <c r="D93" s="23">
        <v>0.64861111111111114</v>
      </c>
      <c r="E93" s="24">
        <v>46110</v>
      </c>
      <c r="F93" s="25">
        <v>13820</v>
      </c>
      <c r="G93" s="25">
        <f t="shared" si="3"/>
        <v>32290</v>
      </c>
      <c r="H93" s="26" t="s">
        <v>270</v>
      </c>
      <c r="I93" s="26" t="s">
        <v>271</v>
      </c>
    </row>
    <row r="94" spans="1:9" hidden="1">
      <c r="A94" s="15">
        <v>93</v>
      </c>
      <c r="B94" s="16" t="s">
        <v>214</v>
      </c>
      <c r="C94" s="17">
        <v>0.63611111111111107</v>
      </c>
      <c r="D94" s="17">
        <v>0.64861111111111114</v>
      </c>
      <c r="E94" s="18">
        <v>49630</v>
      </c>
      <c r="F94" s="19">
        <v>15440</v>
      </c>
      <c r="G94" s="19">
        <f t="shared" si="3"/>
        <v>34190</v>
      </c>
      <c r="H94" s="20" t="s">
        <v>270</v>
      </c>
      <c r="I94" s="20" t="s">
        <v>271</v>
      </c>
    </row>
    <row r="95" spans="1:9" hidden="1">
      <c r="A95" s="21">
        <v>94</v>
      </c>
      <c r="B95" s="22" t="s">
        <v>217</v>
      </c>
      <c r="C95" s="23">
        <v>0.63680555555555551</v>
      </c>
      <c r="D95" s="23">
        <v>0.65208333333333335</v>
      </c>
      <c r="E95" s="24">
        <v>49370</v>
      </c>
      <c r="F95" s="25">
        <v>15150</v>
      </c>
      <c r="G95" s="25">
        <f t="shared" si="3"/>
        <v>34220</v>
      </c>
      <c r="H95" s="26" t="s">
        <v>270</v>
      </c>
      <c r="I95" s="26" t="s">
        <v>271</v>
      </c>
    </row>
    <row r="96" spans="1:9" hidden="1">
      <c r="A96" s="15">
        <v>95</v>
      </c>
      <c r="B96" s="16" t="s">
        <v>231</v>
      </c>
      <c r="C96" s="17">
        <v>0.64722222222222225</v>
      </c>
      <c r="D96" s="17">
        <v>0.65555555555555556</v>
      </c>
      <c r="E96" s="18">
        <v>45380</v>
      </c>
      <c r="F96" s="19">
        <v>14440</v>
      </c>
      <c r="G96" s="19">
        <f t="shared" si="3"/>
        <v>30940</v>
      </c>
      <c r="H96" s="20" t="s">
        <v>270</v>
      </c>
      <c r="I96" s="20" t="s">
        <v>271</v>
      </c>
    </row>
    <row r="97" spans="1:9" hidden="1">
      <c r="A97" s="21">
        <v>96</v>
      </c>
      <c r="B97" s="22" t="s">
        <v>246</v>
      </c>
      <c r="C97" s="23">
        <v>0.63680555555555551</v>
      </c>
      <c r="D97" s="23">
        <v>0.65763888888888888</v>
      </c>
      <c r="E97" s="24">
        <v>49790</v>
      </c>
      <c r="F97" s="25">
        <v>14600</v>
      </c>
      <c r="G97" s="25">
        <f t="shared" si="3"/>
        <v>35190</v>
      </c>
      <c r="H97" s="26" t="s">
        <v>270</v>
      </c>
      <c r="I97" s="26" t="s">
        <v>271</v>
      </c>
    </row>
    <row r="98" spans="1:9" hidden="1">
      <c r="A98" s="15">
        <v>97</v>
      </c>
      <c r="B98" s="16" t="s">
        <v>234</v>
      </c>
      <c r="C98" s="17">
        <v>0.64652777777777781</v>
      </c>
      <c r="D98" s="17">
        <v>0.65902777777777777</v>
      </c>
      <c r="E98" s="18">
        <v>47950</v>
      </c>
      <c r="F98" s="19">
        <v>15280</v>
      </c>
      <c r="G98" s="19">
        <f t="shared" si="3"/>
        <v>32670</v>
      </c>
      <c r="H98" s="20" t="s">
        <v>270</v>
      </c>
      <c r="I98" s="20" t="s">
        <v>271</v>
      </c>
    </row>
    <row r="99" spans="1:9" hidden="1">
      <c r="A99" s="21">
        <v>98</v>
      </c>
      <c r="B99" s="22" t="s">
        <v>233</v>
      </c>
      <c r="C99" s="23">
        <v>0.64652777777777781</v>
      </c>
      <c r="D99" s="23">
        <v>0.66249999999999998</v>
      </c>
      <c r="E99" s="24">
        <v>47540</v>
      </c>
      <c r="F99" s="25">
        <v>14350</v>
      </c>
      <c r="G99" s="25">
        <f t="shared" si="3"/>
        <v>33190</v>
      </c>
      <c r="H99" s="26" t="s">
        <v>270</v>
      </c>
      <c r="I99" s="26" t="s">
        <v>271</v>
      </c>
    </row>
    <row r="100" spans="1:9" hidden="1">
      <c r="A100" s="15">
        <v>99</v>
      </c>
      <c r="B100" s="16" t="s">
        <v>230</v>
      </c>
      <c r="C100" s="17">
        <v>0.6479166666666667</v>
      </c>
      <c r="D100" s="17">
        <v>0.66388888888888886</v>
      </c>
      <c r="E100" s="18">
        <v>47660</v>
      </c>
      <c r="F100" s="19">
        <v>14370</v>
      </c>
      <c r="G100" s="19">
        <f t="shared" si="3"/>
        <v>33290</v>
      </c>
      <c r="H100" s="20" t="s">
        <v>270</v>
      </c>
      <c r="I100" s="20" t="s">
        <v>271</v>
      </c>
    </row>
    <row r="101" spans="1:9" hidden="1">
      <c r="A101" s="21">
        <v>100</v>
      </c>
      <c r="B101" s="22" t="s">
        <v>232</v>
      </c>
      <c r="C101" s="23">
        <v>0.64722222222222225</v>
      </c>
      <c r="D101" s="23">
        <v>0.66388888888888886</v>
      </c>
      <c r="E101" s="24">
        <v>46200</v>
      </c>
      <c r="F101" s="25">
        <v>14270</v>
      </c>
      <c r="G101" s="25">
        <f t="shared" si="3"/>
        <v>31930</v>
      </c>
      <c r="H101" s="26" t="s">
        <v>270</v>
      </c>
      <c r="I101" s="26" t="s">
        <v>271</v>
      </c>
    </row>
    <row r="102" spans="1:9" hidden="1">
      <c r="A102" s="15">
        <v>101</v>
      </c>
      <c r="B102" s="16" t="s">
        <v>238</v>
      </c>
      <c r="C102" s="17">
        <v>0.66041666666666665</v>
      </c>
      <c r="D102" s="17">
        <v>0.67083333333333328</v>
      </c>
      <c r="E102" s="18">
        <v>50630</v>
      </c>
      <c r="F102" s="19">
        <v>14690</v>
      </c>
      <c r="G102" s="19">
        <f t="shared" si="3"/>
        <v>35940</v>
      </c>
      <c r="H102" s="20" t="s">
        <v>270</v>
      </c>
      <c r="I102" s="20" t="s">
        <v>271</v>
      </c>
    </row>
    <row r="103" spans="1:9" hidden="1">
      <c r="A103" s="21">
        <v>102</v>
      </c>
      <c r="B103" s="22" t="s">
        <v>239</v>
      </c>
      <c r="C103" s="23">
        <v>0.6479166666666667</v>
      </c>
      <c r="D103" s="23">
        <v>0.67222222222222228</v>
      </c>
      <c r="E103" s="24">
        <v>83520</v>
      </c>
      <c r="F103" s="25">
        <v>23030</v>
      </c>
      <c r="G103" s="25">
        <f t="shared" si="3"/>
        <v>60490</v>
      </c>
      <c r="H103" s="26" t="s">
        <v>270</v>
      </c>
      <c r="I103" s="26" t="s">
        <v>271</v>
      </c>
    </row>
    <row r="104" spans="1:9" hidden="1">
      <c r="A104" s="15">
        <v>103</v>
      </c>
      <c r="B104" s="16" t="s">
        <v>242</v>
      </c>
      <c r="C104" s="17">
        <v>0.66041666666666665</v>
      </c>
      <c r="D104" s="17">
        <v>0.67638888888888893</v>
      </c>
      <c r="E104" s="18">
        <v>44730</v>
      </c>
      <c r="F104" s="19">
        <v>14570</v>
      </c>
      <c r="G104" s="19">
        <f t="shared" si="3"/>
        <v>30160</v>
      </c>
      <c r="H104" s="20" t="s">
        <v>270</v>
      </c>
      <c r="I104" s="20" t="s">
        <v>271</v>
      </c>
    </row>
    <row r="105" spans="1:9" hidden="1">
      <c r="A105" s="21">
        <v>104</v>
      </c>
      <c r="B105" s="22" t="s">
        <v>244</v>
      </c>
      <c r="C105" s="23">
        <v>0.66180555555555554</v>
      </c>
      <c r="D105" s="23">
        <v>0.68125000000000002</v>
      </c>
      <c r="E105" s="24">
        <v>49160</v>
      </c>
      <c r="F105" s="25">
        <v>15960</v>
      </c>
      <c r="G105" s="25">
        <f t="shared" si="3"/>
        <v>33200</v>
      </c>
      <c r="H105" s="26" t="s">
        <v>270</v>
      </c>
      <c r="I105" s="26" t="s">
        <v>271</v>
      </c>
    </row>
    <row r="106" spans="1:9" hidden="1">
      <c r="A106" s="15">
        <v>105</v>
      </c>
      <c r="B106" s="16" t="s">
        <v>250</v>
      </c>
      <c r="C106" s="17">
        <v>0.66111111111111109</v>
      </c>
      <c r="D106" s="17">
        <v>0.68263888888888891</v>
      </c>
      <c r="E106" s="18">
        <v>48680</v>
      </c>
      <c r="F106" s="19">
        <v>14970</v>
      </c>
      <c r="G106" s="19">
        <f t="shared" si="3"/>
        <v>33710</v>
      </c>
      <c r="H106" s="20" t="s">
        <v>270</v>
      </c>
      <c r="I106" s="20" t="s">
        <v>271</v>
      </c>
    </row>
    <row r="107" spans="1:9" hidden="1">
      <c r="A107" s="21">
        <v>106</v>
      </c>
      <c r="B107" s="22" t="s">
        <v>282</v>
      </c>
      <c r="C107" s="23">
        <v>0.66180555555555554</v>
      </c>
      <c r="D107" s="23">
        <v>0.68541666666666667</v>
      </c>
      <c r="E107" s="24">
        <v>46750</v>
      </c>
      <c r="F107" s="25">
        <v>14500</v>
      </c>
      <c r="G107" s="25">
        <f t="shared" si="3"/>
        <v>32250</v>
      </c>
      <c r="H107" s="26" t="s">
        <v>270</v>
      </c>
      <c r="I107" s="26" t="s">
        <v>271</v>
      </c>
    </row>
    <row r="108" spans="1:9" hidden="1">
      <c r="A108" s="15">
        <v>107</v>
      </c>
      <c r="B108" s="16" t="s">
        <v>245</v>
      </c>
      <c r="C108" s="17">
        <v>0.66111111111111109</v>
      </c>
      <c r="D108" s="17">
        <v>0.68819444444444444</v>
      </c>
      <c r="E108" s="18">
        <v>49550</v>
      </c>
      <c r="F108" s="19">
        <v>15640</v>
      </c>
      <c r="G108" s="19">
        <f t="shared" si="3"/>
        <v>33910</v>
      </c>
      <c r="H108" s="20" t="s">
        <v>270</v>
      </c>
      <c r="I108" s="20" t="s">
        <v>271</v>
      </c>
    </row>
    <row r="109" spans="1:9" hidden="1">
      <c r="A109" s="21">
        <v>108</v>
      </c>
      <c r="B109" s="22" t="s">
        <v>224</v>
      </c>
      <c r="C109" s="23">
        <v>0.66111111111111109</v>
      </c>
      <c r="D109" s="23">
        <v>0.68958333333333333</v>
      </c>
      <c r="E109" s="24">
        <v>46790</v>
      </c>
      <c r="F109" s="25">
        <v>15070</v>
      </c>
      <c r="G109" s="25">
        <f t="shared" si="3"/>
        <v>31720</v>
      </c>
      <c r="H109" s="26" t="s">
        <v>270</v>
      </c>
      <c r="I109" s="26" t="s">
        <v>271</v>
      </c>
    </row>
    <row r="110" spans="1:9" hidden="1">
      <c r="A110" s="15">
        <v>109</v>
      </c>
      <c r="B110" s="16" t="s">
        <v>148</v>
      </c>
      <c r="C110" s="17">
        <v>0.6791666666666667</v>
      </c>
      <c r="D110" s="17">
        <v>0.69374999999999998</v>
      </c>
      <c r="E110" s="18">
        <v>47830</v>
      </c>
      <c r="F110" s="19">
        <v>14800</v>
      </c>
      <c r="G110" s="19">
        <f t="shared" si="3"/>
        <v>33030</v>
      </c>
      <c r="H110" s="20" t="s">
        <v>270</v>
      </c>
      <c r="I110" s="20" t="s">
        <v>271</v>
      </c>
    </row>
    <row r="111" spans="1:9" hidden="1">
      <c r="A111" s="21">
        <v>110</v>
      </c>
      <c r="B111" s="22" t="s">
        <v>225</v>
      </c>
      <c r="C111" s="23">
        <v>0.67847222222222225</v>
      </c>
      <c r="D111" s="23">
        <v>0.69861111111111107</v>
      </c>
      <c r="E111" s="24">
        <v>46780</v>
      </c>
      <c r="F111" s="25">
        <v>15030</v>
      </c>
      <c r="G111" s="25">
        <f t="shared" si="3"/>
        <v>31750</v>
      </c>
      <c r="H111" s="26" t="s">
        <v>270</v>
      </c>
      <c r="I111" s="26" t="s">
        <v>271</v>
      </c>
    </row>
    <row r="112" spans="1:9" hidden="1">
      <c r="A112" s="15">
        <v>111</v>
      </c>
      <c r="B112" s="16" t="s">
        <v>248</v>
      </c>
      <c r="C112" s="17">
        <v>0.6791666666666667</v>
      </c>
      <c r="D112" s="17">
        <v>0.69930555555555551</v>
      </c>
      <c r="E112" s="18">
        <v>46240</v>
      </c>
      <c r="F112" s="19">
        <v>14780</v>
      </c>
      <c r="G112" s="19">
        <f t="shared" si="3"/>
        <v>31460</v>
      </c>
      <c r="H112" s="20" t="s">
        <v>270</v>
      </c>
      <c r="I112" s="20" t="s">
        <v>271</v>
      </c>
    </row>
    <row r="113" spans="1:9" hidden="1">
      <c r="A113" s="21">
        <v>112</v>
      </c>
      <c r="B113" s="22" t="s">
        <v>243</v>
      </c>
      <c r="C113" s="23">
        <v>0.67986111111111114</v>
      </c>
      <c r="D113" s="23">
        <v>0.70138888888888884</v>
      </c>
      <c r="E113" s="24">
        <v>47100</v>
      </c>
      <c r="F113" s="25">
        <v>15080</v>
      </c>
      <c r="G113" s="25">
        <f t="shared" si="3"/>
        <v>32020</v>
      </c>
      <c r="H113" s="26" t="s">
        <v>270</v>
      </c>
      <c r="I113" s="26" t="s">
        <v>271</v>
      </c>
    </row>
    <row r="114" spans="1:9" hidden="1">
      <c r="A114" s="15">
        <v>113</v>
      </c>
      <c r="B114" s="16" t="s">
        <v>241</v>
      </c>
      <c r="C114" s="17">
        <v>0.6791666666666667</v>
      </c>
      <c r="D114" s="17">
        <v>0.70486111111111116</v>
      </c>
      <c r="E114" s="18">
        <v>49990</v>
      </c>
      <c r="F114" s="19">
        <v>15240</v>
      </c>
      <c r="G114" s="19">
        <f t="shared" si="3"/>
        <v>34750</v>
      </c>
      <c r="H114" s="20" t="s">
        <v>270</v>
      </c>
      <c r="I114" s="20" t="s">
        <v>271</v>
      </c>
    </row>
    <row r="115" spans="1:9" hidden="1">
      <c r="A115" s="21">
        <v>114</v>
      </c>
      <c r="B115" s="22" t="s">
        <v>237</v>
      </c>
      <c r="C115" s="23">
        <v>0.69513888888888886</v>
      </c>
      <c r="D115" s="23">
        <v>0.70625000000000004</v>
      </c>
      <c r="E115" s="24">
        <v>49250</v>
      </c>
      <c r="F115" s="25">
        <v>14880</v>
      </c>
      <c r="G115" s="25">
        <f t="shared" si="3"/>
        <v>34370</v>
      </c>
      <c r="H115" s="26" t="s">
        <v>270</v>
      </c>
      <c r="I115" s="26" t="s">
        <v>271</v>
      </c>
    </row>
    <row r="116" spans="1:9" hidden="1">
      <c r="A116" s="15">
        <v>115</v>
      </c>
      <c r="B116" s="16" t="s">
        <v>260</v>
      </c>
      <c r="C116" s="17">
        <v>0.6958333333333333</v>
      </c>
      <c r="D116" s="17">
        <v>0.70902777777777781</v>
      </c>
      <c r="E116" s="18">
        <v>44970</v>
      </c>
      <c r="F116" s="19">
        <v>14570</v>
      </c>
      <c r="G116" s="19">
        <f t="shared" si="3"/>
        <v>30400</v>
      </c>
      <c r="H116" s="20" t="s">
        <v>270</v>
      </c>
      <c r="I116" s="20" t="s">
        <v>271</v>
      </c>
    </row>
    <row r="117" spans="1:9" hidden="1">
      <c r="A117" s="21">
        <v>116</v>
      </c>
      <c r="B117" s="22" t="s">
        <v>247</v>
      </c>
      <c r="C117" s="23">
        <v>0.67986111111111114</v>
      </c>
      <c r="D117" s="23">
        <v>0.71180555555555558</v>
      </c>
      <c r="E117" s="24">
        <v>49990</v>
      </c>
      <c r="F117" s="25">
        <v>15360</v>
      </c>
      <c r="G117" s="25">
        <f t="shared" si="3"/>
        <v>34630</v>
      </c>
      <c r="H117" s="26" t="s">
        <v>270</v>
      </c>
      <c r="I117" s="26" t="s">
        <v>271</v>
      </c>
    </row>
    <row r="118" spans="1:9" hidden="1">
      <c r="A118" s="15">
        <v>117</v>
      </c>
      <c r="B118" s="16" t="s">
        <v>240</v>
      </c>
      <c r="C118" s="17">
        <v>0.6958333333333333</v>
      </c>
      <c r="D118" s="17">
        <v>0.71319444444444446</v>
      </c>
      <c r="E118" s="18">
        <v>47060</v>
      </c>
      <c r="F118" s="19">
        <v>14860</v>
      </c>
      <c r="G118" s="19">
        <f t="shared" si="3"/>
        <v>32200</v>
      </c>
      <c r="H118" s="20" t="s">
        <v>270</v>
      </c>
      <c r="I118" s="20" t="s">
        <v>271</v>
      </c>
    </row>
    <row r="119" spans="1:9" hidden="1">
      <c r="A119" s="21">
        <v>118</v>
      </c>
      <c r="B119" s="22" t="s">
        <v>249</v>
      </c>
      <c r="C119" s="23">
        <v>0.6958333333333333</v>
      </c>
      <c r="D119" s="23">
        <v>0.71805555555555556</v>
      </c>
      <c r="E119" s="24">
        <v>50610</v>
      </c>
      <c r="F119" s="25">
        <v>15700</v>
      </c>
      <c r="G119" s="25">
        <f t="shared" si="3"/>
        <v>34910</v>
      </c>
      <c r="H119" s="26" t="s">
        <v>270</v>
      </c>
      <c r="I119" s="26" t="s">
        <v>271</v>
      </c>
    </row>
    <row r="120" spans="1:9" hidden="1">
      <c r="A120" s="15">
        <v>119</v>
      </c>
      <c r="B120" s="16" t="s">
        <v>252</v>
      </c>
      <c r="C120" s="17">
        <v>0.69652777777777775</v>
      </c>
      <c r="D120" s="17">
        <v>0.72013888888888888</v>
      </c>
      <c r="E120" s="18">
        <v>48450</v>
      </c>
      <c r="F120" s="19">
        <v>14710</v>
      </c>
      <c r="G120" s="19">
        <f t="shared" si="3"/>
        <v>33740</v>
      </c>
      <c r="H120" s="20" t="s">
        <v>270</v>
      </c>
      <c r="I120" s="20" t="s">
        <v>271</v>
      </c>
    </row>
    <row r="121" spans="1:9" hidden="1">
      <c r="A121" s="21">
        <v>120</v>
      </c>
      <c r="B121" s="22" t="s">
        <v>253</v>
      </c>
      <c r="C121" s="23">
        <v>0.69652777777777775</v>
      </c>
      <c r="D121" s="23">
        <v>0.72152777777777777</v>
      </c>
      <c r="E121" s="24">
        <v>51390</v>
      </c>
      <c r="F121" s="25">
        <v>14870</v>
      </c>
      <c r="G121" s="25">
        <f t="shared" si="3"/>
        <v>36520</v>
      </c>
      <c r="H121" s="26" t="s">
        <v>270</v>
      </c>
      <c r="I121" s="26" t="s">
        <v>271</v>
      </c>
    </row>
    <row r="122" spans="1:9" hidden="1">
      <c r="A122" s="15">
        <v>121</v>
      </c>
      <c r="B122" s="16" t="s">
        <v>283</v>
      </c>
      <c r="C122" s="17">
        <v>0.69722222222222219</v>
      </c>
      <c r="D122" s="17">
        <v>0.72569444444444442</v>
      </c>
      <c r="E122" s="18">
        <v>47130</v>
      </c>
      <c r="F122" s="19">
        <v>14690</v>
      </c>
      <c r="G122" s="19">
        <f t="shared" si="3"/>
        <v>32440</v>
      </c>
      <c r="H122" s="20" t="s">
        <v>270</v>
      </c>
      <c r="I122" s="20" t="s">
        <v>271</v>
      </c>
    </row>
    <row r="123" spans="1:9" hidden="1">
      <c r="A123" s="21">
        <v>122</v>
      </c>
      <c r="B123" s="22" t="s">
        <v>255</v>
      </c>
      <c r="C123" s="23">
        <v>0.71597222222222223</v>
      </c>
      <c r="D123" s="23">
        <v>0.72916666666666663</v>
      </c>
      <c r="E123" s="24">
        <v>48050</v>
      </c>
      <c r="F123" s="25">
        <v>14340</v>
      </c>
      <c r="G123" s="25">
        <f t="shared" si="3"/>
        <v>33710</v>
      </c>
      <c r="H123" s="26" t="s">
        <v>270</v>
      </c>
      <c r="I123" s="26" t="s">
        <v>271</v>
      </c>
    </row>
    <row r="124" spans="1:9" hidden="1">
      <c r="A124" s="15">
        <v>123</v>
      </c>
      <c r="B124" s="16" t="s">
        <v>150</v>
      </c>
      <c r="C124" s="17">
        <v>0.71597222222222223</v>
      </c>
      <c r="D124" s="17">
        <v>0.74375000000000002</v>
      </c>
      <c r="E124" s="18">
        <v>86420</v>
      </c>
      <c r="F124" s="19">
        <v>25950</v>
      </c>
      <c r="G124" s="19">
        <f t="shared" si="3"/>
        <v>60470</v>
      </c>
      <c r="H124" s="20" t="s">
        <v>270</v>
      </c>
      <c r="I124" s="20" t="s">
        <v>271</v>
      </c>
    </row>
    <row r="125" spans="1:9" hidden="1">
      <c r="A125" s="21">
        <v>124</v>
      </c>
      <c r="B125" s="22" t="s">
        <v>257</v>
      </c>
      <c r="C125" s="23">
        <v>0.71666666666666667</v>
      </c>
      <c r="D125" s="23">
        <v>0.80833333333333335</v>
      </c>
      <c r="E125" s="24">
        <v>44160</v>
      </c>
      <c r="F125" s="25">
        <v>13820</v>
      </c>
      <c r="G125" s="25">
        <f t="shared" si="3"/>
        <v>30340</v>
      </c>
      <c r="H125" s="26" t="s">
        <v>270</v>
      </c>
      <c r="I125" s="26" t="s">
        <v>271</v>
      </c>
    </row>
    <row r="126" spans="1:9" hidden="1">
      <c r="A126" s="15">
        <v>125</v>
      </c>
      <c r="B126" s="16" t="s">
        <v>158</v>
      </c>
      <c r="C126" s="17">
        <v>0.71736111111111112</v>
      </c>
      <c r="D126" s="17">
        <v>0.80902777777777779</v>
      </c>
      <c r="E126" s="18">
        <v>45090</v>
      </c>
      <c r="F126" s="19">
        <v>14990</v>
      </c>
      <c r="G126" s="19">
        <f t="shared" si="3"/>
        <v>30100</v>
      </c>
      <c r="H126" s="20" t="s">
        <v>270</v>
      </c>
      <c r="I126" s="20" t="s">
        <v>271</v>
      </c>
    </row>
    <row r="127" spans="1:9" hidden="1">
      <c r="A127" s="21">
        <v>126</v>
      </c>
      <c r="B127" s="22" t="s">
        <v>256</v>
      </c>
      <c r="C127" s="23">
        <v>0.71666666666666667</v>
      </c>
      <c r="D127" s="23">
        <v>0.81041666666666667</v>
      </c>
      <c r="E127" s="24">
        <v>46120</v>
      </c>
      <c r="F127" s="25">
        <v>14070</v>
      </c>
      <c r="G127" s="25">
        <f t="shared" si="3"/>
        <v>32050</v>
      </c>
      <c r="H127" s="26" t="s">
        <v>270</v>
      </c>
      <c r="I127" s="26" t="s">
        <v>271</v>
      </c>
    </row>
    <row r="128" spans="1:9" hidden="1">
      <c r="A128" s="15">
        <v>127</v>
      </c>
      <c r="B128" s="16" t="s">
        <v>258</v>
      </c>
      <c r="C128" s="17">
        <v>0.71736111111111112</v>
      </c>
      <c r="D128" s="17">
        <v>0.81180555555555556</v>
      </c>
      <c r="E128" s="18">
        <v>44000</v>
      </c>
      <c r="F128" s="19">
        <v>14700</v>
      </c>
      <c r="G128" s="19">
        <f t="shared" si="3"/>
        <v>29300</v>
      </c>
      <c r="H128" s="20" t="s">
        <v>270</v>
      </c>
      <c r="I128" s="20" t="s">
        <v>271</v>
      </c>
    </row>
    <row r="129" spans="1:9" hidden="1">
      <c r="A129" s="21">
        <v>128</v>
      </c>
      <c r="B129" s="22" t="s">
        <v>167</v>
      </c>
      <c r="C129" s="23">
        <v>0.73055555555555551</v>
      </c>
      <c r="D129" s="23">
        <v>0.8125</v>
      </c>
      <c r="E129" s="24">
        <v>48390</v>
      </c>
      <c r="F129" s="25">
        <v>14380</v>
      </c>
      <c r="G129" s="25">
        <f t="shared" si="3"/>
        <v>34010</v>
      </c>
      <c r="H129" s="26" t="s">
        <v>270</v>
      </c>
      <c r="I129" s="26" t="s">
        <v>271</v>
      </c>
    </row>
    <row r="130" spans="1:9" hidden="1">
      <c r="A130" s="15">
        <v>129</v>
      </c>
      <c r="B130" s="16" t="s">
        <v>173</v>
      </c>
      <c r="C130" s="17">
        <v>0.73055555555555551</v>
      </c>
      <c r="D130" s="17">
        <v>0.81388888888888888</v>
      </c>
      <c r="E130" s="18">
        <v>45470</v>
      </c>
      <c r="F130" s="19">
        <v>15110</v>
      </c>
      <c r="G130" s="19">
        <f t="shared" si="3"/>
        <v>30360</v>
      </c>
      <c r="H130" s="20" t="s">
        <v>270</v>
      </c>
      <c r="I130" s="20" t="s">
        <v>271</v>
      </c>
    </row>
    <row r="131" spans="1:9" hidden="1">
      <c r="A131" s="21">
        <v>130</v>
      </c>
      <c r="B131" s="22" t="s">
        <v>181</v>
      </c>
      <c r="C131" s="23">
        <v>0.7319444444444444</v>
      </c>
      <c r="D131" s="23">
        <v>0.81458333333333333</v>
      </c>
      <c r="E131" s="24">
        <v>47600</v>
      </c>
      <c r="F131" s="25">
        <v>13960</v>
      </c>
      <c r="G131" s="25">
        <f t="shared" si="3"/>
        <v>33640</v>
      </c>
      <c r="H131" s="26" t="s">
        <v>270</v>
      </c>
      <c r="I131" s="26" t="s">
        <v>271</v>
      </c>
    </row>
    <row r="132" spans="1:9" hidden="1">
      <c r="A132" s="15">
        <v>131</v>
      </c>
      <c r="B132" s="16" t="s">
        <v>160</v>
      </c>
      <c r="C132" s="17">
        <v>0.73333333333333328</v>
      </c>
      <c r="D132" s="17">
        <v>0.81597222222222221</v>
      </c>
      <c r="E132" s="18">
        <v>45780</v>
      </c>
      <c r="F132" s="19">
        <v>14770</v>
      </c>
      <c r="G132" s="19">
        <f t="shared" si="3"/>
        <v>31010</v>
      </c>
      <c r="H132" s="20" t="s">
        <v>270</v>
      </c>
      <c r="I132" s="20" t="s">
        <v>271</v>
      </c>
    </row>
    <row r="133" spans="1:9" hidden="1">
      <c r="A133" s="21">
        <v>132</v>
      </c>
      <c r="B133" s="22" t="s">
        <v>251</v>
      </c>
      <c r="C133" s="23">
        <v>0.73263888888888884</v>
      </c>
      <c r="D133" s="23">
        <v>0.81736111111111109</v>
      </c>
      <c r="E133" s="24">
        <v>41220</v>
      </c>
      <c r="F133" s="25">
        <v>12680</v>
      </c>
      <c r="G133" s="25">
        <f t="shared" si="3"/>
        <v>28540</v>
      </c>
      <c r="H133" s="26" t="s">
        <v>270</v>
      </c>
      <c r="I133" s="26" t="s">
        <v>271</v>
      </c>
    </row>
    <row r="134" spans="1:9" hidden="1">
      <c r="A134" s="15">
        <v>133</v>
      </c>
      <c r="B134" s="16" t="s">
        <v>254</v>
      </c>
      <c r="C134" s="17">
        <v>0.73263888888888884</v>
      </c>
      <c r="D134" s="17">
        <v>0.81874999999999998</v>
      </c>
      <c r="E134" s="18">
        <v>45570</v>
      </c>
      <c r="F134" s="19">
        <v>14700</v>
      </c>
      <c r="G134" s="19">
        <f t="shared" si="3"/>
        <v>30870</v>
      </c>
      <c r="H134" s="20" t="s">
        <v>270</v>
      </c>
      <c r="I134" s="20" t="s">
        <v>271</v>
      </c>
    </row>
    <row r="135" spans="1:9" hidden="1">
      <c r="A135" s="21">
        <v>134</v>
      </c>
      <c r="B135" s="22" t="s">
        <v>159</v>
      </c>
      <c r="C135" s="23">
        <v>0.82013888888888886</v>
      </c>
      <c r="D135" s="23">
        <v>0.82430555555555551</v>
      </c>
      <c r="E135" s="24">
        <v>47410</v>
      </c>
      <c r="F135" s="25">
        <v>14730</v>
      </c>
      <c r="G135" s="25">
        <f t="shared" si="3"/>
        <v>32680</v>
      </c>
      <c r="H135" s="26" t="s">
        <v>270</v>
      </c>
      <c r="I135" s="26" t="s">
        <v>271</v>
      </c>
    </row>
    <row r="136" spans="1:9" hidden="1">
      <c r="A136" s="15">
        <v>135</v>
      </c>
      <c r="B136" s="16" t="s">
        <v>187</v>
      </c>
      <c r="C136" s="17">
        <v>0.82013888888888886</v>
      </c>
      <c r="D136" s="17">
        <v>0.82777777777777772</v>
      </c>
      <c r="E136" s="18">
        <v>46500</v>
      </c>
      <c r="F136" s="19">
        <v>14590</v>
      </c>
      <c r="G136" s="19">
        <f t="shared" si="3"/>
        <v>31910</v>
      </c>
      <c r="H136" s="20" t="s">
        <v>270</v>
      </c>
      <c r="I136" s="20" t="s">
        <v>271</v>
      </c>
    </row>
    <row r="137" spans="1:9" hidden="1">
      <c r="A137" s="21">
        <v>136</v>
      </c>
      <c r="B137" s="22" t="s">
        <v>172</v>
      </c>
      <c r="C137" s="23">
        <v>0.8208333333333333</v>
      </c>
      <c r="D137" s="23">
        <v>0.82916666666666672</v>
      </c>
      <c r="E137" s="24">
        <v>50150</v>
      </c>
      <c r="F137" s="25">
        <v>14580</v>
      </c>
      <c r="G137" s="25">
        <f t="shared" si="3"/>
        <v>35570</v>
      </c>
      <c r="H137" s="26" t="s">
        <v>270</v>
      </c>
      <c r="I137" s="26" t="s">
        <v>271</v>
      </c>
    </row>
    <row r="138" spans="1:9" hidden="1">
      <c r="A138" s="15">
        <v>137</v>
      </c>
      <c r="B138" s="16" t="s">
        <v>193</v>
      </c>
      <c r="C138" s="17">
        <v>0.82152777777777775</v>
      </c>
      <c r="D138" s="17">
        <v>0.83194444444444449</v>
      </c>
      <c r="E138" s="18">
        <v>46560</v>
      </c>
      <c r="F138" s="19">
        <v>14840</v>
      </c>
      <c r="G138" s="19">
        <f t="shared" si="3"/>
        <v>31720</v>
      </c>
      <c r="H138" s="20" t="s">
        <v>270</v>
      </c>
      <c r="I138" s="20" t="s">
        <v>271</v>
      </c>
    </row>
    <row r="139" spans="1:9" hidden="1">
      <c r="A139" s="21">
        <v>138</v>
      </c>
      <c r="B139" s="22" t="s">
        <v>188</v>
      </c>
      <c r="C139" s="23">
        <v>0.82222222222222219</v>
      </c>
      <c r="D139" s="23">
        <v>0.83472222222222225</v>
      </c>
      <c r="E139" s="24">
        <v>46320</v>
      </c>
      <c r="F139" s="25">
        <v>15080</v>
      </c>
      <c r="G139" s="25">
        <f t="shared" si="3"/>
        <v>31240</v>
      </c>
      <c r="H139" s="26" t="s">
        <v>270</v>
      </c>
      <c r="I139" s="26" t="s">
        <v>271</v>
      </c>
    </row>
    <row r="140" spans="1:9" hidden="1">
      <c r="A140" s="15">
        <v>139</v>
      </c>
      <c r="B140" s="16" t="s">
        <v>185</v>
      </c>
      <c r="C140" s="17">
        <v>0.8208333333333333</v>
      </c>
      <c r="D140" s="17">
        <v>0.83611111111111114</v>
      </c>
      <c r="E140" s="18">
        <v>47140</v>
      </c>
      <c r="F140" s="19">
        <v>14610</v>
      </c>
      <c r="G140" s="19">
        <f t="shared" si="3"/>
        <v>32530</v>
      </c>
      <c r="H140" s="20" t="s">
        <v>270</v>
      </c>
      <c r="I140" s="20" t="s">
        <v>271</v>
      </c>
    </row>
    <row r="141" spans="1:9" hidden="1">
      <c r="A141" s="21">
        <v>140</v>
      </c>
      <c r="B141" s="22" t="s">
        <v>183</v>
      </c>
      <c r="C141" s="23">
        <v>0.82152777777777775</v>
      </c>
      <c r="D141" s="23">
        <v>0.83958333333333335</v>
      </c>
      <c r="E141" s="24">
        <v>47130</v>
      </c>
      <c r="F141" s="25">
        <v>15050</v>
      </c>
      <c r="G141" s="25">
        <f t="shared" si="3"/>
        <v>32080</v>
      </c>
      <c r="H141" s="26" t="s">
        <v>270</v>
      </c>
      <c r="I141" s="26" t="s">
        <v>271</v>
      </c>
    </row>
    <row r="142" spans="1:9" hidden="1">
      <c r="A142" s="15">
        <v>141</v>
      </c>
      <c r="B142" s="16" t="s">
        <v>184</v>
      </c>
      <c r="C142" s="17">
        <v>0.82222222222222219</v>
      </c>
      <c r="D142" s="17">
        <v>0.84305555555555556</v>
      </c>
      <c r="E142" s="18">
        <v>48080</v>
      </c>
      <c r="F142" s="19">
        <v>14210</v>
      </c>
      <c r="G142" s="19">
        <f t="shared" ref="G142:G145" si="4">E142-F142</f>
        <v>33870</v>
      </c>
      <c r="H142" s="20" t="s">
        <v>270</v>
      </c>
      <c r="I142" s="20" t="s">
        <v>271</v>
      </c>
    </row>
    <row r="143" spans="1:9" hidden="1">
      <c r="A143" s="21">
        <v>142</v>
      </c>
      <c r="B143" s="22" t="s">
        <v>166</v>
      </c>
      <c r="C143" s="23">
        <v>0.82291666666666663</v>
      </c>
      <c r="D143" s="23">
        <v>0.84652777777777777</v>
      </c>
      <c r="E143" s="24">
        <v>46640</v>
      </c>
      <c r="F143" s="25">
        <v>14220</v>
      </c>
      <c r="G143" s="25">
        <f t="shared" si="4"/>
        <v>32420</v>
      </c>
      <c r="H143" s="26" t="s">
        <v>270</v>
      </c>
      <c r="I143" s="26" t="s">
        <v>271</v>
      </c>
    </row>
    <row r="144" spans="1:9" hidden="1">
      <c r="A144" s="15">
        <v>143</v>
      </c>
      <c r="B144" s="16" t="s">
        <v>161</v>
      </c>
      <c r="C144" s="17">
        <v>0.82361111111111107</v>
      </c>
      <c r="D144" s="17">
        <v>0.85069444444444442</v>
      </c>
      <c r="E144" s="18">
        <v>50230</v>
      </c>
      <c r="F144" s="19">
        <v>15510</v>
      </c>
      <c r="G144" s="19">
        <f t="shared" si="4"/>
        <v>34720</v>
      </c>
      <c r="H144" s="20" t="s">
        <v>270</v>
      </c>
      <c r="I144" s="20" t="s">
        <v>271</v>
      </c>
    </row>
    <row r="145" spans="1:9" hidden="1">
      <c r="A145" s="21">
        <v>144</v>
      </c>
      <c r="B145" s="22" t="s">
        <v>196</v>
      </c>
      <c r="C145" s="23">
        <v>0.84444444444444444</v>
      </c>
      <c r="D145" s="23">
        <v>0.85277777777777775</v>
      </c>
      <c r="E145" s="24">
        <v>50070</v>
      </c>
      <c r="F145" s="25">
        <v>14830</v>
      </c>
      <c r="G145" s="25">
        <f t="shared" si="4"/>
        <v>35240</v>
      </c>
      <c r="H145" s="26" t="s">
        <v>270</v>
      </c>
      <c r="I145" s="26" t="s">
        <v>271</v>
      </c>
    </row>
    <row r="146" spans="1:9">
      <c r="A146" s="15">
        <v>145</v>
      </c>
      <c r="B146" s="39" t="s">
        <v>175</v>
      </c>
      <c r="C146" s="17">
        <v>0.84861111111111109</v>
      </c>
      <c r="D146" s="17">
        <v>0.85624999999999996</v>
      </c>
      <c r="E146" s="18">
        <v>48550</v>
      </c>
      <c r="F146" s="19">
        <v>15510</v>
      </c>
      <c r="G146" s="19">
        <f t="shared" si="2"/>
        <v>33040</v>
      </c>
      <c r="H146" s="20" t="s">
        <v>270</v>
      </c>
      <c r="I146" s="20" t="s">
        <v>271</v>
      </c>
    </row>
  </sheetData>
  <autoFilter ref="A1:I146" xr:uid="{0AAB4878-2641-294A-920E-CB761060DF89}">
    <filterColumn colId="1">
      <filters>
        <filter val="HJI 017"/>
      </filters>
    </filterColumn>
  </autoFilter>
  <conditionalFormatting sqref="I2:I146">
    <cfRule type="cellIs" dxfId="0" priority="1" operator="equal">
      <formula>"原煤"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C111-43EE-6548-B976-BB2171391451}">
  <dimension ref="A1:O146"/>
  <sheetViews>
    <sheetView tabSelected="1" zoomScale="142" workbookViewId="0">
      <pane ySplit="1" topLeftCell="A2" activePane="bottomLeft" state="frozen"/>
      <selection pane="bottomLeft" activeCell="E24" sqref="E24"/>
    </sheetView>
  </sheetViews>
  <sheetFormatPr baseColWidth="10" defaultRowHeight="14"/>
  <cols>
    <col min="1" max="1" width="9" bestFit="1" customWidth="1"/>
    <col min="2" max="2" width="9.83203125" bestFit="1" customWidth="1"/>
    <col min="3" max="3" width="12.6640625" bestFit="1" customWidth="1"/>
    <col min="4" max="4" width="10.1640625" bestFit="1" customWidth="1"/>
    <col min="5" max="6" width="17.6640625" bestFit="1" customWidth="1"/>
    <col min="7" max="7" width="9.1640625" bestFit="1" customWidth="1"/>
    <col min="8" max="8" width="15" bestFit="1" customWidth="1"/>
    <col min="9" max="9" width="13.5" bestFit="1" customWidth="1"/>
    <col min="10" max="10" width="14.5" bestFit="1" customWidth="1"/>
    <col min="11" max="11" width="15.83203125" bestFit="1" customWidth="1"/>
    <col min="12" max="12" width="14.6640625" bestFit="1" customWidth="1"/>
    <col min="13" max="13" width="15.6640625" bestFit="1" customWidth="1"/>
    <col min="14" max="15" width="12" bestFit="1" customWidth="1"/>
  </cols>
  <sheetData>
    <row r="1" spans="1:15" ht="28" customHeight="1">
      <c r="A1" s="27" t="s">
        <v>261</v>
      </c>
      <c r="B1" s="27" t="s">
        <v>284</v>
      </c>
      <c r="C1" s="27" t="s">
        <v>262</v>
      </c>
      <c r="D1" s="27" t="s">
        <v>0</v>
      </c>
      <c r="E1" s="27" t="s">
        <v>263</v>
      </c>
      <c r="F1" s="27" t="s">
        <v>264</v>
      </c>
      <c r="G1" s="27" t="s">
        <v>6</v>
      </c>
      <c r="H1" s="27" t="s">
        <v>265</v>
      </c>
      <c r="I1" s="27" t="s">
        <v>266</v>
      </c>
      <c r="J1" s="27" t="s">
        <v>267</v>
      </c>
      <c r="K1" s="27" t="s">
        <v>285</v>
      </c>
      <c r="L1" s="27" t="s">
        <v>286</v>
      </c>
      <c r="M1" s="27" t="s">
        <v>287</v>
      </c>
      <c r="N1" s="27" t="s">
        <v>268</v>
      </c>
      <c r="O1" s="27" t="s">
        <v>288</v>
      </c>
    </row>
    <row r="2" spans="1:15">
      <c r="A2" s="28">
        <v>1</v>
      </c>
      <c r="B2" s="28">
        <v>1</v>
      </c>
      <c r="C2" s="28" t="s">
        <v>148</v>
      </c>
      <c r="D2" s="29">
        <v>46196</v>
      </c>
      <c r="E2" s="30">
        <v>0.34097222222222201</v>
      </c>
      <c r="F2" s="30">
        <v>0.34861111111111098</v>
      </c>
      <c r="G2" s="30">
        <v>0.49027777777777776</v>
      </c>
      <c r="H2" s="31">
        <v>50570</v>
      </c>
      <c r="I2" s="31">
        <v>14850</v>
      </c>
      <c r="J2" s="31">
        <v>35720</v>
      </c>
      <c r="K2" s="32">
        <v>50.08</v>
      </c>
      <c r="L2" s="32">
        <v>14.85</v>
      </c>
      <c r="M2" s="32">
        <v>35.229999999999997</v>
      </c>
      <c r="N2" s="28" t="s">
        <v>270</v>
      </c>
      <c r="O2" s="28" t="s">
        <v>289</v>
      </c>
    </row>
    <row r="3" spans="1:15">
      <c r="A3" s="33">
        <v>2</v>
      </c>
      <c r="B3" s="33">
        <v>17</v>
      </c>
      <c r="C3" s="33" t="s">
        <v>164</v>
      </c>
      <c r="D3" s="34">
        <v>46196</v>
      </c>
      <c r="E3" s="35">
        <v>0.34097222222222201</v>
      </c>
      <c r="F3" s="35">
        <v>0.35</v>
      </c>
      <c r="G3" s="35">
        <v>0.59791666666666665</v>
      </c>
      <c r="H3" s="36">
        <v>87530</v>
      </c>
      <c r="I3" s="36">
        <v>25650</v>
      </c>
      <c r="J3" s="36">
        <v>61880</v>
      </c>
      <c r="K3" s="37">
        <v>87.53</v>
      </c>
      <c r="L3" s="37">
        <v>25.65</v>
      </c>
      <c r="M3" s="37">
        <v>61.88</v>
      </c>
      <c r="N3" s="33" t="s">
        <v>270</v>
      </c>
      <c r="O3" s="33" t="s">
        <v>289</v>
      </c>
    </row>
    <row r="4" spans="1:15">
      <c r="A4" s="28">
        <v>3</v>
      </c>
      <c r="B4" s="28">
        <v>15</v>
      </c>
      <c r="C4" s="28" t="s">
        <v>162</v>
      </c>
      <c r="D4" s="29">
        <v>46196</v>
      </c>
      <c r="E4" s="30">
        <v>0.34236111111111101</v>
      </c>
      <c r="F4" s="30">
        <v>0.35625000000000001</v>
      </c>
      <c r="G4" s="30">
        <v>0.59652777777777777</v>
      </c>
      <c r="H4" s="31">
        <v>86790</v>
      </c>
      <c r="I4" s="31">
        <v>25920</v>
      </c>
      <c r="J4" s="31">
        <v>60870</v>
      </c>
      <c r="K4" s="32">
        <v>86.79</v>
      </c>
      <c r="L4" s="32">
        <v>25.92</v>
      </c>
      <c r="M4" s="32">
        <v>60.87</v>
      </c>
      <c r="N4" s="28" t="s">
        <v>270</v>
      </c>
      <c r="O4" s="28" t="s">
        <v>289</v>
      </c>
    </row>
    <row r="5" spans="1:15">
      <c r="A5" s="33">
        <v>4</v>
      </c>
      <c r="B5" s="33">
        <v>16</v>
      </c>
      <c r="C5" s="33" t="s">
        <v>163</v>
      </c>
      <c r="D5" s="34">
        <v>46196</v>
      </c>
      <c r="E5" s="35">
        <v>0.34166666666666701</v>
      </c>
      <c r="F5" s="35">
        <v>0.358333333333333</v>
      </c>
      <c r="G5" s="35">
        <v>0.59722222222222221</v>
      </c>
      <c r="H5" s="36">
        <v>84740</v>
      </c>
      <c r="I5" s="36">
        <v>23180</v>
      </c>
      <c r="J5" s="36">
        <v>61560</v>
      </c>
      <c r="K5" s="37">
        <v>84.74</v>
      </c>
      <c r="L5" s="37">
        <v>23.18</v>
      </c>
      <c r="M5" s="37">
        <v>61.56</v>
      </c>
      <c r="N5" s="33" t="s">
        <v>270</v>
      </c>
      <c r="O5" s="33" t="s">
        <v>289</v>
      </c>
    </row>
    <row r="6" spans="1:15">
      <c r="A6" s="28">
        <v>5</v>
      </c>
      <c r="B6" s="28">
        <v>3</v>
      </c>
      <c r="C6" s="28" t="s">
        <v>150</v>
      </c>
      <c r="D6" s="29">
        <v>46196</v>
      </c>
      <c r="E6" s="30">
        <v>0.34236111111111101</v>
      </c>
      <c r="F6" s="30">
        <v>0.36319444444444399</v>
      </c>
      <c r="G6" s="30">
        <v>0.54652777777777772</v>
      </c>
      <c r="H6" s="31">
        <v>87930</v>
      </c>
      <c r="I6" s="31">
        <v>26050</v>
      </c>
      <c r="J6" s="31">
        <v>61880</v>
      </c>
      <c r="K6" s="32">
        <v>87.93</v>
      </c>
      <c r="L6" s="32">
        <v>26.05</v>
      </c>
      <c r="M6" s="32">
        <v>61.88</v>
      </c>
      <c r="N6" s="28" t="s">
        <v>270</v>
      </c>
      <c r="O6" s="28" t="s">
        <v>289</v>
      </c>
    </row>
    <row r="7" spans="1:15">
      <c r="A7" s="28">
        <v>6</v>
      </c>
      <c r="B7" s="28">
        <v>14</v>
      </c>
      <c r="C7" s="28" t="s">
        <v>161</v>
      </c>
      <c r="D7" s="29">
        <v>46196</v>
      </c>
      <c r="E7" s="30">
        <v>0.343055555555556</v>
      </c>
      <c r="F7" s="30">
        <v>0.36527777777777798</v>
      </c>
      <c r="G7" s="30">
        <v>0.59583333333333333</v>
      </c>
      <c r="H7" s="31">
        <v>48520</v>
      </c>
      <c r="I7" s="31">
        <v>15570</v>
      </c>
      <c r="J7" s="31">
        <v>32950</v>
      </c>
      <c r="K7" s="32">
        <v>48.7</v>
      </c>
      <c r="L7" s="32">
        <v>15.57</v>
      </c>
      <c r="M7" s="32">
        <v>33.130000000000003</v>
      </c>
      <c r="N7" s="28" t="s">
        <v>270</v>
      </c>
      <c r="O7" s="28" t="s">
        <v>289</v>
      </c>
    </row>
    <row r="8" spans="1:15">
      <c r="A8" s="28">
        <v>7</v>
      </c>
      <c r="B8" s="28">
        <v>18</v>
      </c>
      <c r="C8" s="28" t="s">
        <v>165</v>
      </c>
      <c r="D8" s="29">
        <v>46196</v>
      </c>
      <c r="E8" s="30">
        <v>0.34166666666666701</v>
      </c>
      <c r="F8" s="30">
        <v>0.37013888888888902</v>
      </c>
      <c r="G8" s="30">
        <v>0.59861111111111109</v>
      </c>
      <c r="H8" s="31">
        <v>87550</v>
      </c>
      <c r="I8" s="31">
        <v>26010</v>
      </c>
      <c r="J8" s="31">
        <v>61540</v>
      </c>
      <c r="K8" s="32">
        <v>87.55</v>
      </c>
      <c r="L8" s="32">
        <v>26.01</v>
      </c>
      <c r="M8" s="32">
        <v>61.54</v>
      </c>
      <c r="N8" s="28" t="s">
        <v>270</v>
      </c>
      <c r="O8" s="28" t="s">
        <v>289</v>
      </c>
    </row>
    <row r="9" spans="1:15">
      <c r="A9" s="33">
        <v>8</v>
      </c>
      <c r="B9" s="33">
        <v>25</v>
      </c>
      <c r="C9" s="33" t="s">
        <v>172</v>
      </c>
      <c r="D9" s="34">
        <v>46196</v>
      </c>
      <c r="E9" s="35">
        <v>0.343055555555556</v>
      </c>
      <c r="F9" s="35">
        <v>0.37152777777777801</v>
      </c>
      <c r="G9" s="35">
        <v>0.61041666666666672</v>
      </c>
      <c r="H9" s="36">
        <v>49100</v>
      </c>
      <c r="I9" s="36">
        <v>14620</v>
      </c>
      <c r="J9" s="36">
        <v>34480</v>
      </c>
      <c r="K9" s="37">
        <v>48.65</v>
      </c>
      <c r="L9" s="37">
        <v>14.62</v>
      </c>
      <c r="M9" s="37">
        <v>34.03</v>
      </c>
      <c r="N9" s="33" t="s">
        <v>270</v>
      </c>
      <c r="O9" s="33" t="s">
        <v>289</v>
      </c>
    </row>
    <row r="10" spans="1:15">
      <c r="A10" s="28">
        <v>9</v>
      </c>
      <c r="B10" s="28">
        <v>4</v>
      </c>
      <c r="C10" s="28" t="s">
        <v>151</v>
      </c>
      <c r="D10" s="29">
        <v>46196</v>
      </c>
      <c r="E10" s="30">
        <v>0.34375</v>
      </c>
      <c r="F10" s="30">
        <v>0.375694444444444</v>
      </c>
      <c r="G10" s="30">
        <v>0.54791666666666672</v>
      </c>
      <c r="H10" s="31">
        <v>86580</v>
      </c>
      <c r="I10" s="31">
        <v>25730</v>
      </c>
      <c r="J10" s="31">
        <v>60850</v>
      </c>
      <c r="K10" s="32">
        <v>86.58</v>
      </c>
      <c r="L10" s="32">
        <v>25.73</v>
      </c>
      <c r="M10" s="32">
        <v>60.85</v>
      </c>
      <c r="N10" s="28" t="s">
        <v>270</v>
      </c>
      <c r="O10" s="28" t="s">
        <v>289</v>
      </c>
    </row>
    <row r="11" spans="1:15">
      <c r="A11" s="33">
        <v>10</v>
      </c>
      <c r="B11" s="33">
        <v>2</v>
      </c>
      <c r="C11" s="33" t="s">
        <v>149</v>
      </c>
      <c r="D11" s="34">
        <v>46196</v>
      </c>
      <c r="E11" s="35">
        <v>0.36805555555555602</v>
      </c>
      <c r="F11" s="35">
        <v>0.37708333333333299</v>
      </c>
      <c r="G11" s="35">
        <v>0.49722222222222223</v>
      </c>
      <c r="H11" s="36">
        <v>48250</v>
      </c>
      <c r="I11" s="36">
        <v>14770</v>
      </c>
      <c r="J11" s="36">
        <v>33480</v>
      </c>
      <c r="K11" s="37">
        <v>47.8</v>
      </c>
      <c r="L11" s="37">
        <v>14.77</v>
      </c>
      <c r="M11" s="37">
        <v>33.03</v>
      </c>
      <c r="N11" s="33" t="s">
        <v>270</v>
      </c>
      <c r="O11" s="33" t="s">
        <v>289</v>
      </c>
    </row>
    <row r="12" spans="1:15">
      <c r="A12" s="28">
        <v>11</v>
      </c>
      <c r="B12" s="28">
        <v>6</v>
      </c>
      <c r="C12" s="28" t="s">
        <v>153</v>
      </c>
      <c r="D12" s="29">
        <v>46196</v>
      </c>
      <c r="E12" s="30">
        <v>0.36875000000000002</v>
      </c>
      <c r="F12" s="30">
        <v>0.38333333333333303</v>
      </c>
      <c r="G12" s="30">
        <v>0.54861111111111116</v>
      </c>
      <c r="H12" s="31">
        <v>46860</v>
      </c>
      <c r="I12" s="31">
        <v>14510</v>
      </c>
      <c r="J12" s="31">
        <v>32350</v>
      </c>
      <c r="K12" s="32">
        <v>46.36</v>
      </c>
      <c r="L12" s="32">
        <v>14.51</v>
      </c>
      <c r="M12" s="32">
        <v>31.85</v>
      </c>
      <c r="N12" s="28" t="s">
        <v>270</v>
      </c>
      <c r="O12" s="28" t="s">
        <v>289</v>
      </c>
    </row>
    <row r="13" spans="1:15">
      <c r="A13" s="33">
        <v>12</v>
      </c>
      <c r="B13" s="33">
        <v>5</v>
      </c>
      <c r="C13" s="33" t="s">
        <v>152</v>
      </c>
      <c r="D13" s="34">
        <v>46196</v>
      </c>
      <c r="E13" s="35">
        <v>0.344444444444444</v>
      </c>
      <c r="F13" s="35">
        <v>0.38472222222222202</v>
      </c>
      <c r="G13" s="35">
        <v>0.54861111111111116</v>
      </c>
      <c r="H13" s="36">
        <v>84660</v>
      </c>
      <c r="I13" s="36">
        <v>25900</v>
      </c>
      <c r="J13" s="36">
        <v>58760</v>
      </c>
      <c r="K13" s="37">
        <v>84.66</v>
      </c>
      <c r="L13" s="37">
        <v>25.9</v>
      </c>
      <c r="M13" s="37">
        <v>58.76</v>
      </c>
      <c r="N13" s="33" t="s">
        <v>270</v>
      </c>
      <c r="O13" s="33" t="s">
        <v>289</v>
      </c>
    </row>
    <row r="14" spans="1:15">
      <c r="A14" s="28">
        <v>13</v>
      </c>
      <c r="B14" s="28">
        <v>7</v>
      </c>
      <c r="C14" s="28" t="s">
        <v>154</v>
      </c>
      <c r="D14" s="29">
        <v>46196</v>
      </c>
      <c r="E14" s="30">
        <v>0.36736111111111103</v>
      </c>
      <c r="F14" s="30">
        <v>0.39305555555555599</v>
      </c>
      <c r="G14" s="30">
        <v>0.5493055555555556</v>
      </c>
      <c r="H14" s="31">
        <v>80420</v>
      </c>
      <c r="I14" s="31">
        <v>25850</v>
      </c>
      <c r="J14" s="31">
        <v>54570</v>
      </c>
      <c r="K14" s="32">
        <v>80.42</v>
      </c>
      <c r="L14" s="32">
        <v>25.85</v>
      </c>
      <c r="M14" s="32">
        <v>54.57</v>
      </c>
      <c r="N14" s="28" t="s">
        <v>270</v>
      </c>
      <c r="O14" s="28" t="s">
        <v>289</v>
      </c>
    </row>
    <row r="15" spans="1:15">
      <c r="A15" s="33">
        <v>14</v>
      </c>
      <c r="B15" s="33">
        <v>8</v>
      </c>
      <c r="C15" s="33" t="s">
        <v>155</v>
      </c>
      <c r="D15" s="34">
        <v>46196</v>
      </c>
      <c r="E15" s="35">
        <v>0.36736111111111103</v>
      </c>
      <c r="F15" s="35">
        <v>0.390972222222222</v>
      </c>
      <c r="G15" s="35">
        <v>0.5493055555555556</v>
      </c>
      <c r="H15" s="36">
        <v>86510</v>
      </c>
      <c r="I15" s="36">
        <v>25760</v>
      </c>
      <c r="J15" s="36">
        <v>60750</v>
      </c>
      <c r="K15" s="37">
        <v>86.51</v>
      </c>
      <c r="L15" s="37">
        <v>25.76</v>
      </c>
      <c r="M15" s="37">
        <v>60.75</v>
      </c>
      <c r="N15" s="33" t="s">
        <v>270</v>
      </c>
      <c r="O15" s="33" t="s">
        <v>289</v>
      </c>
    </row>
    <row r="16" spans="1:15">
      <c r="A16" s="28">
        <v>15</v>
      </c>
      <c r="B16" s="28">
        <v>44</v>
      </c>
      <c r="C16" s="28" t="s">
        <v>190</v>
      </c>
      <c r="D16" s="29">
        <v>46196</v>
      </c>
      <c r="E16" s="30">
        <v>0.38263888888888897</v>
      </c>
      <c r="F16" s="30">
        <v>0.39374999999999999</v>
      </c>
      <c r="G16" s="30">
        <v>0.64097222222222228</v>
      </c>
      <c r="H16" s="31">
        <v>50970</v>
      </c>
      <c r="I16" s="31">
        <v>14750</v>
      </c>
      <c r="J16" s="31">
        <v>36220</v>
      </c>
      <c r="K16" s="32">
        <v>50.61</v>
      </c>
      <c r="L16" s="32">
        <v>14.75</v>
      </c>
      <c r="M16" s="32">
        <v>35.86</v>
      </c>
      <c r="N16" s="28" t="s">
        <v>270</v>
      </c>
      <c r="O16" s="28" t="s">
        <v>289</v>
      </c>
    </row>
    <row r="17" spans="1:15">
      <c r="A17" s="33">
        <v>16</v>
      </c>
      <c r="B17" s="33">
        <v>12</v>
      </c>
      <c r="C17" s="33" t="s">
        <v>159</v>
      </c>
      <c r="D17" s="34">
        <v>46196</v>
      </c>
      <c r="E17" s="35">
        <v>0.38194444444444398</v>
      </c>
      <c r="F17" s="35">
        <v>0.39930555555555602</v>
      </c>
      <c r="G17" s="35">
        <v>0.59444444444444444</v>
      </c>
      <c r="H17" s="36">
        <v>48660</v>
      </c>
      <c r="I17" s="36">
        <v>14740</v>
      </c>
      <c r="J17" s="36">
        <v>33920</v>
      </c>
      <c r="K17" s="37">
        <v>47.66</v>
      </c>
      <c r="L17" s="37">
        <v>14.74</v>
      </c>
      <c r="M17" s="37">
        <v>32.92</v>
      </c>
      <c r="N17" s="33" t="s">
        <v>270</v>
      </c>
      <c r="O17" s="33" t="s">
        <v>289</v>
      </c>
    </row>
    <row r="18" spans="1:15">
      <c r="A18" s="28">
        <v>17</v>
      </c>
      <c r="B18" s="28">
        <v>9</v>
      </c>
      <c r="C18" s="28" t="s">
        <v>156</v>
      </c>
      <c r="D18" s="29">
        <v>46196</v>
      </c>
      <c r="E18" s="30">
        <v>0.36805555555555602</v>
      </c>
      <c r="F18" s="30">
        <v>0.40138888888888902</v>
      </c>
      <c r="G18" s="30">
        <v>0.55000000000000004</v>
      </c>
      <c r="H18" s="31">
        <v>48870</v>
      </c>
      <c r="I18" s="31">
        <v>14730</v>
      </c>
      <c r="J18" s="31">
        <v>34140</v>
      </c>
      <c r="K18" s="32">
        <v>48.29</v>
      </c>
      <c r="L18" s="32">
        <v>14.73</v>
      </c>
      <c r="M18" s="32">
        <v>33.56</v>
      </c>
      <c r="N18" s="28" t="s">
        <v>270</v>
      </c>
      <c r="O18" s="28" t="s">
        <v>289</v>
      </c>
    </row>
    <row r="19" spans="1:15">
      <c r="A19" s="33">
        <v>18</v>
      </c>
      <c r="B19" s="33">
        <v>13</v>
      </c>
      <c r="C19" s="33" t="s">
        <v>160</v>
      </c>
      <c r="D19" s="34">
        <v>46196</v>
      </c>
      <c r="E19" s="35">
        <v>0.39513888888888898</v>
      </c>
      <c r="F19" s="35">
        <v>0.40277777777777801</v>
      </c>
      <c r="G19" s="35">
        <v>0.59513888888888888</v>
      </c>
      <c r="H19" s="36">
        <v>45500</v>
      </c>
      <c r="I19" s="36">
        <v>14850</v>
      </c>
      <c r="J19" s="36">
        <v>30650</v>
      </c>
      <c r="K19" s="37">
        <v>45.17</v>
      </c>
      <c r="L19" s="37">
        <v>14.85</v>
      </c>
      <c r="M19" s="37">
        <v>30.32</v>
      </c>
      <c r="N19" s="33" t="s">
        <v>270</v>
      </c>
      <c r="O19" s="33" t="s">
        <v>289</v>
      </c>
    </row>
    <row r="20" spans="1:15">
      <c r="A20" s="28">
        <v>19</v>
      </c>
      <c r="B20" s="28">
        <v>37</v>
      </c>
      <c r="C20" s="28" t="s">
        <v>183</v>
      </c>
      <c r="D20" s="29">
        <v>46196</v>
      </c>
      <c r="E20" s="30">
        <v>0.36875000000000002</v>
      </c>
      <c r="F20" s="30">
        <v>0.40486111111111101</v>
      </c>
      <c r="G20" s="30">
        <v>0.6333333333333333</v>
      </c>
      <c r="H20" s="31">
        <v>48530</v>
      </c>
      <c r="I20" s="31">
        <v>15130</v>
      </c>
      <c r="J20" s="31">
        <v>33400</v>
      </c>
      <c r="K20" s="32">
        <v>48.02</v>
      </c>
      <c r="L20" s="32">
        <v>15.13</v>
      </c>
      <c r="M20" s="32">
        <v>32.89</v>
      </c>
      <c r="N20" s="28" t="s">
        <v>270</v>
      </c>
      <c r="O20" s="28" t="s">
        <v>289</v>
      </c>
    </row>
    <row r="21" spans="1:15">
      <c r="A21" s="33">
        <v>20</v>
      </c>
      <c r="B21" s="33">
        <v>42</v>
      </c>
      <c r="C21" s="33" t="s">
        <v>188</v>
      </c>
      <c r="D21" s="34">
        <v>46196</v>
      </c>
      <c r="E21" s="35">
        <v>0.38124999999999998</v>
      </c>
      <c r="F21" s="35">
        <v>0.40833333333333299</v>
      </c>
      <c r="G21" s="35">
        <v>0.63958333333333328</v>
      </c>
      <c r="H21" s="36">
        <v>48870</v>
      </c>
      <c r="I21" s="36">
        <v>15060</v>
      </c>
      <c r="J21" s="36">
        <v>33810</v>
      </c>
      <c r="K21" s="37">
        <v>48.52</v>
      </c>
      <c r="L21" s="37">
        <v>15.06</v>
      </c>
      <c r="M21" s="37">
        <v>33.46</v>
      </c>
      <c r="N21" s="33" t="s">
        <v>270</v>
      </c>
      <c r="O21" s="33" t="s">
        <v>289</v>
      </c>
    </row>
    <row r="22" spans="1:15">
      <c r="A22" s="28">
        <v>21</v>
      </c>
      <c r="B22" s="28">
        <v>47</v>
      </c>
      <c r="C22" s="28" t="s">
        <v>193</v>
      </c>
      <c r="D22" s="29">
        <v>46196</v>
      </c>
      <c r="E22" s="30">
        <v>0.38194444444444398</v>
      </c>
      <c r="F22" s="30">
        <v>0.40972222222222199</v>
      </c>
      <c r="G22" s="30">
        <v>0.6430555555555556</v>
      </c>
      <c r="H22" s="31">
        <v>48350</v>
      </c>
      <c r="I22" s="31">
        <v>14840</v>
      </c>
      <c r="J22" s="31">
        <v>33510</v>
      </c>
      <c r="K22" s="32">
        <v>48.04</v>
      </c>
      <c r="L22" s="32">
        <v>14.84</v>
      </c>
      <c r="M22" s="32">
        <v>33.200000000000003</v>
      </c>
      <c r="N22" s="28" t="s">
        <v>270</v>
      </c>
      <c r="O22" s="28" t="s">
        <v>289</v>
      </c>
    </row>
    <row r="23" spans="1:15">
      <c r="A23" s="33">
        <v>22</v>
      </c>
      <c r="B23" s="33">
        <v>39</v>
      </c>
      <c r="C23" s="33" t="s">
        <v>185</v>
      </c>
      <c r="D23" s="34">
        <v>46196</v>
      </c>
      <c r="E23" s="35">
        <v>0.39722222222222198</v>
      </c>
      <c r="F23" s="35">
        <v>0.41319444444444398</v>
      </c>
      <c r="G23" s="35">
        <v>0.63472222222222219</v>
      </c>
      <c r="H23" s="36">
        <v>50200</v>
      </c>
      <c r="I23" s="36">
        <v>14590</v>
      </c>
      <c r="J23" s="36">
        <v>35610</v>
      </c>
      <c r="K23" s="37">
        <v>49.81</v>
      </c>
      <c r="L23" s="37">
        <v>14.59</v>
      </c>
      <c r="M23" s="37">
        <v>35.22</v>
      </c>
      <c r="N23" s="33" t="s">
        <v>270</v>
      </c>
      <c r="O23" s="33" t="s">
        <v>289</v>
      </c>
    </row>
    <row r="24" spans="1:15">
      <c r="A24" s="28">
        <v>23</v>
      </c>
      <c r="B24" s="28">
        <v>38</v>
      </c>
      <c r="C24" s="28" t="s">
        <v>184</v>
      </c>
      <c r="D24" s="29">
        <v>46196</v>
      </c>
      <c r="E24" s="30">
        <v>0.39583333333333298</v>
      </c>
      <c r="F24" s="30">
        <v>0.41527777777777802</v>
      </c>
      <c r="G24" s="30">
        <v>0.63402777777777775</v>
      </c>
      <c r="H24" s="31">
        <v>47680</v>
      </c>
      <c r="I24" s="31">
        <v>14240</v>
      </c>
      <c r="J24" s="31">
        <v>33440</v>
      </c>
      <c r="K24" s="32">
        <v>47.22</v>
      </c>
      <c r="L24" s="32">
        <v>14.24</v>
      </c>
      <c r="M24" s="32">
        <v>32.979999999999997</v>
      </c>
      <c r="N24" s="28" t="s">
        <v>270</v>
      </c>
      <c r="O24" s="28" t="s">
        <v>289</v>
      </c>
    </row>
    <row r="25" spans="1:15">
      <c r="A25" s="33">
        <v>24</v>
      </c>
      <c r="B25" s="33">
        <v>19</v>
      </c>
      <c r="C25" s="33" t="s">
        <v>166</v>
      </c>
      <c r="D25" s="34">
        <v>46196</v>
      </c>
      <c r="E25" s="35">
        <v>0.39791666666666697</v>
      </c>
      <c r="F25" s="35">
        <v>0.41666666666666702</v>
      </c>
      <c r="G25" s="35">
        <v>0.60138888888888886</v>
      </c>
      <c r="H25" s="36">
        <v>50510</v>
      </c>
      <c r="I25" s="36">
        <v>14170</v>
      </c>
      <c r="J25" s="36">
        <v>36340</v>
      </c>
      <c r="K25" s="37">
        <v>50.12</v>
      </c>
      <c r="L25" s="37">
        <v>14.17</v>
      </c>
      <c r="M25" s="37">
        <v>35.950000000000003</v>
      </c>
      <c r="N25" s="33" t="s">
        <v>270</v>
      </c>
      <c r="O25" s="33" t="s">
        <v>289</v>
      </c>
    </row>
    <row r="26" spans="1:15">
      <c r="A26" s="28">
        <v>25</v>
      </c>
      <c r="B26" s="28">
        <v>31</v>
      </c>
      <c r="C26" s="28" t="s">
        <v>178</v>
      </c>
      <c r="D26" s="29">
        <v>46196</v>
      </c>
      <c r="E26" s="30">
        <v>0.39861111111111103</v>
      </c>
      <c r="F26" s="30">
        <v>0.41944444444444401</v>
      </c>
      <c r="G26" s="30">
        <v>0.62847222222222221</v>
      </c>
      <c r="H26" s="31">
        <v>44960</v>
      </c>
      <c r="I26" s="31">
        <v>12780</v>
      </c>
      <c r="J26" s="31">
        <v>32180</v>
      </c>
      <c r="K26" s="32">
        <v>44.65</v>
      </c>
      <c r="L26" s="32">
        <v>12.78</v>
      </c>
      <c r="M26" s="32">
        <v>31.87</v>
      </c>
      <c r="N26" s="28" t="s">
        <v>270</v>
      </c>
      <c r="O26" s="28" t="s">
        <v>289</v>
      </c>
    </row>
    <row r="27" spans="1:15">
      <c r="A27" s="33">
        <v>26</v>
      </c>
      <c r="B27" s="33">
        <v>33</v>
      </c>
      <c r="C27" s="33" t="s">
        <v>180</v>
      </c>
      <c r="D27" s="34">
        <v>46196</v>
      </c>
      <c r="E27" s="35">
        <v>0.41111111111111098</v>
      </c>
      <c r="F27" s="35">
        <v>0.422916666666667</v>
      </c>
      <c r="G27" s="35">
        <v>0.62986111111111109</v>
      </c>
      <c r="H27" s="36">
        <v>47110</v>
      </c>
      <c r="I27" s="36">
        <v>12930</v>
      </c>
      <c r="J27" s="36">
        <v>34180</v>
      </c>
      <c r="K27" s="37">
        <v>46.63</v>
      </c>
      <c r="L27" s="37">
        <v>12.93</v>
      </c>
      <c r="M27" s="37">
        <v>33.700000000000003</v>
      </c>
      <c r="N27" s="33" t="s">
        <v>270</v>
      </c>
      <c r="O27" s="33" t="s">
        <v>289</v>
      </c>
    </row>
    <row r="28" spans="1:15">
      <c r="A28" s="28">
        <v>27</v>
      </c>
      <c r="B28" s="28">
        <v>10</v>
      </c>
      <c r="C28" s="28" t="s">
        <v>157</v>
      </c>
      <c r="D28" s="29">
        <v>46196</v>
      </c>
      <c r="E28" s="30">
        <v>0.39791666666666697</v>
      </c>
      <c r="F28" s="30">
        <v>0.42638888888888898</v>
      </c>
      <c r="G28" s="30">
        <v>0.55625000000000002</v>
      </c>
      <c r="H28" s="31">
        <v>80740</v>
      </c>
      <c r="I28" s="31">
        <v>26020</v>
      </c>
      <c r="J28" s="31">
        <v>54720</v>
      </c>
      <c r="K28" s="32">
        <v>80.739999999999995</v>
      </c>
      <c r="L28" s="32">
        <v>26.02</v>
      </c>
      <c r="M28" s="32">
        <v>54.72</v>
      </c>
      <c r="N28" s="28" t="s">
        <v>270</v>
      </c>
      <c r="O28" s="28" t="s">
        <v>289</v>
      </c>
    </row>
    <row r="29" spans="1:15">
      <c r="A29" s="33">
        <v>28</v>
      </c>
      <c r="B29" s="33">
        <v>32</v>
      </c>
      <c r="C29" s="33" t="s">
        <v>179</v>
      </c>
      <c r="D29" s="34">
        <v>46196</v>
      </c>
      <c r="E29" s="35">
        <v>0.41180555555555598</v>
      </c>
      <c r="F29" s="35">
        <v>0.42638888888888898</v>
      </c>
      <c r="G29" s="35">
        <v>0.62916666666666665</v>
      </c>
      <c r="H29" s="36">
        <v>48050</v>
      </c>
      <c r="I29" s="36">
        <v>13360</v>
      </c>
      <c r="J29" s="36">
        <v>34690</v>
      </c>
      <c r="K29" s="37">
        <v>47.57</v>
      </c>
      <c r="L29" s="37">
        <v>13.36</v>
      </c>
      <c r="M29" s="37">
        <v>34.21</v>
      </c>
      <c r="N29" s="33" t="s">
        <v>270</v>
      </c>
      <c r="O29" s="33" t="s">
        <v>289</v>
      </c>
    </row>
    <row r="30" spans="1:15">
      <c r="A30" s="28">
        <v>29</v>
      </c>
      <c r="B30" s="28">
        <v>28</v>
      </c>
      <c r="C30" s="28" t="s">
        <v>175</v>
      </c>
      <c r="D30" s="29">
        <v>46196</v>
      </c>
      <c r="E30" s="30">
        <v>0.41180555555555598</v>
      </c>
      <c r="F30" s="30">
        <v>0.43055555555555602</v>
      </c>
      <c r="G30" s="30">
        <v>0.62569444444444444</v>
      </c>
      <c r="H30" s="31">
        <v>48510</v>
      </c>
      <c r="I30" s="31">
        <v>15480</v>
      </c>
      <c r="J30" s="31">
        <v>33030</v>
      </c>
      <c r="K30" s="32">
        <v>48.19</v>
      </c>
      <c r="L30" s="32">
        <v>15.48</v>
      </c>
      <c r="M30" s="32">
        <v>32.71</v>
      </c>
      <c r="N30" s="28" t="s">
        <v>270</v>
      </c>
      <c r="O30" s="28" t="s">
        <v>289</v>
      </c>
    </row>
    <row r="31" spans="1:15">
      <c r="A31" s="33">
        <v>30</v>
      </c>
      <c r="B31" s="33">
        <v>30</v>
      </c>
      <c r="C31" s="33" t="s">
        <v>177</v>
      </c>
      <c r="D31" s="34">
        <v>46196</v>
      </c>
      <c r="E31" s="35">
        <v>0.41180555555555598</v>
      </c>
      <c r="F31" s="35">
        <v>0.43125000000000002</v>
      </c>
      <c r="G31" s="35">
        <v>0.62777777777777777</v>
      </c>
      <c r="H31" s="36">
        <v>49290</v>
      </c>
      <c r="I31" s="36">
        <v>15440</v>
      </c>
      <c r="J31" s="36">
        <v>33850</v>
      </c>
      <c r="K31" s="37">
        <v>48.75</v>
      </c>
      <c r="L31" s="37">
        <v>15.44</v>
      </c>
      <c r="M31" s="37">
        <v>33.31</v>
      </c>
      <c r="N31" s="33" t="s">
        <v>270</v>
      </c>
      <c r="O31" s="33" t="s">
        <v>289</v>
      </c>
    </row>
    <row r="32" spans="1:15">
      <c r="A32" s="28">
        <v>31</v>
      </c>
      <c r="B32" s="28">
        <v>20</v>
      </c>
      <c r="C32" s="28" t="s">
        <v>167</v>
      </c>
      <c r="D32" s="29">
        <v>46196</v>
      </c>
      <c r="E32" s="30">
        <v>0.41249999999999998</v>
      </c>
      <c r="F32" s="30">
        <v>0.43472222222222201</v>
      </c>
      <c r="G32" s="30">
        <v>0.6020833333333333</v>
      </c>
      <c r="H32" s="31">
        <v>49830</v>
      </c>
      <c r="I32" s="31">
        <v>14480</v>
      </c>
      <c r="J32" s="31">
        <v>35350</v>
      </c>
      <c r="K32" s="32">
        <v>49.26</v>
      </c>
      <c r="L32" s="32">
        <v>14.48</v>
      </c>
      <c r="M32" s="32">
        <v>34.78</v>
      </c>
      <c r="N32" s="28" t="s">
        <v>270</v>
      </c>
      <c r="O32" s="28" t="s">
        <v>289</v>
      </c>
    </row>
    <row r="33" spans="1:15">
      <c r="A33" s="33">
        <v>32</v>
      </c>
      <c r="B33" s="33">
        <v>11</v>
      </c>
      <c r="C33" s="33" t="s">
        <v>158</v>
      </c>
      <c r="D33" s="34">
        <v>46196</v>
      </c>
      <c r="E33" s="35">
        <v>0.41249999999999998</v>
      </c>
      <c r="F33" s="35">
        <v>0.4375</v>
      </c>
      <c r="G33" s="35">
        <v>0.58472222222222203</v>
      </c>
      <c r="H33" s="36">
        <v>48780</v>
      </c>
      <c r="I33" s="36">
        <v>15090</v>
      </c>
      <c r="J33" s="36">
        <v>33690</v>
      </c>
      <c r="K33" s="37">
        <v>48.32</v>
      </c>
      <c r="L33" s="37">
        <v>15.09</v>
      </c>
      <c r="M33" s="37">
        <v>33.229999999999997</v>
      </c>
      <c r="N33" s="33" t="s">
        <v>270</v>
      </c>
      <c r="O33" s="33" t="s">
        <v>289</v>
      </c>
    </row>
    <row r="34" spans="1:15">
      <c r="A34" s="28">
        <v>33</v>
      </c>
      <c r="B34" s="28">
        <v>49</v>
      </c>
      <c r="C34" s="28" t="s">
        <v>272</v>
      </c>
      <c r="D34" s="29">
        <v>46196</v>
      </c>
      <c r="E34" s="30">
        <v>0.42430555555555599</v>
      </c>
      <c r="F34" s="30">
        <v>0.44236111111111098</v>
      </c>
      <c r="G34" s="30">
        <v>0.66666666666666663</v>
      </c>
      <c r="H34" s="31">
        <v>50480</v>
      </c>
      <c r="I34" s="31">
        <v>14420</v>
      </c>
      <c r="J34" s="31">
        <v>36060</v>
      </c>
      <c r="K34" s="32">
        <v>49.75</v>
      </c>
      <c r="L34" s="32">
        <v>14.42</v>
      </c>
      <c r="M34" s="32">
        <v>35.33</v>
      </c>
      <c r="N34" s="28" t="s">
        <v>270</v>
      </c>
      <c r="O34" s="28" t="s">
        <v>289</v>
      </c>
    </row>
    <row r="35" spans="1:15">
      <c r="A35" s="33">
        <v>34</v>
      </c>
      <c r="B35" s="33">
        <v>41</v>
      </c>
      <c r="C35" s="33" t="s">
        <v>187</v>
      </c>
      <c r="D35" s="34">
        <v>46196</v>
      </c>
      <c r="E35" s="35">
        <v>0.42430555555555599</v>
      </c>
      <c r="F35" s="35">
        <v>0.44513888888888897</v>
      </c>
      <c r="G35" s="35">
        <v>0.63680555555555551</v>
      </c>
      <c r="H35" s="36">
        <v>47710</v>
      </c>
      <c r="I35" s="36">
        <v>14660</v>
      </c>
      <c r="J35" s="36">
        <v>33050</v>
      </c>
      <c r="K35" s="37">
        <v>47.33</v>
      </c>
      <c r="L35" s="37">
        <v>14.66</v>
      </c>
      <c r="M35" s="37">
        <v>32.67</v>
      </c>
      <c r="N35" s="33" t="s">
        <v>270</v>
      </c>
      <c r="O35" s="33" t="s">
        <v>289</v>
      </c>
    </row>
    <row r="36" spans="1:15">
      <c r="A36" s="28">
        <v>35</v>
      </c>
      <c r="B36" s="28">
        <v>34</v>
      </c>
      <c r="C36" s="28" t="s">
        <v>181</v>
      </c>
      <c r="D36" s="29">
        <v>46196</v>
      </c>
      <c r="E36" s="30">
        <v>0.42499999999999999</v>
      </c>
      <c r="F36" s="30">
        <v>0.44583333333333303</v>
      </c>
      <c r="G36" s="30">
        <v>0.63055555555555554</v>
      </c>
      <c r="H36" s="31">
        <v>50050</v>
      </c>
      <c r="I36" s="31">
        <v>14050</v>
      </c>
      <c r="J36" s="31">
        <v>36000</v>
      </c>
      <c r="K36" s="32">
        <v>49.49</v>
      </c>
      <c r="L36" s="32">
        <v>14.05</v>
      </c>
      <c r="M36" s="32">
        <v>35.44</v>
      </c>
      <c r="N36" s="28" t="s">
        <v>270</v>
      </c>
      <c r="O36" s="28" t="s">
        <v>289</v>
      </c>
    </row>
    <row r="37" spans="1:15">
      <c r="A37" s="33">
        <v>36</v>
      </c>
      <c r="B37" s="33">
        <v>56</v>
      </c>
      <c r="C37" s="33" t="s">
        <v>273</v>
      </c>
      <c r="D37" s="34">
        <v>46196</v>
      </c>
      <c r="E37" s="35">
        <v>0.42569444444444399</v>
      </c>
      <c r="F37" s="35">
        <v>0.45069444444444401</v>
      </c>
      <c r="G37" s="35">
        <v>0.71388888888888891</v>
      </c>
      <c r="H37" s="36">
        <v>49120</v>
      </c>
      <c r="I37" s="36">
        <v>14000</v>
      </c>
      <c r="J37" s="36">
        <v>35120</v>
      </c>
      <c r="K37" s="37">
        <v>48.79</v>
      </c>
      <c r="L37" s="37">
        <v>14</v>
      </c>
      <c r="M37" s="37">
        <v>34.79</v>
      </c>
      <c r="N37" s="33" t="s">
        <v>270</v>
      </c>
      <c r="O37" s="33" t="s">
        <v>289</v>
      </c>
    </row>
    <row r="38" spans="1:15">
      <c r="A38" s="28">
        <v>37</v>
      </c>
      <c r="B38" s="28">
        <v>35</v>
      </c>
      <c r="C38" s="28" t="s">
        <v>274</v>
      </c>
      <c r="D38" s="29">
        <v>46196</v>
      </c>
      <c r="E38" s="30">
        <v>0.42499999999999999</v>
      </c>
      <c r="F38" s="30">
        <v>0.45138888888888901</v>
      </c>
      <c r="G38" s="30">
        <v>0.63124999999999998</v>
      </c>
      <c r="H38" s="31">
        <v>48760</v>
      </c>
      <c r="I38" s="31">
        <v>14210</v>
      </c>
      <c r="J38" s="31">
        <v>34550</v>
      </c>
      <c r="K38" s="32">
        <v>48.4</v>
      </c>
      <c r="L38" s="32">
        <v>14.21</v>
      </c>
      <c r="M38" s="32">
        <v>34.19</v>
      </c>
      <c r="N38" s="28" t="s">
        <v>270</v>
      </c>
      <c r="O38" s="28" t="s">
        <v>289</v>
      </c>
    </row>
    <row r="39" spans="1:15">
      <c r="A39" s="33">
        <v>38</v>
      </c>
      <c r="B39" s="33">
        <v>57</v>
      </c>
      <c r="C39" s="33" t="s">
        <v>200</v>
      </c>
      <c r="D39" s="34">
        <v>46196</v>
      </c>
      <c r="E39" s="35">
        <v>0.43958333333333299</v>
      </c>
      <c r="F39" s="35">
        <v>0.45486111111111099</v>
      </c>
      <c r="G39" s="35">
        <v>0.71458333333333335</v>
      </c>
      <c r="H39" s="36">
        <v>47280</v>
      </c>
      <c r="I39" s="36">
        <v>13220</v>
      </c>
      <c r="J39" s="36">
        <v>34060</v>
      </c>
      <c r="K39" s="37">
        <v>46.8</v>
      </c>
      <c r="L39" s="37">
        <v>13.22</v>
      </c>
      <c r="M39" s="37">
        <v>33.58</v>
      </c>
      <c r="N39" s="33" t="s">
        <v>270</v>
      </c>
      <c r="O39" s="33" t="s">
        <v>289</v>
      </c>
    </row>
    <row r="40" spans="1:15">
      <c r="A40" s="28">
        <v>39</v>
      </c>
      <c r="B40" s="28">
        <v>55</v>
      </c>
      <c r="C40" s="28" t="s">
        <v>199</v>
      </c>
      <c r="D40" s="29">
        <v>46196</v>
      </c>
      <c r="E40" s="30">
        <v>0.43958333333333299</v>
      </c>
      <c r="F40" s="30">
        <v>0.45694444444444399</v>
      </c>
      <c r="G40" s="30">
        <v>0.7104166666666667</v>
      </c>
      <c r="H40" s="31">
        <v>48040</v>
      </c>
      <c r="I40" s="31">
        <v>13820</v>
      </c>
      <c r="J40" s="31">
        <v>34220</v>
      </c>
      <c r="K40" s="32">
        <v>47.77</v>
      </c>
      <c r="L40" s="32">
        <v>13.82</v>
      </c>
      <c r="M40" s="32">
        <v>33.950000000000003</v>
      </c>
      <c r="N40" s="28" t="s">
        <v>270</v>
      </c>
      <c r="O40" s="28" t="s">
        <v>289</v>
      </c>
    </row>
    <row r="41" spans="1:15">
      <c r="A41" s="33">
        <v>40</v>
      </c>
      <c r="B41" s="33">
        <v>60</v>
      </c>
      <c r="C41" s="33" t="s">
        <v>202</v>
      </c>
      <c r="D41" s="34">
        <v>46196</v>
      </c>
      <c r="E41" s="35">
        <v>0.43958333333333299</v>
      </c>
      <c r="F41" s="35">
        <v>0.45763888888888898</v>
      </c>
      <c r="G41" s="35">
        <v>0.71666666666666667</v>
      </c>
      <c r="H41" s="36">
        <v>46130</v>
      </c>
      <c r="I41" s="36">
        <v>13330</v>
      </c>
      <c r="J41" s="36">
        <v>32800</v>
      </c>
      <c r="K41" s="37">
        <v>45.61</v>
      </c>
      <c r="L41" s="37">
        <v>13.33</v>
      </c>
      <c r="M41" s="37">
        <v>32.28</v>
      </c>
      <c r="N41" s="33" t="s">
        <v>270</v>
      </c>
      <c r="O41" s="33" t="s">
        <v>289</v>
      </c>
    </row>
    <row r="42" spans="1:15">
      <c r="A42" s="28">
        <v>41</v>
      </c>
      <c r="B42" s="28">
        <v>24</v>
      </c>
      <c r="C42" s="28" t="s">
        <v>171</v>
      </c>
      <c r="D42" s="29">
        <v>46196</v>
      </c>
      <c r="E42" s="30">
        <v>0.44027777777777799</v>
      </c>
      <c r="F42" s="30">
        <v>0.45972222222222198</v>
      </c>
      <c r="G42" s="30">
        <v>0.60555555555555551</v>
      </c>
      <c r="H42" s="31">
        <v>50450</v>
      </c>
      <c r="I42" s="31">
        <v>15600</v>
      </c>
      <c r="J42" s="31">
        <v>34850</v>
      </c>
      <c r="K42" s="32">
        <v>50.06</v>
      </c>
      <c r="L42" s="32">
        <v>15.6</v>
      </c>
      <c r="M42" s="32">
        <v>34.46</v>
      </c>
      <c r="N42" s="28" t="s">
        <v>270</v>
      </c>
      <c r="O42" s="28" t="s">
        <v>289</v>
      </c>
    </row>
    <row r="43" spans="1:15">
      <c r="A43" s="33">
        <v>42</v>
      </c>
      <c r="B43" s="33">
        <v>22</v>
      </c>
      <c r="C43" s="33" t="s">
        <v>169</v>
      </c>
      <c r="D43" s="34">
        <v>46196</v>
      </c>
      <c r="E43" s="35">
        <v>0.44027777777777799</v>
      </c>
      <c r="F43" s="35">
        <v>0.46388888888888902</v>
      </c>
      <c r="G43" s="35">
        <v>0.60347222222222219</v>
      </c>
      <c r="H43" s="36">
        <v>48070</v>
      </c>
      <c r="I43" s="36">
        <v>14930</v>
      </c>
      <c r="J43" s="36">
        <v>33140</v>
      </c>
      <c r="K43" s="37">
        <v>47.61</v>
      </c>
      <c r="L43" s="37">
        <v>14.93</v>
      </c>
      <c r="M43" s="37">
        <v>32.68</v>
      </c>
      <c r="N43" s="33" t="s">
        <v>270</v>
      </c>
      <c r="O43" s="33" t="s">
        <v>289</v>
      </c>
    </row>
    <row r="44" spans="1:15">
      <c r="A44" s="28">
        <v>43</v>
      </c>
      <c r="B44" s="28">
        <v>23</v>
      </c>
      <c r="C44" s="28" t="s">
        <v>170</v>
      </c>
      <c r="D44" s="29">
        <v>46196</v>
      </c>
      <c r="E44" s="30">
        <v>0.452777777777778</v>
      </c>
      <c r="F44" s="30">
        <v>0.46527777777777801</v>
      </c>
      <c r="G44" s="30">
        <v>0.60416666666666663</v>
      </c>
      <c r="H44" s="31">
        <v>48610</v>
      </c>
      <c r="I44" s="31">
        <v>15130</v>
      </c>
      <c r="J44" s="31">
        <v>33480</v>
      </c>
      <c r="K44" s="32">
        <v>48.29</v>
      </c>
      <c r="L44" s="32">
        <v>15.13</v>
      </c>
      <c r="M44" s="32">
        <v>33.159999999999997</v>
      </c>
      <c r="N44" s="28" t="s">
        <v>270</v>
      </c>
      <c r="O44" s="28" t="s">
        <v>289</v>
      </c>
    </row>
    <row r="45" spans="1:15">
      <c r="A45" s="33">
        <v>44</v>
      </c>
      <c r="B45" s="33">
        <v>21</v>
      </c>
      <c r="C45" s="33" t="s">
        <v>168</v>
      </c>
      <c r="D45" s="34">
        <v>46196</v>
      </c>
      <c r="E45" s="35">
        <v>0.453472222222222</v>
      </c>
      <c r="F45" s="35">
        <v>0.46875</v>
      </c>
      <c r="G45" s="35">
        <v>0.60277777777777775</v>
      </c>
      <c r="H45" s="36">
        <v>48770</v>
      </c>
      <c r="I45" s="36">
        <v>15770</v>
      </c>
      <c r="J45" s="36">
        <v>33000</v>
      </c>
      <c r="K45" s="37">
        <v>48.36</v>
      </c>
      <c r="L45" s="37">
        <v>15.77</v>
      </c>
      <c r="M45" s="37">
        <v>32.590000000000003</v>
      </c>
      <c r="N45" s="33" t="s">
        <v>270</v>
      </c>
      <c r="O45" s="33" t="s">
        <v>289</v>
      </c>
    </row>
    <row r="46" spans="1:15">
      <c r="A46" s="28">
        <v>45</v>
      </c>
      <c r="B46" s="28">
        <v>36</v>
      </c>
      <c r="C46" s="28" t="s">
        <v>182</v>
      </c>
      <c r="D46" s="29">
        <v>46196</v>
      </c>
      <c r="E46" s="30">
        <v>0.453472222222222</v>
      </c>
      <c r="F46" s="30">
        <v>0.469444444444444</v>
      </c>
      <c r="G46" s="30">
        <v>0.63263888888888886</v>
      </c>
      <c r="H46" s="31">
        <v>48330</v>
      </c>
      <c r="I46" s="31">
        <v>15180</v>
      </c>
      <c r="J46" s="31">
        <v>33150</v>
      </c>
      <c r="K46" s="32">
        <v>47.92</v>
      </c>
      <c r="L46" s="32">
        <v>15.18</v>
      </c>
      <c r="M46" s="32">
        <v>32.74</v>
      </c>
      <c r="N46" s="28" t="s">
        <v>270</v>
      </c>
      <c r="O46" s="28" t="s">
        <v>289</v>
      </c>
    </row>
    <row r="47" spans="1:15">
      <c r="A47" s="33">
        <v>46</v>
      </c>
      <c r="B47" s="33">
        <v>27</v>
      </c>
      <c r="C47" s="33" t="s">
        <v>174</v>
      </c>
      <c r="D47" s="34">
        <v>46196</v>
      </c>
      <c r="E47" s="35">
        <v>0.453472222222222</v>
      </c>
      <c r="F47" s="35">
        <v>0.47083333333333299</v>
      </c>
      <c r="G47" s="35">
        <v>0.62291666666666667</v>
      </c>
      <c r="H47" s="36">
        <v>49800</v>
      </c>
      <c r="I47" s="36">
        <v>14750</v>
      </c>
      <c r="J47" s="36">
        <v>35050</v>
      </c>
      <c r="K47" s="37">
        <v>49.39</v>
      </c>
      <c r="L47" s="37">
        <v>14.75</v>
      </c>
      <c r="M47" s="37">
        <v>34.64</v>
      </c>
      <c r="N47" s="33" t="s">
        <v>270</v>
      </c>
      <c r="O47" s="33" t="s">
        <v>289</v>
      </c>
    </row>
    <row r="48" spans="1:15">
      <c r="A48" s="28">
        <v>47</v>
      </c>
      <c r="B48" s="28">
        <v>58</v>
      </c>
      <c r="C48" s="28" t="s">
        <v>201</v>
      </c>
      <c r="D48" s="29">
        <v>46196</v>
      </c>
      <c r="E48" s="30">
        <v>0.454166666666667</v>
      </c>
      <c r="F48" s="30">
        <v>0.47430555555555598</v>
      </c>
      <c r="G48" s="30">
        <v>0.71527777777777779</v>
      </c>
      <c r="H48" s="31">
        <v>47150</v>
      </c>
      <c r="I48" s="31">
        <v>12930</v>
      </c>
      <c r="J48" s="31">
        <v>34220</v>
      </c>
      <c r="K48" s="32">
        <v>47.9</v>
      </c>
      <c r="L48" s="32">
        <v>12.93</v>
      </c>
      <c r="M48" s="32">
        <v>34.97</v>
      </c>
      <c r="N48" s="28" t="s">
        <v>270</v>
      </c>
      <c r="O48" s="28" t="s">
        <v>289</v>
      </c>
    </row>
    <row r="49" spans="1:15">
      <c r="A49" s="33">
        <v>48</v>
      </c>
      <c r="B49" s="33">
        <v>26</v>
      </c>
      <c r="C49" s="33" t="s">
        <v>173</v>
      </c>
      <c r="D49" s="34">
        <v>46196</v>
      </c>
      <c r="E49" s="35">
        <v>0.46666666666666701</v>
      </c>
      <c r="F49" s="35">
        <v>0.47499999999999998</v>
      </c>
      <c r="G49" s="35">
        <v>0.61597222222222225</v>
      </c>
      <c r="H49" s="36">
        <v>48240</v>
      </c>
      <c r="I49" s="36">
        <v>15110</v>
      </c>
      <c r="J49" s="36">
        <v>33130</v>
      </c>
      <c r="K49" s="37">
        <v>47.87</v>
      </c>
      <c r="L49" s="37">
        <v>15.11</v>
      </c>
      <c r="M49" s="37">
        <v>32.76</v>
      </c>
      <c r="N49" s="33" t="s">
        <v>270</v>
      </c>
      <c r="O49" s="33" t="s">
        <v>289</v>
      </c>
    </row>
    <row r="50" spans="1:15">
      <c r="A50" s="28">
        <v>49</v>
      </c>
      <c r="B50" s="28">
        <v>29</v>
      </c>
      <c r="C50" s="28" t="s">
        <v>176</v>
      </c>
      <c r="D50" s="29">
        <v>46196</v>
      </c>
      <c r="E50" s="30">
        <v>0.454166666666667</v>
      </c>
      <c r="F50" s="30">
        <v>0.47916666666666702</v>
      </c>
      <c r="G50" s="30">
        <v>0.62708333333333333</v>
      </c>
      <c r="H50" s="31">
        <v>47510</v>
      </c>
      <c r="I50" s="31">
        <v>15970</v>
      </c>
      <c r="J50" s="31">
        <v>31540</v>
      </c>
      <c r="K50" s="32">
        <v>47.21</v>
      </c>
      <c r="L50" s="32">
        <v>15.97</v>
      </c>
      <c r="M50" s="32">
        <v>31.24</v>
      </c>
      <c r="N50" s="28" t="s">
        <v>270</v>
      </c>
      <c r="O50" s="28" t="s">
        <v>289</v>
      </c>
    </row>
    <row r="51" spans="1:15">
      <c r="A51" s="33">
        <v>50</v>
      </c>
      <c r="B51" s="33">
        <v>54</v>
      </c>
      <c r="C51" s="33" t="s">
        <v>198</v>
      </c>
      <c r="D51" s="34">
        <v>46196</v>
      </c>
      <c r="E51" s="35">
        <v>0.46666666666666701</v>
      </c>
      <c r="F51" s="35">
        <v>0.48055555555555601</v>
      </c>
      <c r="G51" s="35">
        <v>0.70833333333333337</v>
      </c>
      <c r="H51" s="36">
        <v>43570</v>
      </c>
      <c r="I51" s="36">
        <v>13150</v>
      </c>
      <c r="J51" s="36">
        <v>30420</v>
      </c>
      <c r="K51" s="37">
        <v>43.13</v>
      </c>
      <c r="L51" s="37">
        <v>13.15</v>
      </c>
      <c r="M51" s="37">
        <v>29.98</v>
      </c>
      <c r="N51" s="33" t="s">
        <v>270</v>
      </c>
      <c r="O51" s="33" t="s">
        <v>289</v>
      </c>
    </row>
    <row r="52" spans="1:15">
      <c r="A52" s="28">
        <v>51</v>
      </c>
      <c r="B52" s="28">
        <v>48</v>
      </c>
      <c r="C52" s="28" t="s">
        <v>194</v>
      </c>
      <c r="D52" s="29">
        <v>46196</v>
      </c>
      <c r="E52" s="30">
        <v>0.46666666666666701</v>
      </c>
      <c r="F52" s="30">
        <v>0.48194444444444401</v>
      </c>
      <c r="G52" s="30">
        <v>0.48194444444444445</v>
      </c>
      <c r="H52" s="31">
        <v>49210</v>
      </c>
      <c r="I52" s="31">
        <v>14340</v>
      </c>
      <c r="J52" s="31">
        <v>34870</v>
      </c>
      <c r="K52" s="32">
        <v>48.65</v>
      </c>
      <c r="L52" s="32">
        <v>14.34</v>
      </c>
      <c r="M52" s="32">
        <v>34.31</v>
      </c>
      <c r="N52" s="28" t="s">
        <v>270</v>
      </c>
      <c r="O52" s="28" t="s">
        <v>289</v>
      </c>
    </row>
    <row r="53" spans="1:15">
      <c r="A53" s="33">
        <v>52</v>
      </c>
      <c r="B53" s="33">
        <v>51</v>
      </c>
      <c r="C53" s="33" t="s">
        <v>275</v>
      </c>
      <c r="D53" s="34">
        <v>46196</v>
      </c>
      <c r="E53" s="35">
        <v>0.46736111111111101</v>
      </c>
      <c r="F53" s="35">
        <v>0.485416666666667</v>
      </c>
      <c r="G53" s="35">
        <v>0.67638888888888893</v>
      </c>
      <c r="H53" s="36">
        <v>52610</v>
      </c>
      <c r="I53" s="36">
        <v>14830</v>
      </c>
      <c r="J53" s="36">
        <v>37780</v>
      </c>
      <c r="K53" s="37">
        <v>52.29</v>
      </c>
      <c r="L53" s="37">
        <v>14.83</v>
      </c>
      <c r="M53" s="37">
        <v>37.46</v>
      </c>
      <c r="N53" s="33" t="s">
        <v>270</v>
      </c>
      <c r="O53" s="33" t="s">
        <v>289</v>
      </c>
    </row>
    <row r="54" spans="1:15">
      <c r="A54" s="28">
        <v>53</v>
      </c>
      <c r="B54" s="28">
        <v>46</v>
      </c>
      <c r="C54" s="28" t="s">
        <v>192</v>
      </c>
      <c r="D54" s="29">
        <v>46196</v>
      </c>
      <c r="E54" s="30">
        <v>0.46736111111111101</v>
      </c>
      <c r="F54" s="30">
        <v>0.48680555555555599</v>
      </c>
      <c r="G54" s="30">
        <v>0.64236111111111116</v>
      </c>
      <c r="H54" s="31">
        <v>51500</v>
      </c>
      <c r="I54" s="31">
        <v>15570</v>
      </c>
      <c r="J54" s="31">
        <v>35930</v>
      </c>
      <c r="K54" s="32">
        <v>51.12</v>
      </c>
      <c r="L54" s="32">
        <v>15.57</v>
      </c>
      <c r="M54" s="32">
        <v>35.549999999999997</v>
      </c>
      <c r="N54" s="28" t="s">
        <v>270</v>
      </c>
      <c r="O54" s="28" t="s">
        <v>289</v>
      </c>
    </row>
    <row r="55" spans="1:15">
      <c r="A55" s="33">
        <v>54</v>
      </c>
      <c r="B55" s="33">
        <v>52</v>
      </c>
      <c r="C55" s="33" t="s">
        <v>196</v>
      </c>
      <c r="D55" s="34">
        <v>46196</v>
      </c>
      <c r="E55" s="35">
        <v>0.47708333333333303</v>
      </c>
      <c r="F55" s="35">
        <v>0.48888888888888898</v>
      </c>
      <c r="G55" s="35">
        <v>0.6958333333333333</v>
      </c>
      <c r="H55" s="36">
        <v>49330</v>
      </c>
      <c r="I55" s="36">
        <v>14780</v>
      </c>
      <c r="J55" s="36">
        <v>34550</v>
      </c>
      <c r="K55" s="37">
        <v>48.84</v>
      </c>
      <c r="L55" s="37">
        <v>14.78</v>
      </c>
      <c r="M55" s="37">
        <v>34.06</v>
      </c>
      <c r="N55" s="33" t="s">
        <v>270</v>
      </c>
      <c r="O55" s="33" t="s">
        <v>289</v>
      </c>
    </row>
    <row r="56" spans="1:15">
      <c r="A56" s="28">
        <v>55</v>
      </c>
      <c r="B56" s="28">
        <v>45</v>
      </c>
      <c r="C56" s="28" t="s">
        <v>191</v>
      </c>
      <c r="D56" s="29">
        <v>46196</v>
      </c>
      <c r="E56" s="30">
        <v>0.47708333333333303</v>
      </c>
      <c r="F56" s="30">
        <v>0.49236111111111103</v>
      </c>
      <c r="G56" s="30">
        <v>0.64166666666666672</v>
      </c>
      <c r="H56" s="31">
        <v>48040</v>
      </c>
      <c r="I56" s="31">
        <v>15430</v>
      </c>
      <c r="J56" s="31">
        <v>32610</v>
      </c>
      <c r="K56" s="32">
        <v>47.69</v>
      </c>
      <c r="L56" s="32">
        <v>15.43</v>
      </c>
      <c r="M56" s="32">
        <v>32.26</v>
      </c>
      <c r="N56" s="28" t="s">
        <v>270</v>
      </c>
      <c r="O56" s="28" t="s">
        <v>289</v>
      </c>
    </row>
    <row r="57" spans="1:15">
      <c r="A57" s="33">
        <v>56</v>
      </c>
      <c r="B57" s="33">
        <v>53</v>
      </c>
      <c r="C57" s="33" t="s">
        <v>197</v>
      </c>
      <c r="D57" s="34">
        <v>46196</v>
      </c>
      <c r="E57" s="35">
        <v>0.46736111111111101</v>
      </c>
      <c r="F57" s="35">
        <v>0.49375000000000002</v>
      </c>
      <c r="G57" s="35">
        <v>0.6958333333333333</v>
      </c>
      <c r="H57" s="36">
        <v>48940</v>
      </c>
      <c r="I57" s="36">
        <v>14330</v>
      </c>
      <c r="J57" s="36">
        <v>34610</v>
      </c>
      <c r="K57" s="37">
        <v>48.51</v>
      </c>
      <c r="L57" s="37">
        <v>14.33</v>
      </c>
      <c r="M57" s="37">
        <v>34.18</v>
      </c>
      <c r="N57" s="33" t="s">
        <v>270</v>
      </c>
      <c r="O57" s="33" t="s">
        <v>289</v>
      </c>
    </row>
    <row r="58" spans="1:15">
      <c r="A58" s="28">
        <v>57</v>
      </c>
      <c r="B58" s="28">
        <v>40</v>
      </c>
      <c r="C58" s="28" t="s">
        <v>186</v>
      </c>
      <c r="D58" s="29">
        <v>46196</v>
      </c>
      <c r="E58" s="30">
        <v>0.47777777777777802</v>
      </c>
      <c r="F58" s="30">
        <v>0.49583333333333302</v>
      </c>
      <c r="G58" s="30">
        <v>0.63541666666666663</v>
      </c>
      <c r="H58" s="31">
        <v>49120</v>
      </c>
      <c r="I58" s="31">
        <v>15000</v>
      </c>
      <c r="J58" s="31">
        <v>34120</v>
      </c>
      <c r="K58" s="32">
        <v>48.76</v>
      </c>
      <c r="L58" s="32">
        <v>15</v>
      </c>
      <c r="M58" s="32">
        <v>33.76</v>
      </c>
      <c r="N58" s="28" t="s">
        <v>270</v>
      </c>
      <c r="O58" s="28" t="s">
        <v>289</v>
      </c>
    </row>
    <row r="59" spans="1:15">
      <c r="A59" s="33">
        <v>58</v>
      </c>
      <c r="B59" s="33">
        <v>50</v>
      </c>
      <c r="C59" s="33" t="s">
        <v>195</v>
      </c>
      <c r="D59" s="34">
        <v>46196</v>
      </c>
      <c r="E59" s="35">
        <v>0.47777777777777802</v>
      </c>
      <c r="F59" s="35">
        <v>0.499305555555556</v>
      </c>
      <c r="G59" s="35">
        <v>0.67083333333333328</v>
      </c>
      <c r="H59" s="36">
        <v>50960</v>
      </c>
      <c r="I59" s="36">
        <v>15010</v>
      </c>
      <c r="J59" s="36">
        <v>35950</v>
      </c>
      <c r="K59" s="37">
        <v>50.57</v>
      </c>
      <c r="L59" s="37">
        <v>15.01</v>
      </c>
      <c r="M59" s="37">
        <v>35.56</v>
      </c>
      <c r="N59" s="33" t="s">
        <v>270</v>
      </c>
      <c r="O59" s="33" t="s">
        <v>289</v>
      </c>
    </row>
    <row r="60" spans="1:15">
      <c r="A60" s="28">
        <v>59</v>
      </c>
      <c r="B60" s="28">
        <v>43</v>
      </c>
      <c r="C60" s="28" t="s">
        <v>189</v>
      </c>
      <c r="D60" s="29">
        <v>46196</v>
      </c>
      <c r="E60" s="30">
        <v>0.47708333333333303</v>
      </c>
      <c r="F60" s="30">
        <v>0.500694444444444</v>
      </c>
      <c r="G60" s="30">
        <v>0.64097222222222228</v>
      </c>
      <c r="H60" s="31">
        <v>65150</v>
      </c>
      <c r="I60" s="31">
        <v>19510</v>
      </c>
      <c r="J60" s="31">
        <v>45640</v>
      </c>
      <c r="K60" s="32">
        <v>65.153999999999996</v>
      </c>
      <c r="L60" s="32">
        <v>19.510000000000002</v>
      </c>
      <c r="M60" s="32">
        <v>45.643999999999998</v>
      </c>
      <c r="N60" s="28" t="s">
        <v>270</v>
      </c>
      <c r="O60" s="28" t="s">
        <v>289</v>
      </c>
    </row>
    <row r="61" spans="1:15">
      <c r="A61" s="33">
        <v>60</v>
      </c>
      <c r="B61" s="33">
        <v>100</v>
      </c>
      <c r="C61" s="33" t="s">
        <v>236</v>
      </c>
      <c r="D61" s="34">
        <v>46196</v>
      </c>
      <c r="E61" s="35">
        <v>0.54722222222222205</v>
      </c>
      <c r="F61" s="35">
        <v>0.56041666666666701</v>
      </c>
      <c r="G61" s="35">
        <v>0.92152777777777772</v>
      </c>
      <c r="H61" s="36">
        <v>49990</v>
      </c>
      <c r="I61" s="36">
        <v>15270</v>
      </c>
      <c r="J61" s="36">
        <v>34720</v>
      </c>
      <c r="K61" s="37">
        <v>49.68</v>
      </c>
      <c r="L61" s="37">
        <v>15.27</v>
      </c>
      <c r="M61" s="37">
        <v>34.409999999999997</v>
      </c>
      <c r="N61" s="33" t="s">
        <v>270</v>
      </c>
      <c r="O61" s="33" t="s">
        <v>289</v>
      </c>
    </row>
    <row r="62" spans="1:15">
      <c r="A62" s="28">
        <v>61</v>
      </c>
      <c r="B62" s="28">
        <v>59</v>
      </c>
      <c r="C62" s="28" t="s">
        <v>276</v>
      </c>
      <c r="D62" s="29">
        <v>46196</v>
      </c>
      <c r="E62" s="30">
        <v>0.54791666666666705</v>
      </c>
      <c r="F62" s="30">
        <v>0.56527777777777799</v>
      </c>
      <c r="G62" s="30">
        <v>0.71597222222222223</v>
      </c>
      <c r="H62" s="31">
        <v>47750</v>
      </c>
      <c r="I62" s="31">
        <v>13000</v>
      </c>
      <c r="J62" s="31">
        <v>34750</v>
      </c>
      <c r="K62" s="32">
        <v>47.37</v>
      </c>
      <c r="L62" s="32">
        <v>13</v>
      </c>
      <c r="M62" s="32">
        <v>34.369999999999997</v>
      </c>
      <c r="N62" s="28" t="s">
        <v>270</v>
      </c>
      <c r="O62" s="28" t="s">
        <v>289</v>
      </c>
    </row>
    <row r="63" spans="1:15">
      <c r="A63" s="33">
        <v>62</v>
      </c>
      <c r="B63" s="33">
        <v>63</v>
      </c>
      <c r="C63" s="33" t="s">
        <v>277</v>
      </c>
      <c r="D63" s="34">
        <v>46196</v>
      </c>
      <c r="E63" s="35">
        <v>0.54791666666666705</v>
      </c>
      <c r="F63" s="35">
        <v>0.56666666666666698</v>
      </c>
      <c r="G63" s="35">
        <v>0.72222222222222221</v>
      </c>
      <c r="H63" s="36">
        <v>49590</v>
      </c>
      <c r="I63" s="36">
        <v>15410</v>
      </c>
      <c r="J63" s="36">
        <v>34180</v>
      </c>
      <c r="K63" s="37">
        <v>49.27</v>
      </c>
      <c r="L63" s="37">
        <v>15.41</v>
      </c>
      <c r="M63" s="37">
        <v>33.86</v>
      </c>
      <c r="N63" s="33" t="s">
        <v>270</v>
      </c>
      <c r="O63" s="33" t="s">
        <v>289</v>
      </c>
    </row>
    <row r="64" spans="1:15">
      <c r="A64" s="28">
        <v>63</v>
      </c>
      <c r="B64" s="28">
        <v>64</v>
      </c>
      <c r="C64" s="28" t="s">
        <v>205</v>
      </c>
      <c r="D64" s="29">
        <v>46196</v>
      </c>
      <c r="E64" s="30">
        <v>0.54861111111111105</v>
      </c>
      <c r="F64" s="30">
        <v>0.57569444444444395</v>
      </c>
      <c r="G64" s="30">
        <v>0.72986111111111107</v>
      </c>
      <c r="H64" s="31">
        <v>85600</v>
      </c>
      <c r="I64" s="31">
        <v>26600</v>
      </c>
      <c r="J64" s="31">
        <v>59000</v>
      </c>
      <c r="K64" s="32">
        <v>85.6</v>
      </c>
      <c r="L64" s="32">
        <v>26.6</v>
      </c>
      <c r="M64" s="32">
        <v>59</v>
      </c>
      <c r="N64" s="28" t="s">
        <v>270</v>
      </c>
      <c r="O64" s="28" t="s">
        <v>289</v>
      </c>
    </row>
    <row r="65" spans="1:15">
      <c r="A65" s="33">
        <v>64</v>
      </c>
      <c r="B65" s="33">
        <v>61</v>
      </c>
      <c r="C65" s="33" t="s">
        <v>203</v>
      </c>
      <c r="D65" s="34">
        <v>46196</v>
      </c>
      <c r="E65" s="35">
        <v>0.55069444444444404</v>
      </c>
      <c r="F65" s="35">
        <v>0.57986111111111105</v>
      </c>
      <c r="G65" s="35">
        <v>0.71805555555555556</v>
      </c>
      <c r="H65" s="36">
        <v>48610</v>
      </c>
      <c r="I65" s="36">
        <v>15080</v>
      </c>
      <c r="J65" s="36">
        <v>33530</v>
      </c>
      <c r="K65" s="37">
        <v>48.24</v>
      </c>
      <c r="L65" s="37">
        <v>15.08</v>
      </c>
      <c r="M65" s="37">
        <v>33.159999999999997</v>
      </c>
      <c r="N65" s="33" t="s">
        <v>270</v>
      </c>
      <c r="O65" s="33" t="s">
        <v>289</v>
      </c>
    </row>
    <row r="66" spans="1:15">
      <c r="A66" s="28">
        <v>65</v>
      </c>
      <c r="B66" s="28">
        <v>65</v>
      </c>
      <c r="C66" s="28" t="s">
        <v>206</v>
      </c>
      <c r="D66" s="29">
        <v>46196</v>
      </c>
      <c r="E66" s="30">
        <v>0.57847222222222205</v>
      </c>
      <c r="F66" s="30">
        <v>0.58680555555555602</v>
      </c>
      <c r="G66" s="30">
        <v>0.72986111111111107</v>
      </c>
      <c r="H66" s="31">
        <v>88280</v>
      </c>
      <c r="I66" s="31">
        <v>26380</v>
      </c>
      <c r="J66" s="31">
        <v>61900</v>
      </c>
      <c r="K66" s="32">
        <v>88.28</v>
      </c>
      <c r="L66" s="32">
        <v>26.38</v>
      </c>
      <c r="M66" s="32">
        <v>61.9</v>
      </c>
      <c r="N66" s="28" t="s">
        <v>270</v>
      </c>
      <c r="O66" s="28" t="s">
        <v>289</v>
      </c>
    </row>
    <row r="67" spans="1:15">
      <c r="A67" s="33">
        <v>66</v>
      </c>
      <c r="B67" s="33">
        <v>62</v>
      </c>
      <c r="C67" s="33" t="s">
        <v>204</v>
      </c>
      <c r="D67" s="34">
        <v>46196</v>
      </c>
      <c r="E67" s="35">
        <v>0.55000000000000004</v>
      </c>
      <c r="F67" s="35">
        <v>0.58819444444444402</v>
      </c>
      <c r="G67" s="35">
        <v>0.71805555555555556</v>
      </c>
      <c r="H67" s="36">
        <v>47940</v>
      </c>
      <c r="I67" s="36">
        <v>14270</v>
      </c>
      <c r="J67" s="36">
        <v>33670</v>
      </c>
      <c r="K67" s="37">
        <v>47.58</v>
      </c>
      <c r="L67" s="37">
        <v>14.27</v>
      </c>
      <c r="M67" s="37">
        <v>33.31</v>
      </c>
      <c r="N67" s="33" t="s">
        <v>270</v>
      </c>
      <c r="O67" s="33" t="s">
        <v>289</v>
      </c>
    </row>
    <row r="68" spans="1:15">
      <c r="A68" s="40">
        <v>67</v>
      </c>
      <c r="B68" s="40">
        <v>87</v>
      </c>
      <c r="C68" s="40" t="s">
        <v>278</v>
      </c>
      <c r="D68" s="41">
        <v>46196</v>
      </c>
      <c r="E68" s="42">
        <v>0.55138888888888904</v>
      </c>
      <c r="F68" s="42">
        <v>0.59027777777777801</v>
      </c>
      <c r="G68" s="42">
        <v>0.85416666666666696</v>
      </c>
      <c r="H68" s="43">
        <v>48880</v>
      </c>
      <c r="I68" s="43">
        <v>15010</v>
      </c>
      <c r="J68" s="43">
        <v>33870</v>
      </c>
      <c r="K68" s="44">
        <v>48.65</v>
      </c>
      <c r="L68" s="44">
        <v>15.01</v>
      </c>
      <c r="M68" s="44">
        <v>33.64</v>
      </c>
      <c r="N68" s="40" t="s">
        <v>270</v>
      </c>
      <c r="O68" s="40" t="s">
        <v>289</v>
      </c>
    </row>
    <row r="69" spans="1:15">
      <c r="A69" s="33">
        <v>68</v>
      </c>
      <c r="B69" s="33">
        <v>67</v>
      </c>
      <c r="C69" s="33" t="s">
        <v>208</v>
      </c>
      <c r="D69" s="34">
        <v>46196</v>
      </c>
      <c r="E69" s="35">
        <v>0.55138888888888904</v>
      </c>
      <c r="F69" s="35">
        <v>0.59375</v>
      </c>
      <c r="G69" s="35">
        <v>0.74444444444444446</v>
      </c>
      <c r="H69" s="36">
        <v>49750</v>
      </c>
      <c r="I69" s="36">
        <v>15890</v>
      </c>
      <c r="J69" s="36">
        <v>33860</v>
      </c>
      <c r="K69" s="37">
        <v>49.4</v>
      </c>
      <c r="L69" s="37">
        <v>15.89</v>
      </c>
      <c r="M69" s="37">
        <v>33.51</v>
      </c>
      <c r="N69" s="33" t="s">
        <v>270</v>
      </c>
      <c r="O69" s="33" t="s">
        <v>289</v>
      </c>
    </row>
    <row r="70" spans="1:15">
      <c r="A70" s="28">
        <v>69</v>
      </c>
      <c r="B70" s="28">
        <v>68</v>
      </c>
      <c r="C70" s="28" t="s">
        <v>209</v>
      </c>
      <c r="D70" s="29">
        <v>46196</v>
      </c>
      <c r="E70" s="30">
        <v>0.55069444444444404</v>
      </c>
      <c r="F70" s="30">
        <v>0.59513888888888899</v>
      </c>
      <c r="G70" s="30">
        <v>0.74513888888888891</v>
      </c>
      <c r="H70" s="31">
        <v>49780</v>
      </c>
      <c r="I70" s="31">
        <v>15320</v>
      </c>
      <c r="J70" s="31">
        <v>34460</v>
      </c>
      <c r="K70" s="32">
        <v>49.45</v>
      </c>
      <c r="L70" s="32">
        <v>15.32</v>
      </c>
      <c r="M70" s="32">
        <v>34.130000000000003</v>
      </c>
      <c r="N70" s="28" t="s">
        <v>270</v>
      </c>
      <c r="O70" s="28" t="s">
        <v>289</v>
      </c>
    </row>
    <row r="71" spans="1:15">
      <c r="A71" s="33">
        <v>70</v>
      </c>
      <c r="B71" s="33">
        <v>69</v>
      </c>
      <c r="C71" s="33" t="s">
        <v>210</v>
      </c>
      <c r="D71" s="34">
        <v>46196</v>
      </c>
      <c r="E71" s="35">
        <v>0.58194444444444404</v>
      </c>
      <c r="F71" s="35">
        <v>0.59861111111111098</v>
      </c>
      <c r="G71" s="35">
        <v>0.74583333333333335</v>
      </c>
      <c r="H71" s="36">
        <v>50120</v>
      </c>
      <c r="I71" s="36">
        <v>15280</v>
      </c>
      <c r="J71" s="36">
        <v>34840</v>
      </c>
      <c r="K71" s="37">
        <v>49.81</v>
      </c>
      <c r="L71" s="37">
        <v>15.28</v>
      </c>
      <c r="M71" s="37">
        <v>34.53</v>
      </c>
      <c r="N71" s="33" t="s">
        <v>270</v>
      </c>
      <c r="O71" s="33" t="s">
        <v>289</v>
      </c>
    </row>
    <row r="72" spans="1:15">
      <c r="A72" s="28">
        <v>71</v>
      </c>
      <c r="B72" s="28">
        <v>86</v>
      </c>
      <c r="C72" s="28" t="s">
        <v>223</v>
      </c>
      <c r="D72" s="29">
        <v>46196</v>
      </c>
      <c r="E72" s="30">
        <v>0.58194444444444404</v>
      </c>
      <c r="F72" s="30">
        <v>0.60069444444444398</v>
      </c>
      <c r="G72" s="30">
        <v>0.85347222222222219</v>
      </c>
      <c r="H72" s="31">
        <v>50940</v>
      </c>
      <c r="I72" s="31">
        <v>15430</v>
      </c>
      <c r="J72" s="31">
        <v>35510</v>
      </c>
      <c r="K72" s="32">
        <v>50.63</v>
      </c>
      <c r="L72" s="32">
        <v>15.43</v>
      </c>
      <c r="M72" s="32">
        <v>35.200000000000003</v>
      </c>
      <c r="N72" s="28" t="s">
        <v>270</v>
      </c>
      <c r="O72" s="28" t="s">
        <v>289</v>
      </c>
    </row>
    <row r="73" spans="1:15">
      <c r="A73" s="33">
        <v>72</v>
      </c>
      <c r="B73" s="33">
        <v>66</v>
      </c>
      <c r="C73" s="33" t="s">
        <v>207</v>
      </c>
      <c r="D73" s="34">
        <v>46196</v>
      </c>
      <c r="E73" s="35">
        <v>0.58263888888888904</v>
      </c>
      <c r="F73" s="35">
        <v>0.60208333333333297</v>
      </c>
      <c r="G73" s="35">
        <v>0.74236111111111114</v>
      </c>
      <c r="H73" s="36">
        <v>49250</v>
      </c>
      <c r="I73" s="36">
        <v>15730</v>
      </c>
      <c r="J73" s="36">
        <v>33520</v>
      </c>
      <c r="K73" s="37">
        <v>49.03</v>
      </c>
      <c r="L73" s="37">
        <v>15.73</v>
      </c>
      <c r="M73" s="37">
        <v>33.299999999999997</v>
      </c>
      <c r="N73" s="33" t="s">
        <v>270</v>
      </c>
      <c r="O73" s="33" t="s">
        <v>289</v>
      </c>
    </row>
    <row r="74" spans="1:15">
      <c r="A74" s="28">
        <v>73</v>
      </c>
      <c r="B74" s="28">
        <v>70</v>
      </c>
      <c r="C74" s="28" t="s">
        <v>211</v>
      </c>
      <c r="D74" s="29">
        <v>46196</v>
      </c>
      <c r="E74" s="30">
        <v>0.58263888888888904</v>
      </c>
      <c r="F74" s="30">
        <v>0.60486111111111096</v>
      </c>
      <c r="G74" s="30">
        <v>0.75416666666666665</v>
      </c>
      <c r="H74" s="31">
        <v>49310</v>
      </c>
      <c r="I74" s="31">
        <v>14470</v>
      </c>
      <c r="J74" s="31">
        <v>34840</v>
      </c>
      <c r="K74" s="32">
        <v>48.95</v>
      </c>
      <c r="L74" s="32">
        <v>14.47</v>
      </c>
      <c r="M74" s="32">
        <v>34.479999999999997</v>
      </c>
      <c r="N74" s="28" t="s">
        <v>270</v>
      </c>
      <c r="O74" s="28" t="s">
        <v>289</v>
      </c>
    </row>
    <row r="75" spans="1:15">
      <c r="A75" s="33">
        <v>74</v>
      </c>
      <c r="B75" s="33">
        <v>99</v>
      </c>
      <c r="C75" s="33" t="s">
        <v>235</v>
      </c>
      <c r="D75" s="34">
        <v>46196</v>
      </c>
      <c r="E75" s="35">
        <v>0.59652777777777799</v>
      </c>
      <c r="F75" s="35">
        <v>0.60694444444444395</v>
      </c>
      <c r="G75" s="35">
        <v>0.91111111111111109</v>
      </c>
      <c r="H75" s="36">
        <v>50430</v>
      </c>
      <c r="I75" s="36">
        <v>15410</v>
      </c>
      <c r="J75" s="36">
        <v>35020</v>
      </c>
      <c r="K75" s="37">
        <v>50.07</v>
      </c>
      <c r="L75" s="37">
        <v>15.41</v>
      </c>
      <c r="M75" s="37">
        <v>34.659999999999997</v>
      </c>
      <c r="N75" s="33" t="s">
        <v>270</v>
      </c>
      <c r="O75" s="33" t="s">
        <v>289</v>
      </c>
    </row>
    <row r="76" spans="1:15">
      <c r="A76" s="28">
        <v>75</v>
      </c>
      <c r="B76" s="28">
        <v>71</v>
      </c>
      <c r="C76" s="28" t="s">
        <v>212</v>
      </c>
      <c r="D76" s="29">
        <v>46196</v>
      </c>
      <c r="E76" s="30">
        <v>0.58333333333333304</v>
      </c>
      <c r="F76" s="30">
        <v>0.60833333333333295</v>
      </c>
      <c r="G76" s="30">
        <v>0.79791666666666672</v>
      </c>
      <c r="H76" s="31">
        <v>46380</v>
      </c>
      <c r="I76" s="31">
        <v>14940</v>
      </c>
      <c r="J76" s="31">
        <v>31440</v>
      </c>
      <c r="K76" s="32">
        <v>46.25</v>
      </c>
      <c r="L76" s="32">
        <v>14.94</v>
      </c>
      <c r="M76" s="32">
        <v>31.31</v>
      </c>
      <c r="N76" s="28" t="s">
        <v>270</v>
      </c>
      <c r="O76" s="28" t="s">
        <v>289</v>
      </c>
    </row>
    <row r="77" spans="1:15">
      <c r="A77" s="33">
        <v>76</v>
      </c>
      <c r="B77" s="33">
        <v>83</v>
      </c>
      <c r="C77" s="33" t="s">
        <v>220</v>
      </c>
      <c r="D77" s="34">
        <v>46196</v>
      </c>
      <c r="E77" s="35">
        <v>0.59791666666666698</v>
      </c>
      <c r="F77" s="35">
        <v>0.61250000000000004</v>
      </c>
      <c r="G77" s="35">
        <v>0.84236111111111112</v>
      </c>
      <c r="H77" s="36">
        <v>50080</v>
      </c>
      <c r="I77" s="36">
        <v>15230</v>
      </c>
      <c r="J77" s="36">
        <v>34850</v>
      </c>
      <c r="K77" s="37">
        <v>49.78</v>
      </c>
      <c r="L77" s="37">
        <v>15.23</v>
      </c>
      <c r="M77" s="37">
        <v>34.549999999999997</v>
      </c>
      <c r="N77" s="33" t="s">
        <v>270</v>
      </c>
      <c r="O77" s="33" t="s">
        <v>289</v>
      </c>
    </row>
    <row r="78" spans="1:15">
      <c r="A78" s="28">
        <v>77</v>
      </c>
      <c r="B78" s="28">
        <v>144</v>
      </c>
      <c r="C78" s="28" t="s">
        <v>259</v>
      </c>
      <c r="D78" s="29">
        <v>46196</v>
      </c>
      <c r="E78" s="30">
        <v>0.59722222222222199</v>
      </c>
      <c r="F78" s="30">
        <v>0.61388888888888904</v>
      </c>
      <c r="G78" s="30">
        <v>0.4597222222222222</v>
      </c>
      <c r="H78" s="31">
        <v>46200</v>
      </c>
      <c r="I78" s="31">
        <v>13660</v>
      </c>
      <c r="J78" s="31">
        <v>32540</v>
      </c>
      <c r="K78" s="32">
        <v>45.78</v>
      </c>
      <c r="L78" s="32">
        <v>13.66</v>
      </c>
      <c r="M78" s="32">
        <v>32.119999999999997</v>
      </c>
      <c r="N78" s="28" t="s">
        <v>270</v>
      </c>
      <c r="O78" s="28" t="s">
        <v>289</v>
      </c>
    </row>
    <row r="79" spans="1:15">
      <c r="A79" s="33">
        <v>78</v>
      </c>
      <c r="B79" s="33">
        <v>82</v>
      </c>
      <c r="C79" s="33" t="s">
        <v>219</v>
      </c>
      <c r="D79" s="34">
        <v>46196</v>
      </c>
      <c r="E79" s="35">
        <v>0.60972222222222205</v>
      </c>
      <c r="F79" s="35">
        <v>0.61527777777777803</v>
      </c>
      <c r="G79" s="35">
        <v>0.84166666666666667</v>
      </c>
      <c r="H79" s="36">
        <v>46410</v>
      </c>
      <c r="I79" s="36">
        <v>14680</v>
      </c>
      <c r="J79" s="36">
        <v>31730</v>
      </c>
      <c r="K79" s="37">
        <v>46.21</v>
      </c>
      <c r="L79" s="37">
        <v>14.68</v>
      </c>
      <c r="M79" s="37">
        <v>31.53</v>
      </c>
      <c r="N79" s="33" t="s">
        <v>270</v>
      </c>
      <c r="O79" s="33" t="s">
        <v>289</v>
      </c>
    </row>
    <row r="80" spans="1:15">
      <c r="A80" s="28">
        <v>79</v>
      </c>
      <c r="B80" s="28">
        <v>85</v>
      </c>
      <c r="C80" s="28" t="s">
        <v>222</v>
      </c>
      <c r="D80" s="29">
        <v>46196</v>
      </c>
      <c r="E80" s="30">
        <v>0.59791666666666698</v>
      </c>
      <c r="F80" s="30">
        <v>0.61805555555555602</v>
      </c>
      <c r="G80" s="30">
        <v>0.84375</v>
      </c>
      <c r="H80" s="31">
        <v>47890</v>
      </c>
      <c r="I80" s="31">
        <v>14750</v>
      </c>
      <c r="J80" s="31">
        <v>33140</v>
      </c>
      <c r="K80" s="32">
        <v>47.58</v>
      </c>
      <c r="L80" s="32">
        <v>14.75</v>
      </c>
      <c r="M80" s="32">
        <v>32.83</v>
      </c>
      <c r="N80" s="28" t="s">
        <v>270</v>
      </c>
      <c r="O80" s="28" t="s">
        <v>289</v>
      </c>
    </row>
    <row r="81" spans="1:15">
      <c r="A81" s="33">
        <v>80</v>
      </c>
      <c r="B81" s="33">
        <v>81</v>
      </c>
      <c r="C81" s="33" t="s">
        <v>218</v>
      </c>
      <c r="D81" s="34">
        <v>46196</v>
      </c>
      <c r="E81" s="35">
        <v>0.59722222222222199</v>
      </c>
      <c r="F81" s="35">
        <v>0.61944444444444402</v>
      </c>
      <c r="G81" s="35">
        <v>0.81944444444444442</v>
      </c>
      <c r="H81" s="36">
        <v>50170</v>
      </c>
      <c r="I81" s="36">
        <v>14570</v>
      </c>
      <c r="J81" s="36">
        <v>35600</v>
      </c>
      <c r="K81" s="37">
        <v>49.84</v>
      </c>
      <c r="L81" s="37">
        <v>14.57</v>
      </c>
      <c r="M81" s="37">
        <v>35.270000000000003</v>
      </c>
      <c r="N81" s="33" t="s">
        <v>270</v>
      </c>
      <c r="O81" s="33" t="s">
        <v>289</v>
      </c>
    </row>
    <row r="82" spans="1:15">
      <c r="A82" s="28">
        <v>81</v>
      </c>
      <c r="B82" s="28">
        <v>84</v>
      </c>
      <c r="C82" s="28" t="s">
        <v>221</v>
      </c>
      <c r="D82" s="29">
        <v>46196</v>
      </c>
      <c r="E82" s="30">
        <v>0.61041666666666705</v>
      </c>
      <c r="F82" s="30">
        <v>0.62361111111111101</v>
      </c>
      <c r="G82" s="30">
        <v>0.84305555555555556</v>
      </c>
      <c r="H82" s="31">
        <v>49290</v>
      </c>
      <c r="I82" s="31">
        <v>15010</v>
      </c>
      <c r="J82" s="31">
        <v>34280</v>
      </c>
      <c r="K82" s="32">
        <v>48.99</v>
      </c>
      <c r="L82" s="32">
        <v>15.01</v>
      </c>
      <c r="M82" s="32">
        <v>33.979999999999997</v>
      </c>
      <c r="N82" s="28" t="s">
        <v>270</v>
      </c>
      <c r="O82" s="28" t="s">
        <v>289</v>
      </c>
    </row>
    <row r="83" spans="1:15">
      <c r="A83" s="33">
        <v>82</v>
      </c>
      <c r="B83" s="33">
        <v>80</v>
      </c>
      <c r="C83" s="33" t="s">
        <v>279</v>
      </c>
      <c r="D83" s="34">
        <v>46196</v>
      </c>
      <c r="E83" s="35">
        <v>0.61111111111111105</v>
      </c>
      <c r="F83" s="35">
        <v>0.625694444444444</v>
      </c>
      <c r="G83" s="35">
        <v>0.81874999999999998</v>
      </c>
      <c r="H83" s="36">
        <v>47160</v>
      </c>
      <c r="I83" s="36">
        <v>14690</v>
      </c>
      <c r="J83" s="36">
        <v>32470</v>
      </c>
      <c r="K83" s="37">
        <v>46.93</v>
      </c>
      <c r="L83" s="37">
        <v>14.69</v>
      </c>
      <c r="M83" s="37">
        <v>32.24</v>
      </c>
      <c r="N83" s="33" t="s">
        <v>270</v>
      </c>
      <c r="O83" s="33" t="s">
        <v>289</v>
      </c>
    </row>
    <row r="84" spans="1:15">
      <c r="A84" s="40">
        <v>83</v>
      </c>
      <c r="B84" s="40">
        <v>73</v>
      </c>
      <c r="C84" s="40" t="s">
        <v>280</v>
      </c>
      <c r="D84" s="41">
        <v>46196</v>
      </c>
      <c r="E84" s="42">
        <v>0.61041666666666705</v>
      </c>
      <c r="F84" s="42">
        <v>0.62708333333333299</v>
      </c>
      <c r="G84" s="42">
        <v>0.76180555555555596</v>
      </c>
      <c r="H84" s="43">
        <v>49860</v>
      </c>
      <c r="I84" s="43">
        <v>15160</v>
      </c>
      <c r="J84" s="43">
        <v>34700</v>
      </c>
      <c r="K84" s="44">
        <v>49.52</v>
      </c>
      <c r="L84" s="44">
        <v>15.16</v>
      </c>
      <c r="M84" s="44">
        <v>34.36</v>
      </c>
      <c r="N84" s="40" t="s">
        <v>270</v>
      </c>
      <c r="O84" s="40" t="s">
        <v>289</v>
      </c>
    </row>
    <row r="85" spans="1:15">
      <c r="A85" s="33">
        <v>84</v>
      </c>
      <c r="B85" s="33">
        <v>72</v>
      </c>
      <c r="C85" s="33" t="s">
        <v>213</v>
      </c>
      <c r="D85" s="34">
        <v>46196</v>
      </c>
      <c r="E85" s="35">
        <v>0.61111111111111105</v>
      </c>
      <c r="F85" s="35">
        <v>0.62916666666666698</v>
      </c>
      <c r="G85" s="35">
        <v>0.75624999999999998</v>
      </c>
      <c r="H85" s="36">
        <v>45400</v>
      </c>
      <c r="I85" s="36">
        <v>14720</v>
      </c>
      <c r="J85" s="36">
        <v>30680</v>
      </c>
      <c r="K85" s="37">
        <v>45.23</v>
      </c>
      <c r="L85" s="37">
        <v>14.72</v>
      </c>
      <c r="M85" s="37">
        <v>30.51</v>
      </c>
      <c r="N85" s="33" t="s">
        <v>270</v>
      </c>
      <c r="O85" s="33" t="s">
        <v>289</v>
      </c>
    </row>
    <row r="86" spans="1:15">
      <c r="A86" s="28">
        <v>85</v>
      </c>
      <c r="B86" s="28">
        <v>77</v>
      </c>
      <c r="C86" s="28" t="s">
        <v>216</v>
      </c>
      <c r="D86" s="29">
        <v>46196</v>
      </c>
      <c r="E86" s="30">
        <v>0.61180555555555605</v>
      </c>
      <c r="F86" s="30">
        <v>0.63333333333333297</v>
      </c>
      <c r="G86" s="30">
        <v>0.81666666666666665</v>
      </c>
      <c r="H86" s="31">
        <v>47300</v>
      </c>
      <c r="I86" s="31">
        <v>15010</v>
      </c>
      <c r="J86" s="31">
        <v>32290</v>
      </c>
      <c r="K86" s="32">
        <v>47.03</v>
      </c>
      <c r="L86" s="32">
        <v>15.01</v>
      </c>
      <c r="M86" s="32">
        <v>32.020000000000003</v>
      </c>
      <c r="N86" s="28" t="s">
        <v>270</v>
      </c>
      <c r="O86" s="28" t="s">
        <v>289</v>
      </c>
    </row>
    <row r="87" spans="1:15">
      <c r="A87" s="33">
        <v>86</v>
      </c>
      <c r="B87" s="33">
        <v>78</v>
      </c>
      <c r="C87" s="33" t="s">
        <v>77</v>
      </c>
      <c r="D87" s="34">
        <v>46196</v>
      </c>
      <c r="E87" s="35">
        <v>0.62152777777777801</v>
      </c>
      <c r="F87" s="35">
        <v>0.63402777777777797</v>
      </c>
      <c r="G87" s="35">
        <v>0.81736111111111109</v>
      </c>
      <c r="H87" s="36">
        <v>49880</v>
      </c>
      <c r="I87" s="36">
        <v>15290</v>
      </c>
      <c r="J87" s="36">
        <v>34590</v>
      </c>
      <c r="K87" s="37">
        <v>49.57</v>
      </c>
      <c r="L87" s="37">
        <v>15.29</v>
      </c>
      <c r="M87" s="37">
        <v>34.28</v>
      </c>
      <c r="N87" s="33" t="s">
        <v>270</v>
      </c>
      <c r="O87" s="33" t="s">
        <v>289</v>
      </c>
    </row>
    <row r="88" spans="1:15">
      <c r="A88" s="28">
        <v>87</v>
      </c>
      <c r="B88" s="28">
        <v>90</v>
      </c>
      <c r="C88" s="28" t="s">
        <v>226</v>
      </c>
      <c r="D88" s="29">
        <v>46196</v>
      </c>
      <c r="E88" s="30">
        <v>0.62222222222222201</v>
      </c>
      <c r="F88" s="30">
        <v>0.63749999999999996</v>
      </c>
      <c r="G88" s="30">
        <v>0.88541666666666663</v>
      </c>
      <c r="H88" s="31">
        <v>47460</v>
      </c>
      <c r="I88" s="31">
        <v>15520</v>
      </c>
      <c r="J88" s="31">
        <v>31940</v>
      </c>
      <c r="K88" s="32">
        <v>47.18</v>
      </c>
      <c r="L88" s="32">
        <v>15.52</v>
      </c>
      <c r="M88" s="32">
        <v>31.66</v>
      </c>
      <c r="N88" s="28" t="s">
        <v>270</v>
      </c>
      <c r="O88" s="28" t="s">
        <v>289</v>
      </c>
    </row>
    <row r="89" spans="1:15">
      <c r="A89" s="33">
        <v>88</v>
      </c>
      <c r="B89" s="33">
        <v>93</v>
      </c>
      <c r="C89" s="33" t="s">
        <v>229</v>
      </c>
      <c r="D89" s="34">
        <v>46196</v>
      </c>
      <c r="E89" s="35">
        <v>0.62222222222222201</v>
      </c>
      <c r="F89" s="35">
        <v>0.63888888888888895</v>
      </c>
      <c r="G89" s="35">
        <v>0.8881944444444444</v>
      </c>
      <c r="H89" s="36">
        <v>43360</v>
      </c>
      <c r="I89" s="36">
        <v>13440</v>
      </c>
      <c r="J89" s="36">
        <v>29920</v>
      </c>
      <c r="K89" s="37">
        <v>43.11</v>
      </c>
      <c r="L89" s="37">
        <v>13.44</v>
      </c>
      <c r="M89" s="37">
        <v>29.67</v>
      </c>
      <c r="N89" s="33" t="s">
        <v>270</v>
      </c>
      <c r="O89" s="33" t="s">
        <v>289</v>
      </c>
    </row>
    <row r="90" spans="1:15">
      <c r="A90" s="28">
        <v>89</v>
      </c>
      <c r="B90" s="28">
        <v>91</v>
      </c>
      <c r="C90" s="28" t="s">
        <v>227</v>
      </c>
      <c r="D90" s="29">
        <v>46196</v>
      </c>
      <c r="E90" s="30">
        <v>0.62291666666666701</v>
      </c>
      <c r="F90" s="30">
        <v>0.64027777777777795</v>
      </c>
      <c r="G90" s="30">
        <v>0.88611111111111107</v>
      </c>
      <c r="H90" s="31">
        <v>45130</v>
      </c>
      <c r="I90" s="31">
        <v>16160</v>
      </c>
      <c r="J90" s="31">
        <v>28970</v>
      </c>
      <c r="K90" s="32">
        <v>44.89</v>
      </c>
      <c r="L90" s="32">
        <v>16.16</v>
      </c>
      <c r="M90" s="32">
        <v>28.73</v>
      </c>
      <c r="N90" s="28" t="s">
        <v>270</v>
      </c>
      <c r="O90" s="28" t="s">
        <v>289</v>
      </c>
    </row>
    <row r="91" spans="1:15">
      <c r="A91" s="33">
        <v>90</v>
      </c>
      <c r="B91" s="33">
        <v>76</v>
      </c>
      <c r="C91" s="33" t="s">
        <v>281</v>
      </c>
      <c r="D91" s="34">
        <v>46196</v>
      </c>
      <c r="E91" s="35">
        <v>0.63541666666666696</v>
      </c>
      <c r="F91" s="35">
        <v>0.64375000000000004</v>
      </c>
      <c r="G91" s="35">
        <v>0.81527777777777799</v>
      </c>
      <c r="H91" s="36">
        <v>47340</v>
      </c>
      <c r="I91" s="36">
        <v>15440</v>
      </c>
      <c r="J91" s="36">
        <v>31900</v>
      </c>
      <c r="K91" s="37">
        <v>47.03</v>
      </c>
      <c r="L91" s="37">
        <v>15.44</v>
      </c>
      <c r="M91" s="37">
        <v>31.59</v>
      </c>
      <c r="N91" s="33" t="s">
        <v>270</v>
      </c>
      <c r="O91" s="33" t="s">
        <v>289</v>
      </c>
    </row>
    <row r="92" spans="1:15">
      <c r="A92" s="28">
        <v>91</v>
      </c>
      <c r="B92" s="28">
        <v>92</v>
      </c>
      <c r="C92" s="28" t="s">
        <v>228</v>
      </c>
      <c r="D92" s="29">
        <v>46196</v>
      </c>
      <c r="E92" s="30">
        <v>0.62222222222222201</v>
      </c>
      <c r="F92" s="30">
        <v>0.64513888888888904</v>
      </c>
      <c r="G92" s="30">
        <v>0.88749999999999996</v>
      </c>
      <c r="H92" s="31">
        <v>48870</v>
      </c>
      <c r="I92" s="31">
        <v>15420</v>
      </c>
      <c r="J92" s="31">
        <v>33450</v>
      </c>
      <c r="K92" s="32">
        <v>48.55</v>
      </c>
      <c r="L92" s="32">
        <v>15.42</v>
      </c>
      <c r="M92" s="32">
        <v>33.130000000000003</v>
      </c>
      <c r="N92" s="28" t="s">
        <v>270</v>
      </c>
      <c r="O92" s="28" t="s">
        <v>289</v>
      </c>
    </row>
    <row r="93" spans="1:15">
      <c r="A93" s="33">
        <v>92</v>
      </c>
      <c r="B93" s="33">
        <v>75</v>
      </c>
      <c r="C93" s="33" t="s">
        <v>215</v>
      </c>
      <c r="D93" s="34">
        <v>46196</v>
      </c>
      <c r="E93" s="35">
        <v>0.63611111111111096</v>
      </c>
      <c r="F93" s="35">
        <v>0.64861111111111103</v>
      </c>
      <c r="G93" s="35">
        <v>0.81527777777777777</v>
      </c>
      <c r="H93" s="36">
        <v>46110</v>
      </c>
      <c r="I93" s="36">
        <v>13820</v>
      </c>
      <c r="J93" s="36">
        <v>32290</v>
      </c>
      <c r="K93" s="37">
        <v>45.77</v>
      </c>
      <c r="L93" s="37">
        <v>13.82</v>
      </c>
      <c r="M93" s="37">
        <v>31.95</v>
      </c>
      <c r="N93" s="33" t="s">
        <v>270</v>
      </c>
      <c r="O93" s="33" t="s">
        <v>289</v>
      </c>
    </row>
    <row r="94" spans="1:15">
      <c r="A94" s="28">
        <v>93</v>
      </c>
      <c r="B94" s="28">
        <v>74</v>
      </c>
      <c r="C94" s="28" t="s">
        <v>214</v>
      </c>
      <c r="D94" s="29">
        <v>46196</v>
      </c>
      <c r="E94" s="30">
        <v>0.63611111111111096</v>
      </c>
      <c r="F94" s="30">
        <v>0.64861111111111103</v>
      </c>
      <c r="G94" s="30">
        <v>0.76666666666666672</v>
      </c>
      <c r="H94" s="31">
        <v>49630</v>
      </c>
      <c r="I94" s="31">
        <v>15440</v>
      </c>
      <c r="J94" s="31">
        <v>34190</v>
      </c>
      <c r="K94" s="32">
        <v>49.24</v>
      </c>
      <c r="L94" s="32">
        <v>15.44</v>
      </c>
      <c r="M94" s="32">
        <v>33.799999999999997</v>
      </c>
      <c r="N94" s="28" t="s">
        <v>270</v>
      </c>
      <c r="O94" s="28" t="s">
        <v>289</v>
      </c>
    </row>
    <row r="95" spans="1:15">
      <c r="A95" s="33">
        <v>94</v>
      </c>
      <c r="B95" s="33">
        <v>79</v>
      </c>
      <c r="C95" s="33" t="s">
        <v>217</v>
      </c>
      <c r="D95" s="34">
        <v>46196</v>
      </c>
      <c r="E95" s="35">
        <v>0.63680555555555596</v>
      </c>
      <c r="F95" s="35">
        <v>0.65208333333333302</v>
      </c>
      <c r="G95" s="35">
        <v>0.81805555555555554</v>
      </c>
      <c r="H95" s="36">
        <v>49370</v>
      </c>
      <c r="I95" s="36">
        <v>15150</v>
      </c>
      <c r="J95" s="36">
        <v>34220</v>
      </c>
      <c r="K95" s="37">
        <v>49.02</v>
      </c>
      <c r="L95" s="37">
        <v>15.15</v>
      </c>
      <c r="M95" s="37">
        <v>33.869999999999997</v>
      </c>
      <c r="N95" s="33" t="s">
        <v>270</v>
      </c>
      <c r="O95" s="33" t="s">
        <v>289</v>
      </c>
    </row>
    <row r="96" spans="1:15">
      <c r="A96" s="28">
        <v>95</v>
      </c>
      <c r="B96" s="28">
        <v>95</v>
      </c>
      <c r="C96" s="28" t="s">
        <v>231</v>
      </c>
      <c r="D96" s="29">
        <v>46196</v>
      </c>
      <c r="E96" s="30">
        <v>0.64722222222222203</v>
      </c>
      <c r="F96" s="30">
        <v>0.655555555555556</v>
      </c>
      <c r="G96" s="30">
        <v>0.90763888888888888</v>
      </c>
      <c r="H96" s="31">
        <v>45380</v>
      </c>
      <c r="I96" s="31">
        <v>14440</v>
      </c>
      <c r="J96" s="31">
        <v>30940</v>
      </c>
      <c r="K96" s="32">
        <v>45.06</v>
      </c>
      <c r="L96" s="32">
        <v>14.44</v>
      </c>
      <c r="M96" s="32">
        <v>30.62</v>
      </c>
      <c r="N96" s="28" t="s">
        <v>270</v>
      </c>
      <c r="O96" s="28" t="s">
        <v>289</v>
      </c>
    </row>
    <row r="97" spans="1:15">
      <c r="A97" s="33">
        <v>96</v>
      </c>
      <c r="B97" s="33">
        <v>114</v>
      </c>
      <c r="C97" s="33" t="s">
        <v>246</v>
      </c>
      <c r="D97" s="34">
        <v>46196</v>
      </c>
      <c r="E97" s="35">
        <v>0.63680555555555596</v>
      </c>
      <c r="F97" s="35">
        <v>0.65763888888888899</v>
      </c>
      <c r="G97" s="35">
        <v>4.6527777777777779E-2</v>
      </c>
      <c r="H97" s="36">
        <v>49790</v>
      </c>
      <c r="I97" s="36">
        <v>14600</v>
      </c>
      <c r="J97" s="36">
        <v>35190</v>
      </c>
      <c r="K97" s="37">
        <v>49.38</v>
      </c>
      <c r="L97" s="37">
        <v>14.6</v>
      </c>
      <c r="M97" s="37">
        <v>34.78</v>
      </c>
      <c r="N97" s="33" t="s">
        <v>270</v>
      </c>
      <c r="O97" s="33" t="s">
        <v>289</v>
      </c>
    </row>
    <row r="98" spans="1:15">
      <c r="A98" s="28">
        <v>97</v>
      </c>
      <c r="B98" s="28">
        <v>98</v>
      </c>
      <c r="C98" s="28" t="s">
        <v>234</v>
      </c>
      <c r="D98" s="29">
        <v>46196</v>
      </c>
      <c r="E98" s="30">
        <v>0.64652777777777803</v>
      </c>
      <c r="F98" s="30">
        <v>0.65902777777777799</v>
      </c>
      <c r="G98" s="30">
        <v>0.90972222222222221</v>
      </c>
      <c r="H98" s="31">
        <v>47950</v>
      </c>
      <c r="I98" s="31">
        <v>15280</v>
      </c>
      <c r="J98" s="31">
        <v>32670</v>
      </c>
      <c r="K98" s="32">
        <v>47.66</v>
      </c>
      <c r="L98" s="32">
        <v>15.28</v>
      </c>
      <c r="M98" s="32">
        <v>32.380000000000003</v>
      </c>
      <c r="N98" s="28" t="s">
        <v>270</v>
      </c>
      <c r="O98" s="28" t="s">
        <v>289</v>
      </c>
    </row>
    <row r="99" spans="1:15">
      <c r="A99" s="33">
        <v>98</v>
      </c>
      <c r="B99" s="33">
        <v>97</v>
      </c>
      <c r="C99" s="33" t="s">
        <v>233</v>
      </c>
      <c r="D99" s="34">
        <v>46196</v>
      </c>
      <c r="E99" s="35">
        <v>0.64652777777777803</v>
      </c>
      <c r="F99" s="35">
        <v>0.66249999999999998</v>
      </c>
      <c r="G99" s="35">
        <v>0.90902777777777777</v>
      </c>
      <c r="H99" s="36">
        <v>47540</v>
      </c>
      <c r="I99" s="36">
        <v>14350</v>
      </c>
      <c r="J99" s="36">
        <v>33190</v>
      </c>
      <c r="K99" s="37">
        <v>47.15</v>
      </c>
      <c r="L99" s="37">
        <v>14.35</v>
      </c>
      <c r="M99" s="37">
        <v>32.799999999999997</v>
      </c>
      <c r="N99" s="33" t="s">
        <v>270</v>
      </c>
      <c r="O99" s="33" t="s">
        <v>289</v>
      </c>
    </row>
    <row r="100" spans="1:15">
      <c r="A100" s="28">
        <v>99</v>
      </c>
      <c r="B100" s="28">
        <v>94</v>
      </c>
      <c r="C100" s="28" t="s">
        <v>230</v>
      </c>
      <c r="D100" s="29">
        <v>46196</v>
      </c>
      <c r="E100" s="30">
        <v>0.64791666666666703</v>
      </c>
      <c r="F100" s="30">
        <v>0.66388888888888897</v>
      </c>
      <c r="G100" s="30">
        <v>0.90694444444444444</v>
      </c>
      <c r="H100" s="31">
        <v>47660</v>
      </c>
      <c r="I100" s="31">
        <v>14370</v>
      </c>
      <c r="J100" s="31">
        <v>33290</v>
      </c>
      <c r="K100" s="32">
        <v>47.33</v>
      </c>
      <c r="L100" s="32">
        <v>14.37</v>
      </c>
      <c r="M100" s="32">
        <v>32.96</v>
      </c>
      <c r="N100" s="28" t="s">
        <v>270</v>
      </c>
      <c r="O100" s="28" t="s">
        <v>289</v>
      </c>
    </row>
    <row r="101" spans="1:15">
      <c r="A101" s="33">
        <v>100</v>
      </c>
      <c r="B101" s="33">
        <v>96</v>
      </c>
      <c r="C101" s="33" t="s">
        <v>232</v>
      </c>
      <c r="D101" s="34">
        <v>46196</v>
      </c>
      <c r="E101" s="35">
        <v>0.64722222222222203</v>
      </c>
      <c r="F101" s="35">
        <v>0.66388888888888897</v>
      </c>
      <c r="G101" s="35">
        <v>0.90833333333333333</v>
      </c>
      <c r="H101" s="36">
        <v>46200</v>
      </c>
      <c r="I101" s="36">
        <v>14270</v>
      </c>
      <c r="J101" s="36">
        <v>31930</v>
      </c>
      <c r="K101" s="37">
        <v>45.86</v>
      </c>
      <c r="L101" s="37">
        <v>14.27</v>
      </c>
      <c r="M101" s="37">
        <v>31.59</v>
      </c>
      <c r="N101" s="33" t="s">
        <v>270</v>
      </c>
      <c r="O101" s="33" t="s">
        <v>289</v>
      </c>
    </row>
    <row r="102" spans="1:15">
      <c r="A102" s="28">
        <v>101</v>
      </c>
      <c r="B102" s="28">
        <v>102</v>
      </c>
      <c r="C102" s="28" t="s">
        <v>238</v>
      </c>
      <c r="D102" s="29">
        <v>46196</v>
      </c>
      <c r="E102" s="30">
        <v>0.66041666666666698</v>
      </c>
      <c r="F102" s="30">
        <v>0.67083333333333295</v>
      </c>
      <c r="G102" s="30">
        <v>0.95902777777777781</v>
      </c>
      <c r="H102" s="31">
        <v>50630</v>
      </c>
      <c r="I102" s="31">
        <v>14690</v>
      </c>
      <c r="J102" s="31">
        <v>35940</v>
      </c>
      <c r="K102" s="32">
        <v>50.21</v>
      </c>
      <c r="L102" s="32">
        <v>14.69</v>
      </c>
      <c r="M102" s="32">
        <v>35.520000000000003</v>
      </c>
      <c r="N102" s="28" t="s">
        <v>270</v>
      </c>
      <c r="O102" s="28" t="s">
        <v>289</v>
      </c>
    </row>
    <row r="103" spans="1:15">
      <c r="A103" s="33">
        <v>102</v>
      </c>
      <c r="B103" s="33">
        <v>103</v>
      </c>
      <c r="C103" s="33" t="s">
        <v>239</v>
      </c>
      <c r="D103" s="34">
        <v>46196</v>
      </c>
      <c r="E103" s="35">
        <v>0.64791666666666703</v>
      </c>
      <c r="F103" s="35">
        <v>0.67222222222222205</v>
      </c>
      <c r="G103" s="35">
        <v>0.95972222222222225</v>
      </c>
      <c r="H103" s="36">
        <v>83520</v>
      </c>
      <c r="I103" s="36">
        <v>23030</v>
      </c>
      <c r="J103" s="36">
        <v>60490</v>
      </c>
      <c r="K103" s="37">
        <v>83.52</v>
      </c>
      <c r="L103" s="37">
        <v>23.03</v>
      </c>
      <c r="M103" s="37">
        <v>60.49</v>
      </c>
      <c r="N103" s="33" t="s">
        <v>270</v>
      </c>
      <c r="O103" s="33" t="s">
        <v>289</v>
      </c>
    </row>
    <row r="104" spans="1:15">
      <c r="A104" s="28">
        <v>103</v>
      </c>
      <c r="B104" s="28">
        <v>107</v>
      </c>
      <c r="C104" s="28" t="s">
        <v>242</v>
      </c>
      <c r="D104" s="29">
        <v>46196</v>
      </c>
      <c r="E104" s="30">
        <v>0.66041666666666698</v>
      </c>
      <c r="F104" s="30">
        <v>0.67638888888888904</v>
      </c>
      <c r="G104" s="30">
        <v>0.98819444444444449</v>
      </c>
      <c r="H104" s="31">
        <v>44730</v>
      </c>
      <c r="I104" s="31">
        <v>14570</v>
      </c>
      <c r="J104" s="31">
        <v>30160</v>
      </c>
      <c r="K104" s="32">
        <v>44.45</v>
      </c>
      <c r="L104" s="32">
        <v>14.57</v>
      </c>
      <c r="M104" s="32">
        <v>29.88</v>
      </c>
      <c r="N104" s="28" t="s">
        <v>270</v>
      </c>
      <c r="O104" s="28" t="s">
        <v>289</v>
      </c>
    </row>
    <row r="105" spans="1:15">
      <c r="A105" s="33">
        <v>104</v>
      </c>
      <c r="B105" s="33">
        <v>112</v>
      </c>
      <c r="C105" s="33" t="s">
        <v>244</v>
      </c>
      <c r="D105" s="34">
        <v>46196</v>
      </c>
      <c r="E105" s="35">
        <v>0.66180555555555598</v>
      </c>
      <c r="F105" s="35">
        <v>0.68125000000000002</v>
      </c>
      <c r="G105" s="35">
        <v>4.4444444444444446E-2</v>
      </c>
      <c r="H105" s="36">
        <v>49160</v>
      </c>
      <c r="I105" s="36">
        <v>15960</v>
      </c>
      <c r="J105" s="36">
        <v>33200</v>
      </c>
      <c r="K105" s="37">
        <v>48.76</v>
      </c>
      <c r="L105" s="37">
        <v>15.96</v>
      </c>
      <c r="M105" s="37">
        <v>32.799999999999997</v>
      </c>
      <c r="N105" s="33" t="s">
        <v>270</v>
      </c>
      <c r="O105" s="33" t="s">
        <v>289</v>
      </c>
    </row>
    <row r="106" spans="1:15">
      <c r="A106" s="28">
        <v>105</v>
      </c>
      <c r="B106" s="28">
        <v>120</v>
      </c>
      <c r="C106" s="28" t="s">
        <v>250</v>
      </c>
      <c r="D106" s="29">
        <v>46196</v>
      </c>
      <c r="E106" s="30">
        <v>0.66111111111111098</v>
      </c>
      <c r="F106" s="30">
        <v>0.68263888888888902</v>
      </c>
      <c r="G106" s="30">
        <v>6.805555555555555E-2</v>
      </c>
      <c r="H106" s="31">
        <v>48680</v>
      </c>
      <c r="I106" s="31">
        <v>14970</v>
      </c>
      <c r="J106" s="31">
        <v>33710</v>
      </c>
      <c r="K106" s="32">
        <v>48.3</v>
      </c>
      <c r="L106" s="32">
        <v>14.97</v>
      </c>
      <c r="M106" s="32">
        <v>33.33</v>
      </c>
      <c r="N106" s="28" t="s">
        <v>270</v>
      </c>
      <c r="O106" s="28" t="s">
        <v>289</v>
      </c>
    </row>
    <row r="107" spans="1:15">
      <c r="A107" s="33">
        <v>106</v>
      </c>
      <c r="B107" s="33">
        <v>111</v>
      </c>
      <c r="C107" s="33" t="s">
        <v>282</v>
      </c>
      <c r="D107" s="34">
        <v>46196</v>
      </c>
      <c r="E107" s="35">
        <v>0.66180555555555598</v>
      </c>
      <c r="F107" s="35">
        <v>0.68541666666666701</v>
      </c>
      <c r="G107" s="35">
        <v>0</v>
      </c>
      <c r="H107" s="36">
        <v>46750</v>
      </c>
      <c r="I107" s="36">
        <v>14500</v>
      </c>
      <c r="J107" s="36">
        <v>32250</v>
      </c>
      <c r="K107" s="37">
        <v>46.45</v>
      </c>
      <c r="L107" s="37">
        <v>14.5</v>
      </c>
      <c r="M107" s="37">
        <v>31.95</v>
      </c>
      <c r="N107" s="33" t="s">
        <v>270</v>
      </c>
      <c r="O107" s="33" t="s">
        <v>289</v>
      </c>
    </row>
    <row r="108" spans="1:15">
      <c r="A108" s="28">
        <v>107</v>
      </c>
      <c r="B108" s="28">
        <v>113</v>
      </c>
      <c r="C108" s="28" t="s">
        <v>245</v>
      </c>
      <c r="D108" s="29">
        <v>46196</v>
      </c>
      <c r="E108" s="30">
        <v>0.66111111111111098</v>
      </c>
      <c r="F108" s="30">
        <v>0.688194444444444</v>
      </c>
      <c r="G108" s="30">
        <v>4.5138888888888888E-2</v>
      </c>
      <c r="H108" s="31">
        <v>49550</v>
      </c>
      <c r="I108" s="31">
        <v>15640</v>
      </c>
      <c r="J108" s="31">
        <v>33910</v>
      </c>
      <c r="K108" s="32">
        <v>49.23</v>
      </c>
      <c r="L108" s="32">
        <v>15.64</v>
      </c>
      <c r="M108" s="32">
        <v>33.590000000000003</v>
      </c>
      <c r="N108" s="28" t="s">
        <v>270</v>
      </c>
      <c r="O108" s="28" t="s">
        <v>289</v>
      </c>
    </row>
    <row r="109" spans="1:15">
      <c r="A109" s="33">
        <v>108</v>
      </c>
      <c r="B109" s="33">
        <v>88</v>
      </c>
      <c r="C109" s="33" t="s">
        <v>224</v>
      </c>
      <c r="D109" s="34">
        <v>46196</v>
      </c>
      <c r="E109" s="35">
        <v>0.66111111111111098</v>
      </c>
      <c r="F109" s="35">
        <v>0.68958333333333299</v>
      </c>
      <c r="G109" s="35">
        <v>0.86875000000000002</v>
      </c>
      <c r="H109" s="36">
        <v>46790</v>
      </c>
      <c r="I109" s="36">
        <v>15070</v>
      </c>
      <c r="J109" s="36">
        <v>31720</v>
      </c>
      <c r="K109" s="37">
        <v>46.5</v>
      </c>
      <c r="L109" s="37">
        <v>15.07</v>
      </c>
      <c r="M109" s="37">
        <v>31.43</v>
      </c>
      <c r="N109" s="33" t="s">
        <v>270</v>
      </c>
      <c r="O109" s="33" t="s">
        <v>289</v>
      </c>
    </row>
    <row r="110" spans="1:15">
      <c r="A110" s="28">
        <v>109</v>
      </c>
      <c r="B110" s="28">
        <v>139</v>
      </c>
      <c r="C110" s="28" t="s">
        <v>148</v>
      </c>
      <c r="D110" s="29">
        <v>46196</v>
      </c>
      <c r="E110" s="30">
        <v>0.67916666666666703</v>
      </c>
      <c r="F110" s="30">
        <v>0.69374999999999998</v>
      </c>
      <c r="G110" s="30">
        <v>0.18194444444444444</v>
      </c>
      <c r="H110" s="31">
        <v>47830</v>
      </c>
      <c r="I110" s="31">
        <v>14800</v>
      </c>
      <c r="J110" s="31">
        <v>33030</v>
      </c>
      <c r="K110" s="32">
        <v>47.43</v>
      </c>
      <c r="L110" s="32">
        <v>14.8</v>
      </c>
      <c r="M110" s="32">
        <v>32.630000000000003</v>
      </c>
      <c r="N110" s="28" t="s">
        <v>270</v>
      </c>
      <c r="O110" s="28" t="s">
        <v>289</v>
      </c>
    </row>
    <row r="111" spans="1:15">
      <c r="A111" s="33">
        <v>110</v>
      </c>
      <c r="B111" s="33">
        <v>89</v>
      </c>
      <c r="C111" s="33" t="s">
        <v>225</v>
      </c>
      <c r="D111" s="34">
        <v>46196</v>
      </c>
      <c r="E111" s="35">
        <v>0.67847222222222203</v>
      </c>
      <c r="F111" s="35">
        <v>0.69861111111111096</v>
      </c>
      <c r="G111" s="35">
        <v>0.87013888888888891</v>
      </c>
      <c r="H111" s="36">
        <v>46780</v>
      </c>
      <c r="I111" s="36">
        <v>15030</v>
      </c>
      <c r="J111" s="36">
        <v>31750</v>
      </c>
      <c r="K111" s="37">
        <v>46.54</v>
      </c>
      <c r="L111" s="37">
        <v>15.03</v>
      </c>
      <c r="M111" s="37">
        <v>31.51</v>
      </c>
      <c r="N111" s="33" t="s">
        <v>270</v>
      </c>
      <c r="O111" s="33" t="s">
        <v>289</v>
      </c>
    </row>
    <row r="112" spans="1:15">
      <c r="A112" s="28">
        <v>111</v>
      </c>
      <c r="B112" s="28">
        <v>117</v>
      </c>
      <c r="C112" s="28" t="s">
        <v>248</v>
      </c>
      <c r="D112" s="29">
        <v>46196</v>
      </c>
      <c r="E112" s="30">
        <v>0.67916666666666703</v>
      </c>
      <c r="F112" s="30">
        <v>0.69930555555555596</v>
      </c>
      <c r="G112" s="30">
        <v>5.1388888888888887E-2</v>
      </c>
      <c r="H112" s="31">
        <v>46240</v>
      </c>
      <c r="I112" s="31">
        <v>14780</v>
      </c>
      <c r="J112" s="31">
        <v>31460</v>
      </c>
      <c r="K112" s="32">
        <v>45.99</v>
      </c>
      <c r="L112" s="32">
        <v>14.78</v>
      </c>
      <c r="M112" s="32">
        <v>31.21</v>
      </c>
      <c r="N112" s="28" t="s">
        <v>270</v>
      </c>
      <c r="O112" s="28" t="s">
        <v>289</v>
      </c>
    </row>
    <row r="113" spans="1:15">
      <c r="A113" s="33">
        <v>112</v>
      </c>
      <c r="B113" s="33">
        <v>109</v>
      </c>
      <c r="C113" s="33" t="s">
        <v>243</v>
      </c>
      <c r="D113" s="34">
        <v>46196</v>
      </c>
      <c r="E113" s="35">
        <v>0.67986111111111103</v>
      </c>
      <c r="F113" s="35">
        <v>0.70138888888888895</v>
      </c>
      <c r="G113" s="35">
        <v>0.99583333333333335</v>
      </c>
      <c r="H113" s="36">
        <v>47100</v>
      </c>
      <c r="I113" s="36">
        <v>15080</v>
      </c>
      <c r="J113" s="36">
        <v>32020</v>
      </c>
      <c r="K113" s="37">
        <v>46.84</v>
      </c>
      <c r="L113" s="37">
        <v>15.08</v>
      </c>
      <c r="M113" s="37">
        <v>31.76</v>
      </c>
      <c r="N113" s="33" t="s">
        <v>270</v>
      </c>
      <c r="O113" s="33" t="s">
        <v>289</v>
      </c>
    </row>
    <row r="114" spans="1:15">
      <c r="A114" s="28">
        <v>113</v>
      </c>
      <c r="B114" s="28">
        <v>105</v>
      </c>
      <c r="C114" s="28" t="s">
        <v>241</v>
      </c>
      <c r="D114" s="29">
        <v>46196</v>
      </c>
      <c r="E114" s="30">
        <v>0.67916666666666703</v>
      </c>
      <c r="F114" s="30">
        <v>0.70486111111111105</v>
      </c>
      <c r="G114" s="30">
        <v>0.98472222222222228</v>
      </c>
      <c r="H114" s="31">
        <v>49990</v>
      </c>
      <c r="I114" s="31">
        <v>15240</v>
      </c>
      <c r="J114" s="31">
        <v>34750</v>
      </c>
      <c r="K114" s="32">
        <v>49.71</v>
      </c>
      <c r="L114" s="32">
        <v>15.24</v>
      </c>
      <c r="M114" s="32">
        <v>34.47</v>
      </c>
      <c r="N114" s="28" t="s">
        <v>270</v>
      </c>
      <c r="O114" s="28" t="s">
        <v>289</v>
      </c>
    </row>
    <row r="115" spans="1:15">
      <c r="A115" s="33">
        <v>114</v>
      </c>
      <c r="B115" s="33">
        <v>101</v>
      </c>
      <c r="C115" s="33" t="s">
        <v>237</v>
      </c>
      <c r="D115" s="34">
        <v>46196</v>
      </c>
      <c r="E115" s="35">
        <v>0.69513888888888897</v>
      </c>
      <c r="F115" s="35">
        <v>0.70625000000000004</v>
      </c>
      <c r="G115" s="35">
        <v>0.95277777777777772</v>
      </c>
      <c r="H115" s="36">
        <v>49250</v>
      </c>
      <c r="I115" s="36">
        <v>14880</v>
      </c>
      <c r="J115" s="36">
        <v>34370</v>
      </c>
      <c r="K115" s="37">
        <v>48.93</v>
      </c>
      <c r="L115" s="37">
        <v>14.88</v>
      </c>
      <c r="M115" s="37">
        <v>34.049999999999997</v>
      </c>
      <c r="N115" s="33" t="s">
        <v>270</v>
      </c>
      <c r="O115" s="33" t="s">
        <v>289</v>
      </c>
    </row>
    <row r="116" spans="1:15">
      <c r="A116" s="28">
        <v>115</v>
      </c>
      <c r="B116" s="28">
        <v>145</v>
      </c>
      <c r="C116" s="28" t="s">
        <v>260</v>
      </c>
      <c r="D116" s="29">
        <v>46196</v>
      </c>
      <c r="E116" s="30">
        <v>0.69583333333333297</v>
      </c>
      <c r="F116" s="30">
        <v>0.70902777777777803</v>
      </c>
      <c r="G116" s="30">
        <v>0.54583333333333328</v>
      </c>
      <c r="H116" s="31">
        <v>44970</v>
      </c>
      <c r="I116" s="31">
        <v>14570</v>
      </c>
      <c r="J116" s="31">
        <v>30400</v>
      </c>
      <c r="K116" s="32">
        <v>44.57</v>
      </c>
      <c r="L116" s="32">
        <v>14.57</v>
      </c>
      <c r="M116" s="32">
        <v>30</v>
      </c>
      <c r="N116" s="28" t="s">
        <v>270</v>
      </c>
      <c r="O116" s="28" t="s">
        <v>289</v>
      </c>
    </row>
    <row r="117" spans="1:15">
      <c r="A117" s="33">
        <v>116</v>
      </c>
      <c r="B117" s="33">
        <v>115</v>
      </c>
      <c r="C117" s="33" t="s">
        <v>247</v>
      </c>
      <c r="D117" s="34">
        <v>46196</v>
      </c>
      <c r="E117" s="35">
        <v>0.67986111111111103</v>
      </c>
      <c r="F117" s="35">
        <v>0.71180555555555602</v>
      </c>
      <c r="G117" s="35">
        <v>4.7222222222222221E-2</v>
      </c>
      <c r="H117" s="36">
        <v>49990</v>
      </c>
      <c r="I117" s="36">
        <v>15360</v>
      </c>
      <c r="J117" s="36">
        <v>34630</v>
      </c>
      <c r="K117" s="37">
        <v>49.65</v>
      </c>
      <c r="L117" s="37">
        <v>15.36</v>
      </c>
      <c r="M117" s="37">
        <v>34.29</v>
      </c>
      <c r="N117" s="33" t="s">
        <v>270</v>
      </c>
      <c r="O117" s="33" t="s">
        <v>289</v>
      </c>
    </row>
    <row r="118" spans="1:15">
      <c r="A118" s="28">
        <v>117</v>
      </c>
      <c r="B118" s="28">
        <v>104</v>
      </c>
      <c r="C118" s="28" t="s">
        <v>240</v>
      </c>
      <c r="D118" s="29">
        <v>46196</v>
      </c>
      <c r="E118" s="30">
        <v>0.69583333333333297</v>
      </c>
      <c r="F118" s="30">
        <v>0.71319444444444402</v>
      </c>
      <c r="G118" s="30">
        <v>0.96666666666666667</v>
      </c>
      <c r="H118" s="31">
        <v>47060</v>
      </c>
      <c r="I118" s="31">
        <v>14860</v>
      </c>
      <c r="J118" s="31">
        <v>32200</v>
      </c>
      <c r="K118" s="32">
        <v>46.75</v>
      </c>
      <c r="L118" s="32">
        <v>14.86</v>
      </c>
      <c r="M118" s="32">
        <v>31.89</v>
      </c>
      <c r="N118" s="28" t="s">
        <v>270</v>
      </c>
      <c r="O118" s="28" t="s">
        <v>289</v>
      </c>
    </row>
    <row r="119" spans="1:15">
      <c r="A119" s="33">
        <v>118</v>
      </c>
      <c r="B119" s="33">
        <v>119</v>
      </c>
      <c r="C119" s="33" t="s">
        <v>249</v>
      </c>
      <c r="D119" s="34">
        <v>46196</v>
      </c>
      <c r="E119" s="35">
        <v>0.69583333333333297</v>
      </c>
      <c r="F119" s="35">
        <v>0.718055555555556</v>
      </c>
      <c r="G119" s="35">
        <v>6.6666666666666666E-2</v>
      </c>
      <c r="H119" s="36">
        <v>50610</v>
      </c>
      <c r="I119" s="36">
        <v>15700</v>
      </c>
      <c r="J119" s="36">
        <v>34910</v>
      </c>
      <c r="K119" s="37">
        <v>50.21</v>
      </c>
      <c r="L119" s="37">
        <v>15.7</v>
      </c>
      <c r="M119" s="37">
        <v>34.51</v>
      </c>
      <c r="N119" s="33" t="s">
        <v>270</v>
      </c>
      <c r="O119" s="33" t="s">
        <v>289</v>
      </c>
    </row>
    <row r="120" spans="1:15">
      <c r="A120" s="28">
        <v>119</v>
      </c>
      <c r="B120" s="28">
        <v>122</v>
      </c>
      <c r="C120" s="28" t="s">
        <v>252</v>
      </c>
      <c r="D120" s="29">
        <v>46196</v>
      </c>
      <c r="E120" s="30">
        <v>0.69652777777777797</v>
      </c>
      <c r="F120" s="30">
        <v>0.72013888888888899</v>
      </c>
      <c r="G120" s="30">
        <v>6.9444444444444448E-2</v>
      </c>
      <c r="H120" s="31">
        <v>48450</v>
      </c>
      <c r="I120" s="31">
        <v>14710</v>
      </c>
      <c r="J120" s="31">
        <v>33740</v>
      </c>
      <c r="K120" s="32">
        <v>48.14</v>
      </c>
      <c r="L120" s="32">
        <v>14.71</v>
      </c>
      <c r="M120" s="32">
        <v>33.43</v>
      </c>
      <c r="N120" s="28" t="s">
        <v>270</v>
      </c>
      <c r="O120" s="28" t="s">
        <v>289</v>
      </c>
    </row>
    <row r="121" spans="1:15">
      <c r="A121" s="33">
        <v>120</v>
      </c>
      <c r="B121" s="33">
        <v>123</v>
      </c>
      <c r="C121" s="33" t="s">
        <v>253</v>
      </c>
      <c r="D121" s="34">
        <v>46196</v>
      </c>
      <c r="E121" s="35">
        <v>0.69652777777777797</v>
      </c>
      <c r="F121" s="35">
        <v>0.72152777777777799</v>
      </c>
      <c r="G121" s="35">
        <v>7.013888888888889E-2</v>
      </c>
      <c r="H121" s="36">
        <v>51390</v>
      </c>
      <c r="I121" s="36">
        <v>14870</v>
      </c>
      <c r="J121" s="36">
        <v>36520</v>
      </c>
      <c r="K121" s="37">
        <v>51.01</v>
      </c>
      <c r="L121" s="37">
        <v>14.87</v>
      </c>
      <c r="M121" s="37">
        <v>36.14</v>
      </c>
      <c r="N121" s="33" t="s">
        <v>270</v>
      </c>
      <c r="O121" s="33" t="s">
        <v>289</v>
      </c>
    </row>
    <row r="122" spans="1:15">
      <c r="A122" s="28">
        <v>121</v>
      </c>
      <c r="B122" s="28">
        <v>131</v>
      </c>
      <c r="C122" s="28">
        <v>5013</v>
      </c>
      <c r="D122" s="29">
        <v>46196</v>
      </c>
      <c r="E122" s="30">
        <v>0.69722222222222197</v>
      </c>
      <c r="F122" s="30">
        <v>0.72569444444444398</v>
      </c>
      <c r="G122" s="30">
        <v>7.5694444444444439E-2</v>
      </c>
      <c r="H122" s="31">
        <v>47130</v>
      </c>
      <c r="I122" s="31">
        <v>14690</v>
      </c>
      <c r="J122" s="31">
        <v>32440</v>
      </c>
      <c r="K122" s="32">
        <v>46.84</v>
      </c>
      <c r="L122" s="32">
        <v>14.69</v>
      </c>
      <c r="M122" s="32">
        <v>32.15</v>
      </c>
      <c r="N122" s="28" t="s">
        <v>270</v>
      </c>
      <c r="O122" s="28" t="s">
        <v>289</v>
      </c>
    </row>
    <row r="123" spans="1:15">
      <c r="A123" s="33">
        <v>122</v>
      </c>
      <c r="B123" s="33">
        <v>132</v>
      </c>
      <c r="C123" s="33" t="s">
        <v>255</v>
      </c>
      <c r="D123" s="34">
        <v>46196</v>
      </c>
      <c r="E123" s="35">
        <v>0.71597222222222201</v>
      </c>
      <c r="F123" s="35">
        <v>0.72916666666666696</v>
      </c>
      <c r="G123" s="35">
        <v>7.6388888888888895E-2</v>
      </c>
      <c r="H123" s="36">
        <v>48050</v>
      </c>
      <c r="I123" s="36">
        <v>14340</v>
      </c>
      <c r="J123" s="36">
        <v>33710</v>
      </c>
      <c r="K123" s="37">
        <v>47.71</v>
      </c>
      <c r="L123" s="37">
        <v>14.34</v>
      </c>
      <c r="M123" s="37">
        <v>33.369999999999997</v>
      </c>
      <c r="N123" s="33" t="s">
        <v>270</v>
      </c>
      <c r="O123" s="33" t="s">
        <v>289</v>
      </c>
    </row>
    <row r="124" spans="1:15">
      <c r="A124" s="40">
        <v>123</v>
      </c>
      <c r="B124" s="40">
        <v>108</v>
      </c>
      <c r="C124" s="40" t="s">
        <v>150</v>
      </c>
      <c r="D124" s="41">
        <v>46196</v>
      </c>
      <c r="E124" s="42">
        <v>0.71597222222222201</v>
      </c>
      <c r="F124" s="42">
        <v>0.74375000000000002</v>
      </c>
      <c r="G124" s="42">
        <v>0.99375000000000002</v>
      </c>
      <c r="H124" s="43">
        <v>86420</v>
      </c>
      <c r="I124" s="43">
        <v>25950</v>
      </c>
      <c r="J124" s="43">
        <v>60470</v>
      </c>
      <c r="K124" s="44">
        <v>86.42</v>
      </c>
      <c r="L124" s="44">
        <v>25.95</v>
      </c>
      <c r="M124" s="44">
        <v>60.47</v>
      </c>
      <c r="N124" s="40" t="s">
        <v>270</v>
      </c>
      <c r="O124" s="40" t="s">
        <v>289</v>
      </c>
    </row>
    <row r="125" spans="1:15">
      <c r="A125" s="33">
        <v>124</v>
      </c>
      <c r="B125" s="33">
        <v>138</v>
      </c>
      <c r="C125" s="33" t="s">
        <v>257</v>
      </c>
      <c r="D125" s="34">
        <v>46196</v>
      </c>
      <c r="E125" s="35">
        <v>0.71666666666666701</v>
      </c>
      <c r="F125" s="35">
        <v>0.80833333333333302</v>
      </c>
      <c r="G125" s="35">
        <v>0.13263888888888889</v>
      </c>
      <c r="H125" s="36">
        <v>44160</v>
      </c>
      <c r="I125" s="36">
        <v>13820</v>
      </c>
      <c r="J125" s="36">
        <v>30340</v>
      </c>
      <c r="K125" s="37">
        <v>43.81</v>
      </c>
      <c r="L125" s="37">
        <v>13.82</v>
      </c>
      <c r="M125" s="37">
        <v>29.99</v>
      </c>
      <c r="N125" s="33" t="s">
        <v>270</v>
      </c>
      <c r="O125" s="33" t="s">
        <v>289</v>
      </c>
    </row>
    <row r="126" spans="1:15">
      <c r="A126" s="28">
        <v>125</v>
      </c>
      <c r="B126" s="28">
        <v>141</v>
      </c>
      <c r="C126" s="28" t="s">
        <v>158</v>
      </c>
      <c r="D126" s="29">
        <v>46196</v>
      </c>
      <c r="E126" s="30">
        <v>0.71736111111111101</v>
      </c>
      <c r="F126" s="30">
        <v>0.80902777777777801</v>
      </c>
      <c r="G126" s="30">
        <v>0.25555555555555554</v>
      </c>
      <c r="H126" s="31">
        <v>45090</v>
      </c>
      <c r="I126" s="31">
        <v>14990</v>
      </c>
      <c r="J126" s="31">
        <v>30100</v>
      </c>
      <c r="K126" s="32">
        <v>44.7</v>
      </c>
      <c r="L126" s="32">
        <v>14.99</v>
      </c>
      <c r="M126" s="32">
        <v>29.71</v>
      </c>
      <c r="N126" s="28" t="s">
        <v>270</v>
      </c>
      <c r="O126" s="28" t="s">
        <v>289</v>
      </c>
    </row>
    <row r="127" spans="1:15">
      <c r="A127" s="33">
        <v>126</v>
      </c>
      <c r="B127" s="33">
        <v>137</v>
      </c>
      <c r="C127" s="33" t="s">
        <v>256</v>
      </c>
      <c r="D127" s="34">
        <v>46196</v>
      </c>
      <c r="E127" s="35">
        <v>0.71666666666666701</v>
      </c>
      <c r="F127" s="35">
        <v>0.81041666666666701</v>
      </c>
      <c r="G127" s="35">
        <v>0.13194444444444445</v>
      </c>
      <c r="H127" s="36">
        <v>46120</v>
      </c>
      <c r="I127" s="36">
        <v>14070</v>
      </c>
      <c r="J127" s="36">
        <v>32050</v>
      </c>
      <c r="K127" s="37">
        <v>45.71</v>
      </c>
      <c r="L127" s="37">
        <v>14.07</v>
      </c>
      <c r="M127" s="37">
        <v>31.64</v>
      </c>
      <c r="N127" s="33" t="s">
        <v>270</v>
      </c>
      <c r="O127" s="33" t="s">
        <v>289</v>
      </c>
    </row>
    <row r="128" spans="1:15">
      <c r="A128" s="28">
        <v>127</v>
      </c>
      <c r="B128" s="28">
        <v>143</v>
      </c>
      <c r="C128" s="28" t="s">
        <v>258</v>
      </c>
      <c r="D128" s="29">
        <v>46196</v>
      </c>
      <c r="E128" s="30">
        <v>0.71736111111111101</v>
      </c>
      <c r="F128" s="30">
        <v>0.811805555555556</v>
      </c>
      <c r="G128" s="30">
        <v>0.44513888888888886</v>
      </c>
      <c r="H128" s="31">
        <v>44000</v>
      </c>
      <c r="I128" s="31">
        <v>14700</v>
      </c>
      <c r="J128" s="31">
        <v>29300</v>
      </c>
      <c r="K128" s="32">
        <v>43.6</v>
      </c>
      <c r="L128" s="32">
        <v>14.7</v>
      </c>
      <c r="M128" s="32">
        <v>28.9</v>
      </c>
      <c r="N128" s="28" t="s">
        <v>270</v>
      </c>
      <c r="O128" s="28" t="s">
        <v>289</v>
      </c>
    </row>
    <row r="129" spans="1:15">
      <c r="A129" s="33">
        <v>128</v>
      </c>
      <c r="B129" s="33">
        <v>110</v>
      </c>
      <c r="C129" s="33" t="s">
        <v>167</v>
      </c>
      <c r="D129" s="34">
        <v>46196</v>
      </c>
      <c r="E129" s="35">
        <v>0.73055555555555596</v>
      </c>
      <c r="F129" s="35">
        <v>0.8125</v>
      </c>
      <c r="G129" s="35">
        <v>0.99930555555555556</v>
      </c>
      <c r="H129" s="36">
        <v>48390</v>
      </c>
      <c r="I129" s="36">
        <v>14380</v>
      </c>
      <c r="J129" s="36">
        <v>34010</v>
      </c>
      <c r="K129" s="37">
        <v>47.82</v>
      </c>
      <c r="L129" s="37">
        <v>14.38</v>
      </c>
      <c r="M129" s="37">
        <v>33.44</v>
      </c>
      <c r="N129" s="33" t="s">
        <v>270</v>
      </c>
      <c r="O129" s="33" t="s">
        <v>289</v>
      </c>
    </row>
    <row r="130" spans="1:15">
      <c r="A130" s="28">
        <v>129</v>
      </c>
      <c r="B130" s="28">
        <v>106</v>
      </c>
      <c r="C130" s="28" t="s">
        <v>173</v>
      </c>
      <c r="D130" s="29">
        <v>46196</v>
      </c>
      <c r="E130" s="30">
        <v>0.73055555555555596</v>
      </c>
      <c r="F130" s="30">
        <v>0.81388888888888899</v>
      </c>
      <c r="G130" s="30">
        <v>0.98750000000000004</v>
      </c>
      <c r="H130" s="31">
        <v>45470</v>
      </c>
      <c r="I130" s="31">
        <v>15110</v>
      </c>
      <c r="J130" s="31">
        <v>30360</v>
      </c>
      <c r="K130" s="32">
        <v>45.15</v>
      </c>
      <c r="L130" s="32">
        <v>15.11</v>
      </c>
      <c r="M130" s="32">
        <v>30.04</v>
      </c>
      <c r="N130" s="28" t="s">
        <v>270</v>
      </c>
      <c r="O130" s="28" t="s">
        <v>289</v>
      </c>
    </row>
    <row r="131" spans="1:15">
      <c r="A131" s="33">
        <v>130</v>
      </c>
      <c r="B131" s="33">
        <v>118</v>
      </c>
      <c r="C131" s="33" t="s">
        <v>181</v>
      </c>
      <c r="D131" s="34">
        <v>46196</v>
      </c>
      <c r="E131" s="35">
        <v>0.73194444444444395</v>
      </c>
      <c r="F131" s="35">
        <v>0.81458333333333299</v>
      </c>
      <c r="G131" s="35">
        <v>5.8333333333333334E-2</v>
      </c>
      <c r="H131" s="36">
        <v>47600</v>
      </c>
      <c r="I131" s="36">
        <v>13960</v>
      </c>
      <c r="J131" s="36">
        <v>33640</v>
      </c>
      <c r="K131" s="37">
        <v>47.12</v>
      </c>
      <c r="L131" s="37">
        <v>13.96</v>
      </c>
      <c r="M131" s="37">
        <v>33.159999999999997</v>
      </c>
      <c r="N131" s="33" t="s">
        <v>270</v>
      </c>
      <c r="O131" s="33" t="s">
        <v>289</v>
      </c>
    </row>
    <row r="132" spans="1:15">
      <c r="A132" s="28">
        <v>131</v>
      </c>
      <c r="B132" s="28">
        <v>126</v>
      </c>
      <c r="C132" s="28" t="s">
        <v>160</v>
      </c>
      <c r="D132" s="29">
        <v>46196</v>
      </c>
      <c r="E132" s="30">
        <v>0.73333333333333295</v>
      </c>
      <c r="F132" s="30">
        <v>0.81597222222222199</v>
      </c>
      <c r="G132" s="30">
        <v>7.2222222222222215E-2</v>
      </c>
      <c r="H132" s="31">
        <v>45780</v>
      </c>
      <c r="I132" s="31">
        <v>14770</v>
      </c>
      <c r="J132" s="31">
        <v>31010</v>
      </c>
      <c r="K132" s="32">
        <v>45.43</v>
      </c>
      <c r="L132" s="32">
        <v>14.77</v>
      </c>
      <c r="M132" s="32">
        <v>30.66</v>
      </c>
      <c r="N132" s="28" t="s">
        <v>270</v>
      </c>
      <c r="O132" s="28" t="s">
        <v>289</v>
      </c>
    </row>
    <row r="133" spans="1:15">
      <c r="A133" s="33">
        <v>132</v>
      </c>
      <c r="B133" s="33">
        <v>121</v>
      </c>
      <c r="C133" s="33" t="s">
        <v>251</v>
      </c>
      <c r="D133" s="34">
        <v>46196</v>
      </c>
      <c r="E133" s="35">
        <v>0.73263888888888895</v>
      </c>
      <c r="F133" s="35">
        <v>0.81736111111111098</v>
      </c>
      <c r="G133" s="35">
        <v>6.8750000000000006E-2</v>
      </c>
      <c r="H133" s="36">
        <v>41220</v>
      </c>
      <c r="I133" s="36">
        <v>12680</v>
      </c>
      <c r="J133" s="36">
        <v>28540</v>
      </c>
      <c r="K133" s="37">
        <v>40.74</v>
      </c>
      <c r="L133" s="37">
        <v>12.68</v>
      </c>
      <c r="M133" s="37">
        <v>28.06</v>
      </c>
      <c r="N133" s="33" t="s">
        <v>270</v>
      </c>
      <c r="O133" s="33" t="s">
        <v>289</v>
      </c>
    </row>
    <row r="134" spans="1:15">
      <c r="A134" s="28">
        <v>133</v>
      </c>
      <c r="B134" s="28">
        <v>130</v>
      </c>
      <c r="C134" s="28" t="s">
        <v>254</v>
      </c>
      <c r="D134" s="29">
        <v>46196</v>
      </c>
      <c r="E134" s="30">
        <v>0.73263888888888895</v>
      </c>
      <c r="F134" s="30">
        <v>0.81874999999999998</v>
      </c>
      <c r="G134" s="30">
        <v>7.4999999999999997E-2</v>
      </c>
      <c r="H134" s="31">
        <v>45570</v>
      </c>
      <c r="I134" s="31">
        <v>14700</v>
      </c>
      <c r="J134" s="31">
        <v>30870</v>
      </c>
      <c r="K134" s="32">
        <v>45.25</v>
      </c>
      <c r="L134" s="32">
        <v>14.7</v>
      </c>
      <c r="M134" s="32">
        <v>30.55</v>
      </c>
      <c r="N134" s="28" t="s">
        <v>270</v>
      </c>
      <c r="O134" s="28" t="s">
        <v>289</v>
      </c>
    </row>
    <row r="135" spans="1:15">
      <c r="A135" s="33">
        <v>134</v>
      </c>
      <c r="B135" s="33">
        <v>127</v>
      </c>
      <c r="C135" s="33" t="s">
        <v>159</v>
      </c>
      <c r="D135" s="34">
        <v>46196</v>
      </c>
      <c r="E135" s="35">
        <v>0.82013888888888897</v>
      </c>
      <c r="F135" s="35">
        <v>0.82430555555555596</v>
      </c>
      <c r="G135" s="35">
        <v>7.2916666666667004E-2</v>
      </c>
      <c r="H135" s="36">
        <v>47410</v>
      </c>
      <c r="I135" s="36">
        <v>14730</v>
      </c>
      <c r="J135" s="36">
        <v>32680</v>
      </c>
      <c r="K135" s="37">
        <v>47.07</v>
      </c>
      <c r="L135" s="37">
        <v>14.73</v>
      </c>
      <c r="M135" s="37">
        <v>32.340000000000003</v>
      </c>
      <c r="N135" s="33" t="s">
        <v>270</v>
      </c>
      <c r="O135" s="33" t="s">
        <v>289</v>
      </c>
    </row>
    <row r="136" spans="1:15">
      <c r="A136" s="28">
        <v>135</v>
      </c>
      <c r="B136" s="28">
        <v>140</v>
      </c>
      <c r="C136" s="28" t="s">
        <v>187</v>
      </c>
      <c r="D136" s="29">
        <v>46196</v>
      </c>
      <c r="E136" s="30">
        <v>0.82013888888888897</v>
      </c>
      <c r="F136" s="30">
        <v>0.82777777777777795</v>
      </c>
      <c r="G136" s="30">
        <v>0.24166666666666667</v>
      </c>
      <c r="H136" s="31">
        <v>46500</v>
      </c>
      <c r="I136" s="31">
        <v>14590</v>
      </c>
      <c r="J136" s="31">
        <v>31910</v>
      </c>
      <c r="K136" s="32">
        <v>46.09</v>
      </c>
      <c r="L136" s="32">
        <v>14.59</v>
      </c>
      <c r="M136" s="32">
        <v>31.5</v>
      </c>
      <c r="N136" s="28" t="s">
        <v>270</v>
      </c>
      <c r="O136" s="28" t="s">
        <v>289</v>
      </c>
    </row>
    <row r="137" spans="1:15">
      <c r="A137" s="33">
        <v>136</v>
      </c>
      <c r="B137" s="33">
        <v>125</v>
      </c>
      <c r="C137" s="33" t="s">
        <v>172</v>
      </c>
      <c r="D137" s="34">
        <v>46196</v>
      </c>
      <c r="E137" s="35">
        <v>0.82083333333333297</v>
      </c>
      <c r="F137" s="35">
        <v>0.82916666666666705</v>
      </c>
      <c r="G137" s="35">
        <v>7.1527777777777773E-2</v>
      </c>
      <c r="H137" s="36">
        <v>50150</v>
      </c>
      <c r="I137" s="36">
        <v>14580</v>
      </c>
      <c r="J137" s="36">
        <v>35570</v>
      </c>
      <c r="K137" s="37">
        <v>49.74</v>
      </c>
      <c r="L137" s="37">
        <v>14.58</v>
      </c>
      <c r="M137" s="37">
        <v>35.159999999999997</v>
      </c>
      <c r="N137" s="33" t="s">
        <v>270</v>
      </c>
      <c r="O137" s="33" t="s">
        <v>289</v>
      </c>
    </row>
    <row r="138" spans="1:15">
      <c r="A138" s="28">
        <v>137</v>
      </c>
      <c r="B138" s="28">
        <v>128</v>
      </c>
      <c r="C138" s="28" t="s">
        <v>193</v>
      </c>
      <c r="D138" s="29">
        <v>46196</v>
      </c>
      <c r="E138" s="30">
        <v>0.82152777777777797</v>
      </c>
      <c r="F138" s="30">
        <v>0.83194444444444404</v>
      </c>
      <c r="G138" s="30">
        <v>7.3611111111111113E-2</v>
      </c>
      <c r="H138" s="31">
        <v>46560</v>
      </c>
      <c r="I138" s="31">
        <v>14840</v>
      </c>
      <c r="J138" s="31">
        <v>31720</v>
      </c>
      <c r="K138" s="32">
        <v>46.25</v>
      </c>
      <c r="L138" s="32">
        <v>14.84</v>
      </c>
      <c r="M138" s="32">
        <v>31.41</v>
      </c>
      <c r="N138" s="28" t="s">
        <v>270</v>
      </c>
      <c r="O138" s="28" t="s">
        <v>289</v>
      </c>
    </row>
    <row r="139" spans="1:15">
      <c r="A139" s="33">
        <v>138</v>
      </c>
      <c r="B139" s="33">
        <v>135</v>
      </c>
      <c r="C139" s="33" t="s">
        <v>188</v>
      </c>
      <c r="D139" s="34">
        <v>46196</v>
      </c>
      <c r="E139" s="35">
        <v>0.82222222222222197</v>
      </c>
      <c r="F139" s="35">
        <v>0.83472222222222203</v>
      </c>
      <c r="G139" s="35">
        <v>7.9166666666666663E-2</v>
      </c>
      <c r="H139" s="36">
        <v>46320</v>
      </c>
      <c r="I139" s="36">
        <v>15080</v>
      </c>
      <c r="J139" s="36">
        <v>31240</v>
      </c>
      <c r="K139" s="37">
        <v>45.97</v>
      </c>
      <c r="L139" s="37">
        <v>15.08</v>
      </c>
      <c r="M139" s="37">
        <v>30.89</v>
      </c>
      <c r="N139" s="33" t="s">
        <v>270</v>
      </c>
      <c r="O139" s="33" t="s">
        <v>289</v>
      </c>
    </row>
    <row r="140" spans="1:15">
      <c r="A140" s="28">
        <v>139</v>
      </c>
      <c r="B140" s="28">
        <v>124</v>
      </c>
      <c r="C140" s="28" t="s">
        <v>185</v>
      </c>
      <c r="D140" s="29">
        <v>46196</v>
      </c>
      <c r="E140" s="30">
        <v>0.82083333333333297</v>
      </c>
      <c r="F140" s="30">
        <v>0.83611111111111103</v>
      </c>
      <c r="G140" s="30">
        <v>7.0833333333333331E-2</v>
      </c>
      <c r="H140" s="31">
        <v>47140</v>
      </c>
      <c r="I140" s="31">
        <v>14610</v>
      </c>
      <c r="J140" s="31">
        <v>32530</v>
      </c>
      <c r="K140" s="32">
        <v>46.82</v>
      </c>
      <c r="L140" s="32">
        <v>14.61</v>
      </c>
      <c r="M140" s="32">
        <v>32.21</v>
      </c>
      <c r="N140" s="28" t="s">
        <v>270</v>
      </c>
      <c r="O140" s="28" t="s">
        <v>289</v>
      </c>
    </row>
    <row r="141" spans="1:15">
      <c r="A141" s="33">
        <v>140</v>
      </c>
      <c r="B141" s="33">
        <v>133</v>
      </c>
      <c r="C141" s="33" t="s">
        <v>183</v>
      </c>
      <c r="D141" s="34">
        <v>46196</v>
      </c>
      <c r="E141" s="35">
        <v>0.82152777777777797</v>
      </c>
      <c r="F141" s="35">
        <v>0.83958333333333302</v>
      </c>
      <c r="G141" s="35">
        <v>7.7083333333333337E-2</v>
      </c>
      <c r="H141" s="36">
        <v>47130</v>
      </c>
      <c r="I141" s="36">
        <v>15050</v>
      </c>
      <c r="J141" s="36">
        <v>32080</v>
      </c>
      <c r="K141" s="37">
        <v>46.86</v>
      </c>
      <c r="L141" s="37">
        <v>15.05</v>
      </c>
      <c r="M141" s="37">
        <v>31.81</v>
      </c>
      <c r="N141" s="33" t="s">
        <v>270</v>
      </c>
      <c r="O141" s="33" t="s">
        <v>289</v>
      </c>
    </row>
    <row r="142" spans="1:15">
      <c r="A142" s="28">
        <v>141</v>
      </c>
      <c r="B142" s="28">
        <v>134</v>
      </c>
      <c r="C142" s="28" t="s">
        <v>184</v>
      </c>
      <c r="D142" s="29">
        <v>46196</v>
      </c>
      <c r="E142" s="30">
        <v>0.82222222222222197</v>
      </c>
      <c r="F142" s="30">
        <v>0.843055555555556</v>
      </c>
      <c r="G142" s="30">
        <v>7.8472222222222221E-2</v>
      </c>
      <c r="H142" s="31">
        <v>48080</v>
      </c>
      <c r="I142" s="31">
        <v>14210</v>
      </c>
      <c r="J142" s="31">
        <v>33870</v>
      </c>
      <c r="K142" s="32">
        <v>47.74</v>
      </c>
      <c r="L142" s="32">
        <v>14.21</v>
      </c>
      <c r="M142" s="32">
        <v>33.53</v>
      </c>
      <c r="N142" s="28" t="s">
        <v>270</v>
      </c>
      <c r="O142" s="28" t="s">
        <v>289</v>
      </c>
    </row>
    <row r="143" spans="1:15">
      <c r="A143" s="33">
        <v>142</v>
      </c>
      <c r="B143" s="33">
        <v>116</v>
      </c>
      <c r="C143" s="33" t="s">
        <v>166</v>
      </c>
      <c r="D143" s="34">
        <v>46196</v>
      </c>
      <c r="E143" s="35">
        <v>0.82291666666666696</v>
      </c>
      <c r="F143" s="35">
        <v>0.84652777777777799</v>
      </c>
      <c r="G143" s="35">
        <v>4.8611111111111112E-2</v>
      </c>
      <c r="H143" s="36">
        <v>46640</v>
      </c>
      <c r="I143" s="36">
        <v>14220</v>
      </c>
      <c r="J143" s="36">
        <v>32420</v>
      </c>
      <c r="K143" s="37">
        <v>46.33</v>
      </c>
      <c r="L143" s="37">
        <v>14.22</v>
      </c>
      <c r="M143" s="37">
        <v>32.11</v>
      </c>
      <c r="N143" s="33" t="s">
        <v>270</v>
      </c>
      <c r="O143" s="33" t="s">
        <v>289</v>
      </c>
    </row>
    <row r="144" spans="1:15">
      <c r="A144" s="28">
        <v>143</v>
      </c>
      <c r="B144" s="28">
        <v>129</v>
      </c>
      <c r="C144" s="28" t="s">
        <v>161</v>
      </c>
      <c r="D144" s="29">
        <v>46196</v>
      </c>
      <c r="E144" s="30">
        <v>0.82361111111111096</v>
      </c>
      <c r="F144" s="30">
        <v>0.85069444444444398</v>
      </c>
      <c r="G144" s="30">
        <v>7.4305555555555555E-2</v>
      </c>
      <c r="H144" s="31">
        <v>50230</v>
      </c>
      <c r="I144" s="31">
        <v>15510</v>
      </c>
      <c r="J144" s="31">
        <v>34720</v>
      </c>
      <c r="K144" s="32">
        <v>49.81</v>
      </c>
      <c r="L144" s="32">
        <v>15.51</v>
      </c>
      <c r="M144" s="32">
        <v>34.299999999999997</v>
      </c>
      <c r="N144" s="28" t="s">
        <v>270</v>
      </c>
      <c r="O144" s="28" t="s">
        <v>289</v>
      </c>
    </row>
    <row r="145" spans="1:15">
      <c r="A145" s="33">
        <v>144</v>
      </c>
      <c r="B145" s="33">
        <v>136</v>
      </c>
      <c r="C145" s="33" t="s">
        <v>196</v>
      </c>
      <c r="D145" s="34">
        <v>46196</v>
      </c>
      <c r="E145" s="35">
        <v>0.844444444444444</v>
      </c>
      <c r="F145" s="35">
        <v>0.85277777777777797</v>
      </c>
      <c r="G145" s="35">
        <v>8.4027777777777785E-2</v>
      </c>
      <c r="H145" s="36">
        <v>50070</v>
      </c>
      <c r="I145" s="36">
        <v>14830</v>
      </c>
      <c r="J145" s="36">
        <v>35240</v>
      </c>
      <c r="K145" s="37">
        <v>49.66</v>
      </c>
      <c r="L145" s="37">
        <v>14.83</v>
      </c>
      <c r="M145" s="37">
        <v>34.83</v>
      </c>
      <c r="N145" s="33" t="s">
        <v>270</v>
      </c>
      <c r="O145" s="33" t="s">
        <v>289</v>
      </c>
    </row>
    <row r="146" spans="1:15">
      <c r="A146" s="40">
        <v>145</v>
      </c>
      <c r="B146" s="40">
        <v>142</v>
      </c>
      <c r="C146" s="40" t="s">
        <v>175</v>
      </c>
      <c r="D146" s="41">
        <v>46196</v>
      </c>
      <c r="E146" s="42">
        <v>0.84861111111111098</v>
      </c>
      <c r="F146" s="42">
        <v>0.85624999999999996</v>
      </c>
      <c r="G146" s="42">
        <v>0.26041666666666702</v>
      </c>
      <c r="H146" s="43">
        <v>48550</v>
      </c>
      <c r="I146" s="43">
        <v>15510</v>
      </c>
      <c r="J146" s="43">
        <v>33040</v>
      </c>
      <c r="K146" s="44">
        <v>48.15</v>
      </c>
      <c r="L146" s="44">
        <v>15.51</v>
      </c>
      <c r="M146" s="44">
        <v>32.64</v>
      </c>
      <c r="N146" s="40" t="s">
        <v>270</v>
      </c>
      <c r="O146" s="40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Jetty</vt:lpstr>
      <vt:lpstr>Data Site</vt:lpstr>
      <vt:lpstr>Compiled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Ksatria Rahardja</cp:lastModifiedBy>
  <dcterms:created xsi:type="dcterms:W3CDTF">2026-06-25T08:49:53Z</dcterms:created>
  <dcterms:modified xsi:type="dcterms:W3CDTF">2026-06-25T08:49:53Z</dcterms:modified>
</cp:coreProperties>
</file>