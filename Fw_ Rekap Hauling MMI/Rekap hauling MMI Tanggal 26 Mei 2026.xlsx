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FC47B1B1-2F83-41EE-9070-5D48FE0433EE}" xr6:coauthVersionLast="47" xr6:coauthVersionMax="47" xr10:uidLastSave="{00000000-0000-0000-0000-000000000000}"/>
  <bookViews>
    <workbookView xWindow="-120" yWindow="-120" windowWidth="24240" windowHeight="13140" tabRatio="915" firstSheet="6" activeTab="6" xr2:uid="{00000000-000D-0000-FFFF-FFFF00000000}"/>
  </bookViews>
  <sheets>
    <sheet name="1" sheetId="203" state="hidden" r:id="rId1"/>
    <sheet name="2" sheetId="204" state="hidden" r:id="rId2"/>
    <sheet name="3" sheetId="206" state="hidden" r:id="rId3"/>
    <sheet name="4" sheetId="207" state="hidden" r:id="rId4"/>
    <sheet name="5" sheetId="208" state="hidden" r:id="rId5"/>
    <sheet name="6" sheetId="209" state="hidden" r:id="rId6"/>
    <sheet name="26" sheetId="229" r:id="rId7"/>
  </sheets>
  <definedNames>
    <definedName name="_xlnm._FilterDatabase" localSheetId="6" hidden="1">'26'!$A$4:$HW$4</definedName>
    <definedName name="_xlnm.Print_Area" localSheetId="0">'1'!$A$174:$I$187</definedName>
  </definedNames>
  <calcPr calcId="181029"/>
</workbook>
</file>

<file path=xl/calcChain.xml><?xml version="1.0" encoding="utf-8"?>
<calcChain xmlns="http://schemas.openxmlformats.org/spreadsheetml/2006/main">
  <c r="P137" i="203" l="1"/>
  <c r="O137" i="203"/>
  <c r="P136" i="203"/>
  <c r="O136" i="203"/>
  <c r="P135" i="203"/>
  <c r="O135" i="203"/>
  <c r="P134" i="203"/>
  <c r="O134" i="203"/>
  <c r="P133" i="203"/>
  <c r="O133" i="203"/>
  <c r="P132" i="203"/>
  <c r="O132" i="203"/>
  <c r="P131" i="203"/>
  <c r="O131" i="203"/>
  <c r="P130" i="203"/>
  <c r="O130" i="203"/>
  <c r="P129" i="203"/>
  <c r="O129" i="203"/>
  <c r="P128" i="203"/>
  <c r="O128" i="203"/>
  <c r="P127" i="203"/>
  <c r="O127" i="203"/>
  <c r="P126" i="203"/>
  <c r="O126" i="203"/>
  <c r="P125" i="203"/>
  <c r="O125" i="203"/>
  <c r="Q124" i="203"/>
  <c r="P124" i="203"/>
  <c r="O124" i="203"/>
  <c r="P123" i="203"/>
  <c r="O123" i="203"/>
  <c r="P122" i="203"/>
  <c r="O122" i="203"/>
  <c r="P121" i="203"/>
  <c r="O121" i="203"/>
  <c r="P120" i="203"/>
  <c r="O120" i="203"/>
  <c r="P119" i="203"/>
  <c r="O119" i="203"/>
  <c r="P118" i="203"/>
  <c r="O118" i="203"/>
  <c r="P117" i="203"/>
  <c r="O117" i="203"/>
  <c r="Q116" i="203"/>
  <c r="P116" i="203"/>
  <c r="O116" i="203"/>
  <c r="P115" i="203"/>
  <c r="O115" i="203"/>
  <c r="P114" i="203"/>
  <c r="O114" i="203"/>
  <c r="P113" i="203"/>
  <c r="O113" i="203"/>
  <c r="P112" i="203"/>
  <c r="O112" i="203"/>
  <c r="P111" i="203"/>
  <c r="O111" i="203"/>
  <c r="P110" i="203"/>
  <c r="O110" i="203"/>
  <c r="P109" i="203"/>
  <c r="O109" i="203"/>
  <c r="P108" i="203"/>
  <c r="O108" i="203"/>
  <c r="P107" i="203"/>
  <c r="O107" i="203"/>
  <c r="P106" i="203"/>
  <c r="O106" i="203"/>
  <c r="P105" i="203"/>
  <c r="O105" i="203"/>
  <c r="P104" i="203"/>
  <c r="O104" i="203"/>
  <c r="P103" i="203"/>
  <c r="O103" i="203"/>
  <c r="P102" i="203"/>
  <c r="O102" i="203"/>
  <c r="P101" i="203"/>
  <c r="O101" i="203"/>
  <c r="Q100" i="203"/>
  <c r="P100" i="203"/>
  <c r="O100" i="203"/>
  <c r="P99" i="203"/>
  <c r="O99" i="203"/>
  <c r="P98" i="203"/>
  <c r="O98" i="203"/>
  <c r="P97" i="203"/>
  <c r="O97" i="203"/>
  <c r="P96" i="203"/>
  <c r="O96" i="203"/>
  <c r="P95" i="203"/>
  <c r="O95" i="203"/>
  <c r="P94" i="203"/>
  <c r="O94" i="203"/>
  <c r="P93" i="203"/>
  <c r="O93" i="203"/>
  <c r="Q92" i="203"/>
  <c r="P92" i="203"/>
  <c r="O92" i="203"/>
  <c r="P91" i="203"/>
  <c r="O91" i="203"/>
  <c r="P90" i="203"/>
  <c r="O90" i="203"/>
  <c r="P89" i="203"/>
  <c r="O89" i="203"/>
  <c r="P88" i="203"/>
  <c r="O88" i="203"/>
  <c r="P87" i="203"/>
  <c r="O87" i="203"/>
  <c r="P86" i="203"/>
  <c r="O86" i="203"/>
  <c r="P85" i="203"/>
  <c r="O85" i="203"/>
  <c r="P84" i="203"/>
  <c r="O84" i="203"/>
  <c r="P83" i="203"/>
  <c r="O83" i="203"/>
  <c r="P82" i="203"/>
  <c r="O82" i="203"/>
  <c r="P81" i="203"/>
  <c r="O81" i="203"/>
  <c r="P80" i="203"/>
  <c r="O80" i="203"/>
  <c r="P79" i="203"/>
  <c r="O79" i="203"/>
  <c r="P78" i="203"/>
  <c r="O78" i="203"/>
  <c r="P77" i="203"/>
  <c r="O77" i="203"/>
  <c r="Q76" i="203"/>
  <c r="P76" i="203"/>
  <c r="O76" i="203"/>
  <c r="P75" i="203"/>
  <c r="O75" i="203"/>
  <c r="P74" i="203"/>
  <c r="O74" i="203"/>
  <c r="P73" i="203"/>
  <c r="O73" i="203"/>
  <c r="P72" i="203"/>
  <c r="O72" i="203"/>
  <c r="P71" i="203"/>
  <c r="O71" i="203"/>
  <c r="P70" i="203"/>
  <c r="O70" i="203"/>
  <c r="P69" i="203"/>
  <c r="O69" i="203"/>
  <c r="Q68" i="203"/>
  <c r="P68" i="203"/>
  <c r="O68" i="203"/>
  <c r="P67" i="203"/>
  <c r="O67" i="203"/>
  <c r="P66" i="203"/>
  <c r="O66" i="203"/>
  <c r="P65" i="203"/>
  <c r="O65" i="203"/>
  <c r="P64" i="203"/>
  <c r="O64" i="203"/>
  <c r="P63" i="203"/>
  <c r="O63" i="203"/>
  <c r="P62" i="203"/>
  <c r="O62" i="203"/>
  <c r="P61" i="203"/>
  <c r="O61" i="203"/>
  <c r="P60" i="203"/>
  <c r="O60" i="203"/>
  <c r="P59" i="203"/>
  <c r="O59" i="203"/>
  <c r="P58" i="203"/>
  <c r="O58" i="203"/>
  <c r="P57" i="203"/>
  <c r="O57" i="203"/>
  <c r="P56" i="203"/>
  <c r="O56" i="203"/>
  <c r="P55" i="203"/>
  <c r="O55" i="203"/>
  <c r="P54" i="203"/>
  <c r="O54" i="203"/>
  <c r="P53" i="203"/>
  <c r="O53" i="203"/>
  <c r="Q52" i="203"/>
  <c r="P52" i="203"/>
  <c r="O52" i="203"/>
  <c r="P51" i="203"/>
  <c r="O51" i="203"/>
  <c r="P50" i="203"/>
  <c r="O50" i="203"/>
  <c r="P49" i="203"/>
  <c r="O49" i="203"/>
  <c r="P48" i="203"/>
  <c r="O48" i="203"/>
  <c r="P47" i="203"/>
  <c r="O47" i="203"/>
  <c r="P46" i="203"/>
  <c r="O46" i="203"/>
  <c r="P45" i="203"/>
  <c r="O45" i="203"/>
  <c r="Q44" i="203"/>
  <c r="P44" i="203"/>
  <c r="O44" i="203"/>
  <c r="P43" i="203"/>
  <c r="O43" i="203"/>
  <c r="P42" i="203"/>
  <c r="O42" i="203"/>
  <c r="P41" i="203"/>
  <c r="O41" i="203"/>
  <c r="P40" i="203"/>
  <c r="O40" i="203"/>
  <c r="P39" i="203"/>
  <c r="O39" i="203"/>
  <c r="P38" i="203"/>
  <c r="O38" i="203"/>
  <c r="P37" i="203"/>
  <c r="O37" i="203"/>
  <c r="P36" i="203"/>
  <c r="O36" i="203"/>
  <c r="P35" i="203"/>
  <c r="O35" i="203"/>
  <c r="P34" i="203"/>
  <c r="O34" i="203"/>
  <c r="P33" i="203"/>
  <c r="O33" i="203"/>
  <c r="P32" i="203"/>
  <c r="O32" i="203"/>
  <c r="P31" i="203"/>
  <c r="O31" i="203"/>
  <c r="P30" i="203"/>
  <c r="O30" i="203"/>
  <c r="P29" i="203"/>
  <c r="O29" i="203"/>
  <c r="Q28" i="203"/>
  <c r="P28" i="203"/>
  <c r="O28" i="203"/>
  <c r="P27" i="203"/>
  <c r="O27" i="203"/>
  <c r="P26" i="203"/>
  <c r="O26" i="203"/>
  <c r="P25" i="203"/>
  <c r="O25" i="203"/>
  <c r="P24" i="203"/>
  <c r="O24" i="203"/>
  <c r="P23" i="203"/>
  <c r="O23" i="203"/>
  <c r="P22" i="203"/>
  <c r="O22" i="203"/>
  <c r="P21" i="203"/>
  <c r="O21" i="203"/>
  <c r="Q20" i="203"/>
  <c r="P20" i="203"/>
  <c r="O20" i="203"/>
  <c r="P19" i="203"/>
  <c r="O19" i="203"/>
  <c r="P18" i="203"/>
  <c r="O18" i="203"/>
  <c r="P17" i="203"/>
  <c r="O17" i="203"/>
  <c r="P16" i="203"/>
  <c r="O16" i="203"/>
  <c r="P15" i="203"/>
  <c r="O15" i="203"/>
  <c r="P14" i="203"/>
  <c r="O14" i="203"/>
  <c r="P13" i="203"/>
  <c r="O13" i="203"/>
  <c r="P12" i="203"/>
  <c r="O12" i="203"/>
  <c r="P11" i="203"/>
  <c r="O11" i="203"/>
  <c r="P10" i="203"/>
  <c r="O10" i="203"/>
  <c r="P9" i="203"/>
  <c r="O9" i="203"/>
  <c r="P8" i="203"/>
  <c r="O8" i="203"/>
  <c r="P7" i="203"/>
  <c r="O7" i="203"/>
  <c r="N8" i="203"/>
  <c r="Q8" i="203" s="1"/>
  <c r="N9" i="203"/>
  <c r="N10" i="203"/>
  <c r="N11" i="203"/>
  <c r="N12" i="203"/>
  <c r="N13" i="203"/>
  <c r="Q13" i="203" s="1"/>
  <c r="N14" i="203"/>
  <c r="Q14" i="203" s="1"/>
  <c r="N15" i="203"/>
  <c r="N16" i="203"/>
  <c r="N17" i="203"/>
  <c r="N18" i="203"/>
  <c r="N19" i="203"/>
  <c r="N20" i="203"/>
  <c r="N21" i="203"/>
  <c r="N22" i="203"/>
  <c r="N23" i="203"/>
  <c r="N24" i="203"/>
  <c r="N25" i="203"/>
  <c r="Q25" i="203" s="1"/>
  <c r="N26" i="203"/>
  <c r="Q26" i="203" s="1"/>
  <c r="N27" i="203"/>
  <c r="N28" i="203"/>
  <c r="N29" i="203"/>
  <c r="N30" i="203"/>
  <c r="N31" i="203"/>
  <c r="N32" i="203"/>
  <c r="Q32" i="203" s="1"/>
  <c r="N33" i="203"/>
  <c r="N34" i="203"/>
  <c r="N35" i="203"/>
  <c r="N36" i="203"/>
  <c r="N37" i="203"/>
  <c r="Q37" i="203" s="1"/>
  <c r="N38" i="203"/>
  <c r="Q38" i="203" s="1"/>
  <c r="N39" i="203"/>
  <c r="N40" i="203"/>
  <c r="N41" i="203"/>
  <c r="N42" i="203"/>
  <c r="N43" i="203"/>
  <c r="N44" i="203"/>
  <c r="N45" i="203"/>
  <c r="N46" i="203"/>
  <c r="N47" i="203"/>
  <c r="N48" i="203"/>
  <c r="N49" i="203"/>
  <c r="Q49" i="203" s="1"/>
  <c r="N50" i="203"/>
  <c r="Q50" i="203" s="1"/>
  <c r="N51" i="203"/>
  <c r="N52" i="203"/>
  <c r="N53" i="203"/>
  <c r="N54" i="203"/>
  <c r="N55" i="203"/>
  <c r="N56" i="203"/>
  <c r="Q56" i="203" s="1"/>
  <c r="N57" i="203"/>
  <c r="N58" i="203"/>
  <c r="N59" i="203"/>
  <c r="N60" i="203"/>
  <c r="N61" i="203"/>
  <c r="Q61" i="203" s="1"/>
  <c r="N62" i="203"/>
  <c r="Q62" i="203" s="1"/>
  <c r="N63" i="203"/>
  <c r="N64" i="203"/>
  <c r="N65" i="203"/>
  <c r="N66" i="203"/>
  <c r="N67" i="203"/>
  <c r="N68" i="203"/>
  <c r="N69" i="203"/>
  <c r="N70" i="203"/>
  <c r="N71" i="203"/>
  <c r="N72" i="203"/>
  <c r="N73" i="203"/>
  <c r="Q73" i="203" s="1"/>
  <c r="N74" i="203"/>
  <c r="Q74" i="203" s="1"/>
  <c r="N75" i="203"/>
  <c r="N76" i="203"/>
  <c r="N77" i="203"/>
  <c r="N78" i="203"/>
  <c r="N79" i="203"/>
  <c r="N80" i="203"/>
  <c r="Q80" i="203" s="1"/>
  <c r="N81" i="203"/>
  <c r="N82" i="203"/>
  <c r="N83" i="203"/>
  <c r="N84" i="203"/>
  <c r="N85" i="203"/>
  <c r="Q85" i="203" s="1"/>
  <c r="N86" i="203"/>
  <c r="Q86" i="203" s="1"/>
  <c r="N87" i="203"/>
  <c r="N88" i="203"/>
  <c r="N89" i="203"/>
  <c r="N90" i="203"/>
  <c r="N91" i="203"/>
  <c r="N92" i="203"/>
  <c r="N93" i="203"/>
  <c r="N94" i="203"/>
  <c r="N95" i="203"/>
  <c r="N96" i="203"/>
  <c r="N97" i="203"/>
  <c r="Q97" i="203" s="1"/>
  <c r="N98" i="203"/>
  <c r="Q98" i="203" s="1"/>
  <c r="N99" i="203"/>
  <c r="N100" i="203"/>
  <c r="N101" i="203"/>
  <c r="N102" i="203"/>
  <c r="N103" i="203"/>
  <c r="N104" i="203"/>
  <c r="Q104" i="203" s="1"/>
  <c r="N105" i="203"/>
  <c r="N106" i="203"/>
  <c r="N107" i="203"/>
  <c r="N108" i="203"/>
  <c r="N109" i="203"/>
  <c r="Q109" i="203" s="1"/>
  <c r="N110" i="203"/>
  <c r="Q110" i="203" s="1"/>
  <c r="N111" i="203"/>
  <c r="N112" i="203"/>
  <c r="N113" i="203"/>
  <c r="N114" i="203"/>
  <c r="N115" i="203"/>
  <c r="N116" i="203"/>
  <c r="N117" i="203"/>
  <c r="N118" i="203"/>
  <c r="N119" i="203"/>
  <c r="N120" i="203"/>
  <c r="N121" i="203"/>
  <c r="Q121" i="203" s="1"/>
  <c r="N122" i="203"/>
  <c r="Q122" i="203" s="1"/>
  <c r="N123" i="203"/>
  <c r="N124" i="203"/>
  <c r="N125" i="203"/>
  <c r="N126" i="203"/>
  <c r="N127" i="203"/>
  <c r="N128" i="203"/>
  <c r="Q128" i="203" s="1"/>
  <c r="N129" i="203"/>
  <c r="N130" i="203"/>
  <c r="N131" i="203"/>
  <c r="N132" i="203"/>
  <c r="N133" i="203"/>
  <c r="Q133" i="203" s="1"/>
  <c r="N134" i="203"/>
  <c r="Q134" i="203" s="1"/>
  <c r="N135" i="203"/>
  <c r="N136" i="203"/>
  <c r="N137" i="203"/>
  <c r="N138" i="203"/>
  <c r="N139" i="203"/>
  <c r="N140" i="203"/>
  <c r="N141" i="203"/>
  <c r="N142" i="203"/>
  <c r="I8" i="203"/>
  <c r="I9" i="203"/>
  <c r="I10" i="203"/>
  <c r="Q10" i="203" s="1"/>
  <c r="I11" i="203"/>
  <c r="Q11" i="203" s="1"/>
  <c r="I12" i="203"/>
  <c r="Q12" i="203" s="1"/>
  <c r="I13" i="203"/>
  <c r="I14" i="203"/>
  <c r="I15" i="203"/>
  <c r="I16" i="203"/>
  <c r="Q16" i="203" s="1"/>
  <c r="I17" i="203"/>
  <c r="Q17" i="203" s="1"/>
  <c r="I18" i="203"/>
  <c r="Q18" i="203" s="1"/>
  <c r="I19" i="203"/>
  <c r="Q19" i="203" s="1"/>
  <c r="I20" i="203"/>
  <c r="I21" i="203"/>
  <c r="I22" i="203"/>
  <c r="Q22" i="203" s="1"/>
  <c r="I23" i="203"/>
  <c r="Q23" i="203" s="1"/>
  <c r="I24" i="203"/>
  <c r="Q24" i="203" s="1"/>
  <c r="I25" i="203"/>
  <c r="I26" i="203"/>
  <c r="I27" i="203"/>
  <c r="I28" i="203"/>
  <c r="I29" i="203"/>
  <c r="Q29" i="203" s="1"/>
  <c r="I30" i="203"/>
  <c r="Q30" i="203" s="1"/>
  <c r="I31" i="203"/>
  <c r="Q31" i="203" s="1"/>
  <c r="I32" i="203"/>
  <c r="I33" i="203"/>
  <c r="I34" i="203"/>
  <c r="Q34" i="203" s="1"/>
  <c r="I35" i="203"/>
  <c r="Q35" i="203" s="1"/>
  <c r="I36" i="203"/>
  <c r="Q36" i="203" s="1"/>
  <c r="I37" i="203"/>
  <c r="I38" i="203"/>
  <c r="I39" i="203"/>
  <c r="I40" i="203"/>
  <c r="Q40" i="203" s="1"/>
  <c r="I41" i="203"/>
  <c r="Q41" i="203" s="1"/>
  <c r="I42" i="203"/>
  <c r="Q42" i="203" s="1"/>
  <c r="I43" i="203"/>
  <c r="Q43" i="203" s="1"/>
  <c r="I44" i="203"/>
  <c r="I45" i="203"/>
  <c r="I46" i="203"/>
  <c r="Q46" i="203" s="1"/>
  <c r="I47" i="203"/>
  <c r="Q47" i="203" s="1"/>
  <c r="I48" i="203"/>
  <c r="Q48" i="203" s="1"/>
  <c r="I49" i="203"/>
  <c r="I50" i="203"/>
  <c r="I51" i="203"/>
  <c r="I52" i="203"/>
  <c r="I53" i="203"/>
  <c r="Q53" i="203" s="1"/>
  <c r="I54" i="203"/>
  <c r="Q54" i="203" s="1"/>
  <c r="I55" i="203"/>
  <c r="Q55" i="203" s="1"/>
  <c r="I56" i="203"/>
  <c r="I57" i="203"/>
  <c r="I58" i="203"/>
  <c r="Q58" i="203" s="1"/>
  <c r="I59" i="203"/>
  <c r="Q59" i="203" s="1"/>
  <c r="I60" i="203"/>
  <c r="Q60" i="203" s="1"/>
  <c r="I61" i="203"/>
  <c r="I62" i="203"/>
  <c r="I63" i="203"/>
  <c r="I64" i="203"/>
  <c r="Q64" i="203" s="1"/>
  <c r="I65" i="203"/>
  <c r="Q65" i="203" s="1"/>
  <c r="I66" i="203"/>
  <c r="Q66" i="203" s="1"/>
  <c r="I67" i="203"/>
  <c r="Q67" i="203" s="1"/>
  <c r="I68" i="203"/>
  <c r="I69" i="203"/>
  <c r="I70" i="203"/>
  <c r="Q70" i="203" s="1"/>
  <c r="I71" i="203"/>
  <c r="Q71" i="203" s="1"/>
  <c r="I72" i="203"/>
  <c r="Q72" i="203" s="1"/>
  <c r="I73" i="203"/>
  <c r="I74" i="203"/>
  <c r="I75" i="203"/>
  <c r="I76" i="203"/>
  <c r="I77" i="203"/>
  <c r="Q77" i="203" s="1"/>
  <c r="I78" i="203"/>
  <c r="Q78" i="203" s="1"/>
  <c r="I79" i="203"/>
  <c r="Q79" i="203" s="1"/>
  <c r="I80" i="203"/>
  <c r="I81" i="203"/>
  <c r="I82" i="203"/>
  <c r="Q82" i="203" s="1"/>
  <c r="I83" i="203"/>
  <c r="Q83" i="203" s="1"/>
  <c r="I84" i="203"/>
  <c r="Q84" i="203" s="1"/>
  <c r="I85" i="203"/>
  <c r="I86" i="203"/>
  <c r="I87" i="203"/>
  <c r="I88" i="203"/>
  <c r="Q88" i="203" s="1"/>
  <c r="I89" i="203"/>
  <c r="Q89" i="203" s="1"/>
  <c r="I90" i="203"/>
  <c r="Q90" i="203" s="1"/>
  <c r="I91" i="203"/>
  <c r="Q91" i="203" s="1"/>
  <c r="I92" i="203"/>
  <c r="I93" i="203"/>
  <c r="I94" i="203"/>
  <c r="Q94" i="203" s="1"/>
  <c r="I95" i="203"/>
  <c r="Q95" i="203" s="1"/>
  <c r="I96" i="203"/>
  <c r="Q96" i="203" s="1"/>
  <c r="I97" i="203"/>
  <c r="I98" i="203"/>
  <c r="I99" i="203"/>
  <c r="I100" i="203"/>
  <c r="I101" i="203"/>
  <c r="Q101" i="203" s="1"/>
  <c r="I102" i="203"/>
  <c r="Q102" i="203" s="1"/>
  <c r="I103" i="203"/>
  <c r="Q103" i="203" s="1"/>
  <c r="I104" i="203"/>
  <c r="I105" i="203"/>
  <c r="I106" i="203"/>
  <c r="Q106" i="203" s="1"/>
  <c r="I107" i="203"/>
  <c r="Q107" i="203" s="1"/>
  <c r="I108" i="203"/>
  <c r="Q108" i="203" s="1"/>
  <c r="I109" i="203"/>
  <c r="I110" i="203"/>
  <c r="I111" i="203"/>
  <c r="I112" i="203"/>
  <c r="Q112" i="203" s="1"/>
  <c r="I113" i="203"/>
  <c r="Q113" i="203" s="1"/>
  <c r="I114" i="203"/>
  <c r="Q114" i="203" s="1"/>
  <c r="I115" i="203"/>
  <c r="Q115" i="203" s="1"/>
  <c r="I116" i="203"/>
  <c r="I117" i="203"/>
  <c r="I118" i="203"/>
  <c r="Q118" i="203" s="1"/>
  <c r="I119" i="203"/>
  <c r="Q119" i="203" s="1"/>
  <c r="I120" i="203"/>
  <c r="Q120" i="203" s="1"/>
  <c r="I121" i="203"/>
  <c r="I122" i="203"/>
  <c r="I123" i="203"/>
  <c r="I124" i="203"/>
  <c r="I125" i="203"/>
  <c r="Q125" i="203" s="1"/>
  <c r="I126" i="203"/>
  <c r="Q126" i="203" s="1"/>
  <c r="I127" i="203"/>
  <c r="Q127" i="203" s="1"/>
  <c r="I128" i="203"/>
  <c r="I129" i="203"/>
  <c r="I130" i="203"/>
  <c r="Q130" i="203" s="1"/>
  <c r="I131" i="203"/>
  <c r="Q131" i="203" s="1"/>
  <c r="I132" i="203"/>
  <c r="Q132" i="203" s="1"/>
  <c r="I133" i="203"/>
  <c r="I134" i="203"/>
  <c r="I135" i="203"/>
  <c r="I136" i="203"/>
  <c r="Q136" i="203" s="1"/>
  <c r="I137" i="203"/>
  <c r="Q137" i="203" s="1"/>
  <c r="I138" i="203"/>
  <c r="I139" i="203"/>
  <c r="Q129" i="203" l="1"/>
  <c r="Q117" i="203"/>
  <c r="Q105" i="203"/>
  <c r="Q93" i="203"/>
  <c r="Q81" i="203"/>
  <c r="Q69" i="203"/>
  <c r="Q57" i="203"/>
  <c r="Q45" i="203"/>
  <c r="Q33" i="203"/>
  <c r="Q21" i="203"/>
  <c r="Q9" i="203"/>
  <c r="Q135" i="203"/>
  <c r="Q123" i="203"/>
  <c r="Q111" i="203"/>
  <c r="Q99" i="203"/>
  <c r="Q87" i="203"/>
  <c r="Q75" i="203"/>
  <c r="Q63" i="203"/>
  <c r="Q51" i="203"/>
  <c r="Q39" i="203"/>
  <c r="Q27" i="203"/>
  <c r="Q15" i="203"/>
  <c r="N175" i="203" l="1"/>
  <c r="N174" i="203"/>
  <c r="P174" i="203"/>
  <c r="O174" i="203"/>
  <c r="I174" i="203"/>
  <c r="P204" i="204"/>
  <c r="O204" i="204"/>
  <c r="P203" i="204"/>
  <c r="O203" i="204"/>
  <c r="P202" i="204"/>
  <c r="O202" i="204"/>
  <c r="P201" i="204"/>
  <c r="O201" i="204"/>
  <c r="P200" i="204"/>
  <c r="O200" i="204"/>
  <c r="P199" i="204"/>
  <c r="O199" i="204"/>
  <c r="P198" i="204"/>
  <c r="O198" i="204"/>
  <c r="P197" i="204"/>
  <c r="O197" i="204"/>
  <c r="P196" i="204"/>
  <c r="O196" i="204"/>
  <c r="P195" i="204"/>
  <c r="O195" i="204"/>
  <c r="P194" i="204"/>
  <c r="O194" i="204"/>
  <c r="P193" i="204"/>
  <c r="O193" i="204"/>
  <c r="P192" i="204"/>
  <c r="O192" i="204"/>
  <c r="P191" i="204"/>
  <c r="O191" i="204"/>
  <c r="P190" i="204"/>
  <c r="O190" i="204"/>
  <c r="P189" i="204"/>
  <c r="O189" i="204"/>
  <c r="P188" i="204"/>
  <c r="O188" i="204"/>
  <c r="P187" i="204"/>
  <c r="O187" i="204"/>
  <c r="P186" i="204"/>
  <c r="O186" i="204"/>
  <c r="P185" i="204"/>
  <c r="O185" i="204"/>
  <c r="P184" i="204"/>
  <c r="O184" i="204"/>
  <c r="P183" i="204"/>
  <c r="O183" i="204"/>
  <c r="P182" i="204"/>
  <c r="O182" i="204"/>
  <c r="P181" i="204"/>
  <c r="O181" i="204"/>
  <c r="P180" i="204"/>
  <c r="O180" i="204"/>
  <c r="P179" i="204"/>
  <c r="O179" i="204"/>
  <c r="P178" i="204"/>
  <c r="O178" i="204"/>
  <c r="P177" i="204"/>
  <c r="O177" i="204"/>
  <c r="P176" i="204"/>
  <c r="O176" i="204"/>
  <c r="P175" i="204"/>
  <c r="O175" i="204"/>
  <c r="P174" i="204"/>
  <c r="O174" i="204"/>
  <c r="P173" i="204"/>
  <c r="O173" i="204"/>
  <c r="P172" i="204"/>
  <c r="O172" i="204"/>
  <c r="P171" i="204"/>
  <c r="O171" i="204"/>
  <c r="P170" i="204"/>
  <c r="O170" i="204"/>
  <c r="P169" i="204"/>
  <c r="O169" i="204"/>
  <c r="P168" i="204"/>
  <c r="O168" i="204"/>
  <c r="P167" i="204"/>
  <c r="O167" i="204"/>
  <c r="P166" i="204"/>
  <c r="O166" i="204"/>
  <c r="P165" i="204"/>
  <c r="O165" i="204"/>
  <c r="P164" i="204"/>
  <c r="O164" i="204"/>
  <c r="P163" i="204"/>
  <c r="O163" i="204"/>
  <c r="P162" i="204"/>
  <c r="O162" i="204"/>
  <c r="P161" i="204"/>
  <c r="O161" i="204"/>
  <c r="P160" i="204"/>
  <c r="O160" i="204"/>
  <c r="P159" i="204"/>
  <c r="O159" i="204"/>
  <c r="P158" i="204"/>
  <c r="O158" i="204"/>
  <c r="P157" i="204"/>
  <c r="O157" i="204"/>
  <c r="P156" i="204"/>
  <c r="O156" i="204"/>
  <c r="P155" i="204"/>
  <c r="O155" i="204"/>
  <c r="P154" i="204"/>
  <c r="O154" i="204"/>
  <c r="P153" i="204"/>
  <c r="O153" i="204"/>
  <c r="P152" i="204"/>
  <c r="O152" i="204"/>
  <c r="P151" i="204"/>
  <c r="O151" i="204"/>
  <c r="P150" i="204"/>
  <c r="O150" i="204"/>
  <c r="P149" i="204"/>
  <c r="O149" i="204"/>
  <c r="P148" i="204"/>
  <c r="O148" i="204"/>
  <c r="P147" i="204"/>
  <c r="O147" i="204"/>
  <c r="P146" i="204"/>
  <c r="O146" i="204"/>
  <c r="P145" i="204"/>
  <c r="O145" i="204"/>
  <c r="P144" i="204"/>
  <c r="O144" i="204"/>
  <c r="P143" i="204"/>
  <c r="O143" i="204"/>
  <c r="P142" i="204"/>
  <c r="O142" i="204"/>
  <c r="P141" i="204"/>
  <c r="O141" i="204"/>
  <c r="P140" i="204"/>
  <c r="O140" i="204"/>
  <c r="P139" i="204"/>
  <c r="O139" i="204"/>
  <c r="P138" i="204"/>
  <c r="O138" i="204"/>
  <c r="P137" i="204"/>
  <c r="O137" i="204"/>
  <c r="P136" i="204"/>
  <c r="O136" i="204"/>
  <c r="P135" i="204"/>
  <c r="O135" i="204"/>
  <c r="P134" i="204"/>
  <c r="O134" i="204"/>
  <c r="P133" i="204"/>
  <c r="O133" i="204"/>
  <c r="P132" i="204"/>
  <c r="O132" i="204"/>
  <c r="P131" i="204"/>
  <c r="O131" i="204"/>
  <c r="P130" i="204"/>
  <c r="O130" i="204"/>
  <c r="P129" i="204"/>
  <c r="O129" i="204"/>
  <c r="P128" i="204"/>
  <c r="O128" i="204"/>
  <c r="P127" i="204"/>
  <c r="O127" i="204"/>
  <c r="P126" i="204"/>
  <c r="O126" i="204"/>
  <c r="P125" i="204"/>
  <c r="O125" i="204"/>
  <c r="P124" i="204"/>
  <c r="O124" i="204"/>
  <c r="P123" i="204"/>
  <c r="O123" i="204"/>
  <c r="P122" i="204"/>
  <c r="O122" i="204"/>
  <c r="P121" i="204"/>
  <c r="O121" i="204"/>
  <c r="P120" i="204"/>
  <c r="O120" i="204"/>
  <c r="P119" i="204"/>
  <c r="O119" i="204"/>
  <c r="P118" i="204"/>
  <c r="O118" i="204"/>
  <c r="P117" i="204"/>
  <c r="O117" i="204"/>
  <c r="P116" i="204"/>
  <c r="O116" i="204"/>
  <c r="P115" i="204"/>
  <c r="O115" i="204"/>
  <c r="P114" i="204"/>
  <c r="O114" i="204"/>
  <c r="P113" i="204"/>
  <c r="O113" i="204"/>
  <c r="P112" i="204"/>
  <c r="O112" i="204"/>
  <c r="P111" i="204"/>
  <c r="O111" i="204"/>
  <c r="P110" i="204"/>
  <c r="O110" i="204"/>
  <c r="P109" i="204"/>
  <c r="O109" i="204"/>
  <c r="P108" i="204"/>
  <c r="O108" i="204"/>
  <c r="P107" i="204"/>
  <c r="O107" i="204"/>
  <c r="P106" i="204"/>
  <c r="O106" i="204"/>
  <c r="P105" i="204"/>
  <c r="O105" i="204"/>
  <c r="P104" i="204"/>
  <c r="O104" i="204"/>
  <c r="P103" i="204"/>
  <c r="O103" i="204"/>
  <c r="P102" i="204"/>
  <c r="O102" i="204"/>
  <c r="P101" i="204"/>
  <c r="O101" i="204"/>
  <c r="P100" i="204"/>
  <c r="O100" i="204"/>
  <c r="P99" i="204"/>
  <c r="O99" i="204"/>
  <c r="P98" i="204"/>
  <c r="O98" i="204"/>
  <c r="P97" i="204"/>
  <c r="O97" i="204"/>
  <c r="P96" i="204"/>
  <c r="O96" i="204"/>
  <c r="P95" i="204"/>
  <c r="O95" i="204"/>
  <c r="P94" i="204"/>
  <c r="O94" i="204"/>
  <c r="P93" i="204"/>
  <c r="O93" i="204"/>
  <c r="P92" i="204"/>
  <c r="O92" i="204"/>
  <c r="P91" i="204"/>
  <c r="O91" i="204"/>
  <c r="P90" i="204"/>
  <c r="O90" i="204"/>
  <c r="P89" i="204"/>
  <c r="O89" i="204"/>
  <c r="P88" i="204"/>
  <c r="O88" i="204"/>
  <c r="P87" i="204"/>
  <c r="O87" i="204"/>
  <c r="P86" i="204"/>
  <c r="O86" i="204"/>
  <c r="P85" i="204"/>
  <c r="O85" i="204"/>
  <c r="P84" i="204"/>
  <c r="O84" i="204"/>
  <c r="P83" i="204"/>
  <c r="O83" i="204"/>
  <c r="P82" i="204"/>
  <c r="O82" i="204"/>
  <c r="P81" i="204"/>
  <c r="O81" i="204"/>
  <c r="P80" i="204"/>
  <c r="O80" i="204"/>
  <c r="P79" i="204"/>
  <c r="O79" i="204"/>
  <c r="P78" i="204"/>
  <c r="O78" i="204"/>
  <c r="P77" i="204"/>
  <c r="O77" i="204"/>
  <c r="P76" i="204"/>
  <c r="O76" i="204"/>
  <c r="P75" i="204"/>
  <c r="O75" i="204"/>
  <c r="P74" i="204"/>
  <c r="O74" i="204"/>
  <c r="P73" i="204"/>
  <c r="O73" i="204"/>
  <c r="P72" i="204"/>
  <c r="O72" i="204"/>
  <c r="P71" i="204"/>
  <c r="O71" i="204"/>
  <c r="P70" i="204"/>
  <c r="O70" i="204"/>
  <c r="P69" i="204"/>
  <c r="O69" i="204"/>
  <c r="P68" i="204"/>
  <c r="O68" i="204"/>
  <c r="P67" i="204"/>
  <c r="O67" i="204"/>
  <c r="P66" i="204"/>
  <c r="O66" i="204"/>
  <c r="P65" i="204"/>
  <c r="O65" i="204"/>
  <c r="P64" i="204"/>
  <c r="O64" i="204"/>
  <c r="P63" i="204"/>
  <c r="O63" i="204"/>
  <c r="P62" i="204"/>
  <c r="O62" i="204"/>
  <c r="P61" i="204"/>
  <c r="O61" i="204"/>
  <c r="P60" i="204"/>
  <c r="O60" i="204"/>
  <c r="P59" i="204"/>
  <c r="O59" i="204"/>
  <c r="P58" i="204"/>
  <c r="O58" i="204"/>
  <c r="P57" i="204"/>
  <c r="O57" i="204"/>
  <c r="P56" i="204"/>
  <c r="O56" i="204"/>
  <c r="P55" i="204"/>
  <c r="O55" i="204"/>
  <c r="P54" i="204"/>
  <c r="O54" i="204"/>
  <c r="P53" i="204"/>
  <c r="O53" i="204"/>
  <c r="P52" i="204"/>
  <c r="O52" i="204"/>
  <c r="P51" i="204"/>
  <c r="O51" i="204"/>
  <c r="P50" i="204"/>
  <c r="O50" i="204"/>
  <c r="P49" i="204"/>
  <c r="O49" i="204"/>
  <c r="P48" i="204"/>
  <c r="O48" i="204"/>
  <c r="P47" i="204"/>
  <c r="O47" i="204"/>
  <c r="P46" i="204"/>
  <c r="O46" i="204"/>
  <c r="P45" i="204"/>
  <c r="O45" i="204"/>
  <c r="P44" i="204"/>
  <c r="O44" i="204"/>
  <c r="P43" i="204"/>
  <c r="O43" i="204"/>
  <c r="P42" i="204"/>
  <c r="O42" i="204"/>
  <c r="P41" i="204"/>
  <c r="O41" i="204"/>
  <c r="P40" i="204"/>
  <c r="O40" i="204"/>
  <c r="P39" i="204"/>
  <c r="O39" i="204"/>
  <c r="P38" i="204"/>
  <c r="O38" i="204"/>
  <c r="P37" i="204"/>
  <c r="O37" i="204"/>
  <c r="P36" i="204"/>
  <c r="O36" i="204"/>
  <c r="P35" i="204"/>
  <c r="O35" i="204"/>
  <c r="P34" i="204"/>
  <c r="O34" i="204"/>
  <c r="P33" i="204"/>
  <c r="O33" i="204"/>
  <c r="P32" i="204"/>
  <c r="O32" i="204"/>
  <c r="P31" i="204"/>
  <c r="O31" i="204"/>
  <c r="P30" i="204"/>
  <c r="O30" i="204"/>
  <c r="P29" i="204"/>
  <c r="O29" i="204"/>
  <c r="P28" i="204"/>
  <c r="O28" i="204"/>
  <c r="P27" i="204"/>
  <c r="O27" i="204"/>
  <c r="P26" i="204"/>
  <c r="O26" i="204"/>
  <c r="P25" i="204"/>
  <c r="O25" i="204"/>
  <c r="P24" i="204"/>
  <c r="O24" i="204"/>
  <c r="P23" i="204"/>
  <c r="O23" i="204"/>
  <c r="P22" i="204"/>
  <c r="O22" i="204"/>
  <c r="P21" i="204"/>
  <c r="O21" i="204"/>
  <c r="P20" i="204"/>
  <c r="O20" i="204"/>
  <c r="P19" i="204"/>
  <c r="O19" i="204"/>
  <c r="P18" i="204"/>
  <c r="O18" i="204"/>
  <c r="P17" i="204"/>
  <c r="O17" i="204"/>
  <c r="P16" i="204"/>
  <c r="O16" i="204"/>
  <c r="P15" i="204"/>
  <c r="O15" i="204"/>
  <c r="P14" i="204"/>
  <c r="O14" i="204"/>
  <c r="P13" i="204"/>
  <c r="O13" i="204"/>
  <c r="P12" i="204"/>
  <c r="O12" i="204"/>
  <c r="P11" i="204"/>
  <c r="O11" i="204"/>
  <c r="P10" i="204"/>
  <c r="O10" i="204"/>
  <c r="P9" i="204"/>
  <c r="O9" i="204"/>
  <c r="P8" i="204"/>
  <c r="O8" i="204"/>
  <c r="P7" i="204"/>
  <c r="O7" i="204"/>
  <c r="P6" i="204"/>
  <c r="O6" i="204"/>
  <c r="P204" i="206"/>
  <c r="O204" i="206"/>
  <c r="P203" i="206"/>
  <c r="O203" i="206"/>
  <c r="P202" i="206"/>
  <c r="O202" i="206"/>
  <c r="P201" i="206"/>
  <c r="O201" i="206"/>
  <c r="P200" i="206"/>
  <c r="O200" i="206"/>
  <c r="P199" i="206"/>
  <c r="O199" i="206"/>
  <c r="P198" i="206"/>
  <c r="O198" i="206"/>
  <c r="P197" i="206"/>
  <c r="O197" i="206"/>
  <c r="P196" i="206"/>
  <c r="O196" i="206"/>
  <c r="P195" i="206"/>
  <c r="O195" i="206"/>
  <c r="P194" i="206"/>
  <c r="O194" i="206"/>
  <c r="P193" i="206"/>
  <c r="O193" i="206"/>
  <c r="P192" i="206"/>
  <c r="O192" i="206"/>
  <c r="P191" i="206"/>
  <c r="O191" i="206"/>
  <c r="P190" i="206"/>
  <c r="O190" i="206"/>
  <c r="P189" i="206"/>
  <c r="O189" i="206"/>
  <c r="P188" i="206"/>
  <c r="O188" i="206"/>
  <c r="P187" i="206"/>
  <c r="O187" i="206"/>
  <c r="P186" i="206"/>
  <c r="O186" i="206"/>
  <c r="P185" i="206"/>
  <c r="O185" i="206"/>
  <c r="P184" i="206"/>
  <c r="O184" i="206"/>
  <c r="P183" i="206"/>
  <c r="O183" i="206"/>
  <c r="P182" i="206"/>
  <c r="O182" i="206"/>
  <c r="P181" i="206"/>
  <c r="O181" i="206"/>
  <c r="P180" i="206"/>
  <c r="O180" i="206"/>
  <c r="P179" i="206"/>
  <c r="O179" i="206"/>
  <c r="P178" i="206"/>
  <c r="O178" i="206"/>
  <c r="P177" i="206"/>
  <c r="O177" i="206"/>
  <c r="P176" i="206"/>
  <c r="O176" i="206"/>
  <c r="P175" i="206"/>
  <c r="O175" i="206"/>
  <c r="P174" i="206"/>
  <c r="O174" i="206"/>
  <c r="P173" i="206"/>
  <c r="O173" i="206"/>
  <c r="P172" i="206"/>
  <c r="O172" i="206"/>
  <c r="P171" i="206"/>
  <c r="O171" i="206"/>
  <c r="P170" i="206"/>
  <c r="O170" i="206"/>
  <c r="P169" i="206"/>
  <c r="O169" i="206"/>
  <c r="P168" i="206"/>
  <c r="O168" i="206"/>
  <c r="P167" i="206"/>
  <c r="O167" i="206"/>
  <c r="P166" i="206"/>
  <c r="O166" i="206"/>
  <c r="P165" i="206"/>
  <c r="O165" i="206"/>
  <c r="P164" i="206"/>
  <c r="O164" i="206"/>
  <c r="P163" i="206"/>
  <c r="O163" i="206"/>
  <c r="P162" i="206"/>
  <c r="O162" i="206"/>
  <c r="P161" i="206"/>
  <c r="O161" i="206"/>
  <c r="P160" i="206"/>
  <c r="O160" i="206"/>
  <c r="P159" i="206"/>
  <c r="O159" i="206"/>
  <c r="P158" i="206"/>
  <c r="O158" i="206"/>
  <c r="P157" i="206"/>
  <c r="O157" i="206"/>
  <c r="P156" i="206"/>
  <c r="O156" i="206"/>
  <c r="P155" i="206"/>
  <c r="O155" i="206"/>
  <c r="P154" i="206"/>
  <c r="O154" i="206"/>
  <c r="P153" i="206"/>
  <c r="O153" i="206"/>
  <c r="P152" i="206"/>
  <c r="O152" i="206"/>
  <c r="P151" i="206"/>
  <c r="O151" i="206"/>
  <c r="P150" i="206"/>
  <c r="O150" i="206"/>
  <c r="P149" i="206"/>
  <c r="O149" i="206"/>
  <c r="P148" i="206"/>
  <c r="O148" i="206"/>
  <c r="P147" i="206"/>
  <c r="O147" i="206"/>
  <c r="P146" i="206"/>
  <c r="O146" i="206"/>
  <c r="P145" i="206"/>
  <c r="O145" i="206"/>
  <c r="P144" i="206"/>
  <c r="O144" i="206"/>
  <c r="P143" i="206"/>
  <c r="O143" i="206"/>
  <c r="P142" i="206"/>
  <c r="O142" i="206"/>
  <c r="P141" i="206"/>
  <c r="O141" i="206"/>
  <c r="P140" i="206"/>
  <c r="O140" i="206"/>
  <c r="P139" i="206"/>
  <c r="O139" i="206"/>
  <c r="P138" i="206"/>
  <c r="O138" i="206"/>
  <c r="P137" i="206"/>
  <c r="O137" i="206"/>
  <c r="P136" i="206"/>
  <c r="O136" i="206"/>
  <c r="P135" i="206"/>
  <c r="O135" i="206"/>
  <c r="P134" i="206"/>
  <c r="O134" i="206"/>
  <c r="P133" i="206"/>
  <c r="O133" i="206"/>
  <c r="P132" i="206"/>
  <c r="O132" i="206"/>
  <c r="P131" i="206"/>
  <c r="O131" i="206"/>
  <c r="P130" i="206"/>
  <c r="O130" i="206"/>
  <c r="P129" i="206"/>
  <c r="O129" i="206"/>
  <c r="P128" i="206"/>
  <c r="O128" i="206"/>
  <c r="P127" i="206"/>
  <c r="O127" i="206"/>
  <c r="P126" i="206"/>
  <c r="O126" i="206"/>
  <c r="P125" i="206"/>
  <c r="O125" i="206"/>
  <c r="P124" i="206"/>
  <c r="O124" i="206"/>
  <c r="P123" i="206"/>
  <c r="O123" i="206"/>
  <c r="P122" i="206"/>
  <c r="O122" i="206"/>
  <c r="P121" i="206"/>
  <c r="O121" i="206"/>
  <c r="P120" i="206"/>
  <c r="O120" i="206"/>
  <c r="P119" i="206"/>
  <c r="O119" i="206"/>
  <c r="P118" i="206"/>
  <c r="O118" i="206"/>
  <c r="P117" i="206"/>
  <c r="O117" i="206"/>
  <c r="P116" i="206"/>
  <c r="O116" i="206"/>
  <c r="P115" i="206"/>
  <c r="O115" i="206"/>
  <c r="P114" i="206"/>
  <c r="O114" i="206"/>
  <c r="P113" i="206"/>
  <c r="O113" i="206"/>
  <c r="P112" i="206"/>
  <c r="O112" i="206"/>
  <c r="P111" i="206"/>
  <c r="O111" i="206"/>
  <c r="P110" i="206"/>
  <c r="O110" i="206"/>
  <c r="P109" i="206"/>
  <c r="O109" i="206"/>
  <c r="P108" i="206"/>
  <c r="O108" i="206"/>
  <c r="P107" i="206"/>
  <c r="O107" i="206"/>
  <c r="P106" i="206"/>
  <c r="O106" i="206"/>
  <c r="P105" i="206"/>
  <c r="O105" i="206"/>
  <c r="P104" i="206"/>
  <c r="O104" i="206"/>
  <c r="P103" i="206"/>
  <c r="O103" i="206"/>
  <c r="P102" i="206"/>
  <c r="O102" i="206"/>
  <c r="P101" i="206"/>
  <c r="O101" i="206"/>
  <c r="P100" i="206"/>
  <c r="O100" i="206"/>
  <c r="P99" i="206"/>
  <c r="O99" i="206"/>
  <c r="P98" i="206"/>
  <c r="O98" i="206"/>
  <c r="P97" i="206"/>
  <c r="O97" i="206"/>
  <c r="P96" i="206"/>
  <c r="O96" i="206"/>
  <c r="P95" i="206"/>
  <c r="O95" i="206"/>
  <c r="P94" i="206"/>
  <c r="O94" i="206"/>
  <c r="P93" i="206"/>
  <c r="O93" i="206"/>
  <c r="P92" i="206"/>
  <c r="O92" i="206"/>
  <c r="P91" i="206"/>
  <c r="O91" i="206"/>
  <c r="P90" i="206"/>
  <c r="O90" i="206"/>
  <c r="P89" i="206"/>
  <c r="O89" i="206"/>
  <c r="P88" i="206"/>
  <c r="O88" i="206"/>
  <c r="P87" i="206"/>
  <c r="O87" i="206"/>
  <c r="P86" i="206"/>
  <c r="O86" i="206"/>
  <c r="P85" i="206"/>
  <c r="O85" i="206"/>
  <c r="P84" i="206"/>
  <c r="O84" i="206"/>
  <c r="P83" i="206"/>
  <c r="O83" i="206"/>
  <c r="P82" i="206"/>
  <c r="O82" i="206"/>
  <c r="P81" i="206"/>
  <c r="O81" i="206"/>
  <c r="P80" i="206"/>
  <c r="O80" i="206"/>
  <c r="P79" i="206"/>
  <c r="O79" i="206"/>
  <c r="P78" i="206"/>
  <c r="O78" i="206"/>
  <c r="P77" i="206"/>
  <c r="O77" i="206"/>
  <c r="P76" i="206"/>
  <c r="O76" i="206"/>
  <c r="P75" i="206"/>
  <c r="O75" i="206"/>
  <c r="P74" i="206"/>
  <c r="O74" i="206"/>
  <c r="P73" i="206"/>
  <c r="O73" i="206"/>
  <c r="P72" i="206"/>
  <c r="O72" i="206"/>
  <c r="P71" i="206"/>
  <c r="O71" i="206"/>
  <c r="P70" i="206"/>
  <c r="O70" i="206"/>
  <c r="P69" i="206"/>
  <c r="O69" i="206"/>
  <c r="P68" i="206"/>
  <c r="O68" i="206"/>
  <c r="P67" i="206"/>
  <c r="O67" i="206"/>
  <c r="P66" i="206"/>
  <c r="O66" i="206"/>
  <c r="P65" i="206"/>
  <c r="O65" i="206"/>
  <c r="P64" i="206"/>
  <c r="O64" i="206"/>
  <c r="P63" i="206"/>
  <c r="O63" i="206"/>
  <c r="P62" i="206"/>
  <c r="O62" i="206"/>
  <c r="P61" i="206"/>
  <c r="O61" i="206"/>
  <c r="P60" i="206"/>
  <c r="O60" i="206"/>
  <c r="P59" i="206"/>
  <c r="O59" i="206"/>
  <c r="P58" i="206"/>
  <c r="O58" i="206"/>
  <c r="P57" i="206"/>
  <c r="O57" i="206"/>
  <c r="P56" i="206"/>
  <c r="O56" i="206"/>
  <c r="P55" i="206"/>
  <c r="O55" i="206"/>
  <c r="P54" i="206"/>
  <c r="O54" i="206"/>
  <c r="P53" i="206"/>
  <c r="O53" i="206"/>
  <c r="P52" i="206"/>
  <c r="O52" i="206"/>
  <c r="P51" i="206"/>
  <c r="O51" i="206"/>
  <c r="P50" i="206"/>
  <c r="O50" i="206"/>
  <c r="P49" i="206"/>
  <c r="O49" i="206"/>
  <c r="P48" i="206"/>
  <c r="O48" i="206"/>
  <c r="P47" i="206"/>
  <c r="O47" i="206"/>
  <c r="P46" i="206"/>
  <c r="O46" i="206"/>
  <c r="P45" i="206"/>
  <c r="O45" i="206"/>
  <c r="P44" i="206"/>
  <c r="O44" i="206"/>
  <c r="P43" i="206"/>
  <c r="O43" i="206"/>
  <c r="P42" i="206"/>
  <c r="O42" i="206"/>
  <c r="P41" i="206"/>
  <c r="O41" i="206"/>
  <c r="P40" i="206"/>
  <c r="O40" i="206"/>
  <c r="P39" i="206"/>
  <c r="O39" i="206"/>
  <c r="P38" i="206"/>
  <c r="O38" i="206"/>
  <c r="P37" i="206"/>
  <c r="O37" i="206"/>
  <c r="P36" i="206"/>
  <c r="O36" i="206"/>
  <c r="P35" i="206"/>
  <c r="O35" i="206"/>
  <c r="P34" i="206"/>
  <c r="O34" i="206"/>
  <c r="P33" i="206"/>
  <c r="O33" i="206"/>
  <c r="P32" i="206"/>
  <c r="O32" i="206"/>
  <c r="P31" i="206"/>
  <c r="O31" i="206"/>
  <c r="P30" i="206"/>
  <c r="O30" i="206"/>
  <c r="P29" i="206"/>
  <c r="O29" i="206"/>
  <c r="P28" i="206"/>
  <c r="O28" i="206"/>
  <c r="P27" i="206"/>
  <c r="O27" i="206"/>
  <c r="P26" i="206"/>
  <c r="O26" i="206"/>
  <c r="P25" i="206"/>
  <c r="O25" i="206"/>
  <c r="P24" i="206"/>
  <c r="O24" i="206"/>
  <c r="P23" i="206"/>
  <c r="O23" i="206"/>
  <c r="P22" i="206"/>
  <c r="O22" i="206"/>
  <c r="P21" i="206"/>
  <c r="O21" i="206"/>
  <c r="P20" i="206"/>
  <c r="O20" i="206"/>
  <c r="P19" i="206"/>
  <c r="O19" i="206"/>
  <c r="P18" i="206"/>
  <c r="O18" i="206"/>
  <c r="P17" i="206"/>
  <c r="O17" i="206"/>
  <c r="P16" i="206"/>
  <c r="O16" i="206"/>
  <c r="P15" i="206"/>
  <c r="O15" i="206"/>
  <c r="P14" i="206"/>
  <c r="O14" i="206"/>
  <c r="P13" i="206"/>
  <c r="O13" i="206"/>
  <c r="P12" i="206"/>
  <c r="O12" i="206"/>
  <c r="P11" i="206"/>
  <c r="O11" i="206"/>
  <c r="P10" i="206"/>
  <c r="O10" i="206"/>
  <c r="P9" i="206"/>
  <c r="O9" i="206"/>
  <c r="P8" i="206"/>
  <c r="O8" i="206"/>
  <c r="P7" i="206"/>
  <c r="O7" i="206"/>
  <c r="P6" i="206"/>
  <c r="O6" i="206"/>
  <c r="P204" i="207"/>
  <c r="O204" i="207"/>
  <c r="P203" i="207"/>
  <c r="O203" i="207"/>
  <c r="P202" i="207"/>
  <c r="O202" i="207"/>
  <c r="P201" i="207"/>
  <c r="O201" i="207"/>
  <c r="P200" i="207"/>
  <c r="O200" i="207"/>
  <c r="P199" i="207"/>
  <c r="O199" i="207"/>
  <c r="P198" i="207"/>
  <c r="O198" i="207"/>
  <c r="P197" i="207"/>
  <c r="O197" i="207"/>
  <c r="P196" i="207"/>
  <c r="O196" i="207"/>
  <c r="P195" i="207"/>
  <c r="O195" i="207"/>
  <c r="P194" i="207"/>
  <c r="O194" i="207"/>
  <c r="P193" i="207"/>
  <c r="O193" i="207"/>
  <c r="P192" i="207"/>
  <c r="O192" i="207"/>
  <c r="P191" i="207"/>
  <c r="O191" i="207"/>
  <c r="P190" i="207"/>
  <c r="O190" i="207"/>
  <c r="P189" i="207"/>
  <c r="O189" i="207"/>
  <c r="P188" i="207"/>
  <c r="O188" i="207"/>
  <c r="P187" i="207"/>
  <c r="O187" i="207"/>
  <c r="P186" i="207"/>
  <c r="O186" i="207"/>
  <c r="P185" i="207"/>
  <c r="O185" i="207"/>
  <c r="P184" i="207"/>
  <c r="O184" i="207"/>
  <c r="P183" i="207"/>
  <c r="O183" i="207"/>
  <c r="P182" i="207"/>
  <c r="O182" i="207"/>
  <c r="P181" i="207"/>
  <c r="O181" i="207"/>
  <c r="P180" i="207"/>
  <c r="O180" i="207"/>
  <c r="P179" i="207"/>
  <c r="O179" i="207"/>
  <c r="P178" i="207"/>
  <c r="O178" i="207"/>
  <c r="P177" i="207"/>
  <c r="O177" i="207"/>
  <c r="P176" i="207"/>
  <c r="O176" i="207"/>
  <c r="P175" i="207"/>
  <c r="O175" i="207"/>
  <c r="P174" i="207"/>
  <c r="O174" i="207"/>
  <c r="P173" i="207"/>
  <c r="O173" i="207"/>
  <c r="P172" i="207"/>
  <c r="O172" i="207"/>
  <c r="P171" i="207"/>
  <c r="O171" i="207"/>
  <c r="P170" i="207"/>
  <c r="O170" i="207"/>
  <c r="P169" i="207"/>
  <c r="O169" i="207"/>
  <c r="P168" i="207"/>
  <c r="O168" i="207"/>
  <c r="P167" i="207"/>
  <c r="O167" i="207"/>
  <c r="P166" i="207"/>
  <c r="O166" i="207"/>
  <c r="P165" i="207"/>
  <c r="O165" i="207"/>
  <c r="P164" i="207"/>
  <c r="O164" i="207"/>
  <c r="P163" i="207"/>
  <c r="O163" i="207"/>
  <c r="P162" i="207"/>
  <c r="O162" i="207"/>
  <c r="P161" i="207"/>
  <c r="O161" i="207"/>
  <c r="P160" i="207"/>
  <c r="O160" i="207"/>
  <c r="P159" i="207"/>
  <c r="O159" i="207"/>
  <c r="P158" i="207"/>
  <c r="O158" i="207"/>
  <c r="P157" i="207"/>
  <c r="O157" i="207"/>
  <c r="P156" i="207"/>
  <c r="O156" i="207"/>
  <c r="P155" i="207"/>
  <c r="O155" i="207"/>
  <c r="P154" i="207"/>
  <c r="O154" i="207"/>
  <c r="P153" i="207"/>
  <c r="O153" i="207"/>
  <c r="P152" i="207"/>
  <c r="O152" i="207"/>
  <c r="P151" i="207"/>
  <c r="O151" i="207"/>
  <c r="P150" i="207"/>
  <c r="O150" i="207"/>
  <c r="P149" i="207"/>
  <c r="O149" i="207"/>
  <c r="P148" i="207"/>
  <c r="O148" i="207"/>
  <c r="P147" i="207"/>
  <c r="O147" i="207"/>
  <c r="P146" i="207"/>
  <c r="O146" i="207"/>
  <c r="P145" i="207"/>
  <c r="O145" i="207"/>
  <c r="P144" i="207"/>
  <c r="O144" i="207"/>
  <c r="P143" i="207"/>
  <c r="O143" i="207"/>
  <c r="P142" i="207"/>
  <c r="O142" i="207"/>
  <c r="P141" i="207"/>
  <c r="O141" i="207"/>
  <c r="P140" i="207"/>
  <c r="O140" i="207"/>
  <c r="P139" i="207"/>
  <c r="O139" i="207"/>
  <c r="P138" i="207"/>
  <c r="O138" i="207"/>
  <c r="P137" i="207"/>
  <c r="O137" i="207"/>
  <c r="P136" i="207"/>
  <c r="O136" i="207"/>
  <c r="P135" i="207"/>
  <c r="O135" i="207"/>
  <c r="P134" i="207"/>
  <c r="O134" i="207"/>
  <c r="P133" i="207"/>
  <c r="O133" i="207"/>
  <c r="P132" i="207"/>
  <c r="O132" i="207"/>
  <c r="P131" i="207"/>
  <c r="O131" i="207"/>
  <c r="P130" i="207"/>
  <c r="O130" i="207"/>
  <c r="P129" i="207"/>
  <c r="O129" i="207"/>
  <c r="P128" i="207"/>
  <c r="O128" i="207"/>
  <c r="P127" i="207"/>
  <c r="O127" i="207"/>
  <c r="P126" i="207"/>
  <c r="O126" i="207"/>
  <c r="P125" i="207"/>
  <c r="O125" i="207"/>
  <c r="P124" i="207"/>
  <c r="O124" i="207"/>
  <c r="P123" i="207"/>
  <c r="O123" i="207"/>
  <c r="P122" i="207"/>
  <c r="O122" i="207"/>
  <c r="P121" i="207"/>
  <c r="O121" i="207"/>
  <c r="P120" i="207"/>
  <c r="O120" i="207"/>
  <c r="P119" i="207"/>
  <c r="O119" i="207"/>
  <c r="P118" i="207"/>
  <c r="O118" i="207"/>
  <c r="P117" i="207"/>
  <c r="O117" i="207"/>
  <c r="P116" i="207"/>
  <c r="O116" i="207"/>
  <c r="P115" i="207"/>
  <c r="O115" i="207"/>
  <c r="P114" i="207"/>
  <c r="O114" i="207"/>
  <c r="P113" i="207"/>
  <c r="O113" i="207"/>
  <c r="P112" i="207"/>
  <c r="O112" i="207"/>
  <c r="P111" i="207"/>
  <c r="O111" i="207"/>
  <c r="P110" i="207"/>
  <c r="O110" i="207"/>
  <c r="P109" i="207"/>
  <c r="O109" i="207"/>
  <c r="P108" i="207"/>
  <c r="O108" i="207"/>
  <c r="P107" i="207"/>
  <c r="O107" i="207"/>
  <c r="P106" i="207"/>
  <c r="O106" i="207"/>
  <c r="P105" i="207"/>
  <c r="O105" i="207"/>
  <c r="P104" i="207"/>
  <c r="O104" i="207"/>
  <c r="P103" i="207"/>
  <c r="O103" i="207"/>
  <c r="P102" i="207"/>
  <c r="O102" i="207"/>
  <c r="P101" i="207"/>
  <c r="O101" i="207"/>
  <c r="P100" i="207"/>
  <c r="O100" i="207"/>
  <c r="P99" i="207"/>
  <c r="O99" i="207"/>
  <c r="P98" i="207"/>
  <c r="O98" i="207"/>
  <c r="P97" i="207"/>
  <c r="O97" i="207"/>
  <c r="P96" i="207"/>
  <c r="O96" i="207"/>
  <c r="P95" i="207"/>
  <c r="O95" i="207"/>
  <c r="P94" i="207"/>
  <c r="O94" i="207"/>
  <c r="P93" i="207"/>
  <c r="O93" i="207"/>
  <c r="P92" i="207"/>
  <c r="O92" i="207"/>
  <c r="P91" i="207"/>
  <c r="O91" i="207"/>
  <c r="P90" i="207"/>
  <c r="O90" i="207"/>
  <c r="P89" i="207"/>
  <c r="O89" i="207"/>
  <c r="P88" i="207"/>
  <c r="O88" i="207"/>
  <c r="P87" i="207"/>
  <c r="O87" i="207"/>
  <c r="P86" i="207"/>
  <c r="O86" i="207"/>
  <c r="P85" i="207"/>
  <c r="O85" i="207"/>
  <c r="P84" i="207"/>
  <c r="O84" i="207"/>
  <c r="P83" i="207"/>
  <c r="O83" i="207"/>
  <c r="P82" i="207"/>
  <c r="O82" i="207"/>
  <c r="P81" i="207"/>
  <c r="O81" i="207"/>
  <c r="P80" i="207"/>
  <c r="O80" i="207"/>
  <c r="P79" i="207"/>
  <c r="O79" i="207"/>
  <c r="P78" i="207"/>
  <c r="O78" i="207"/>
  <c r="P77" i="207"/>
  <c r="O77" i="207"/>
  <c r="P76" i="207"/>
  <c r="O76" i="207"/>
  <c r="P75" i="207"/>
  <c r="O75" i="207"/>
  <c r="P74" i="207"/>
  <c r="O74" i="207"/>
  <c r="P73" i="207"/>
  <c r="O73" i="207"/>
  <c r="P72" i="207"/>
  <c r="O72" i="207"/>
  <c r="P71" i="207"/>
  <c r="O71" i="207"/>
  <c r="P70" i="207"/>
  <c r="O70" i="207"/>
  <c r="P69" i="207"/>
  <c r="O69" i="207"/>
  <c r="P68" i="207"/>
  <c r="O68" i="207"/>
  <c r="P67" i="207"/>
  <c r="O67" i="207"/>
  <c r="P66" i="207"/>
  <c r="O66" i="207"/>
  <c r="P65" i="207"/>
  <c r="O65" i="207"/>
  <c r="P64" i="207"/>
  <c r="O64" i="207"/>
  <c r="P63" i="207"/>
  <c r="O63" i="207"/>
  <c r="P62" i="207"/>
  <c r="O62" i="207"/>
  <c r="P61" i="207"/>
  <c r="O61" i="207"/>
  <c r="P60" i="207"/>
  <c r="O60" i="207"/>
  <c r="P59" i="207"/>
  <c r="O59" i="207"/>
  <c r="P58" i="207"/>
  <c r="O58" i="207"/>
  <c r="P57" i="207"/>
  <c r="O57" i="207"/>
  <c r="P56" i="207"/>
  <c r="O56" i="207"/>
  <c r="P55" i="207"/>
  <c r="O55" i="207"/>
  <c r="P54" i="207"/>
  <c r="O54" i="207"/>
  <c r="P53" i="207"/>
  <c r="O53" i="207"/>
  <c r="P52" i="207"/>
  <c r="O52" i="207"/>
  <c r="P51" i="207"/>
  <c r="O51" i="207"/>
  <c r="P50" i="207"/>
  <c r="O50" i="207"/>
  <c r="P49" i="207"/>
  <c r="O49" i="207"/>
  <c r="P48" i="207"/>
  <c r="O48" i="207"/>
  <c r="P47" i="207"/>
  <c r="O47" i="207"/>
  <c r="P46" i="207"/>
  <c r="O46" i="207"/>
  <c r="P45" i="207"/>
  <c r="O45" i="207"/>
  <c r="P44" i="207"/>
  <c r="O44" i="207"/>
  <c r="P43" i="207"/>
  <c r="O43" i="207"/>
  <c r="P42" i="207"/>
  <c r="O42" i="207"/>
  <c r="P41" i="207"/>
  <c r="O41" i="207"/>
  <c r="P40" i="207"/>
  <c r="O40" i="207"/>
  <c r="P39" i="207"/>
  <c r="O39" i="207"/>
  <c r="P38" i="207"/>
  <c r="O38" i="207"/>
  <c r="P37" i="207"/>
  <c r="O37" i="207"/>
  <c r="P36" i="207"/>
  <c r="O36" i="207"/>
  <c r="P35" i="207"/>
  <c r="O35" i="207"/>
  <c r="P34" i="207"/>
  <c r="O34" i="207"/>
  <c r="P33" i="207"/>
  <c r="O33" i="207"/>
  <c r="P32" i="207"/>
  <c r="O32" i="207"/>
  <c r="P31" i="207"/>
  <c r="O31" i="207"/>
  <c r="P30" i="207"/>
  <c r="O30" i="207"/>
  <c r="P29" i="207"/>
  <c r="O29" i="207"/>
  <c r="P28" i="207"/>
  <c r="O28" i="207"/>
  <c r="P27" i="207"/>
  <c r="O27" i="207"/>
  <c r="P26" i="207"/>
  <c r="O26" i="207"/>
  <c r="P25" i="207"/>
  <c r="O25" i="207"/>
  <c r="P24" i="207"/>
  <c r="O24" i="207"/>
  <c r="P23" i="207"/>
  <c r="O23" i="207"/>
  <c r="P22" i="207"/>
  <c r="O22" i="207"/>
  <c r="P21" i="207"/>
  <c r="O21" i="207"/>
  <c r="P20" i="207"/>
  <c r="O20" i="207"/>
  <c r="P19" i="207"/>
  <c r="O19" i="207"/>
  <c r="P18" i="207"/>
  <c r="O18" i="207"/>
  <c r="P17" i="207"/>
  <c r="O17" i="207"/>
  <c r="P16" i="207"/>
  <c r="O16" i="207"/>
  <c r="P15" i="207"/>
  <c r="O15" i="207"/>
  <c r="P14" i="207"/>
  <c r="O14" i="207"/>
  <c r="P13" i="207"/>
  <c r="O13" i="207"/>
  <c r="P12" i="207"/>
  <c r="O12" i="207"/>
  <c r="P11" i="207"/>
  <c r="O11" i="207"/>
  <c r="P10" i="207"/>
  <c r="O10" i="207"/>
  <c r="P9" i="207"/>
  <c r="O9" i="207"/>
  <c r="P8" i="207"/>
  <c r="O8" i="207"/>
  <c r="P7" i="207"/>
  <c r="O7" i="207"/>
  <c r="P6" i="207"/>
  <c r="O6" i="207"/>
  <c r="P204" i="208"/>
  <c r="O204" i="208"/>
  <c r="P203" i="208"/>
  <c r="O203" i="208"/>
  <c r="P202" i="208"/>
  <c r="O202" i="208"/>
  <c r="P201" i="208"/>
  <c r="O201" i="208"/>
  <c r="P200" i="208"/>
  <c r="O200" i="208"/>
  <c r="P199" i="208"/>
  <c r="O199" i="208"/>
  <c r="P198" i="208"/>
  <c r="O198" i="208"/>
  <c r="P197" i="208"/>
  <c r="O197" i="208"/>
  <c r="P196" i="208"/>
  <c r="O196" i="208"/>
  <c r="P195" i="208"/>
  <c r="O195" i="208"/>
  <c r="P194" i="208"/>
  <c r="O194" i="208"/>
  <c r="P193" i="208"/>
  <c r="O193" i="208"/>
  <c r="P192" i="208"/>
  <c r="O192" i="208"/>
  <c r="P191" i="208"/>
  <c r="O191" i="208"/>
  <c r="P190" i="208"/>
  <c r="O190" i="208"/>
  <c r="P189" i="208"/>
  <c r="O189" i="208"/>
  <c r="P188" i="208"/>
  <c r="O188" i="208"/>
  <c r="P187" i="208"/>
  <c r="O187" i="208"/>
  <c r="P186" i="208"/>
  <c r="O186" i="208"/>
  <c r="P185" i="208"/>
  <c r="O185" i="208"/>
  <c r="P184" i="208"/>
  <c r="O184" i="208"/>
  <c r="P183" i="208"/>
  <c r="O183" i="208"/>
  <c r="P182" i="208"/>
  <c r="O182" i="208"/>
  <c r="P181" i="208"/>
  <c r="O181" i="208"/>
  <c r="P180" i="208"/>
  <c r="O180" i="208"/>
  <c r="P179" i="208"/>
  <c r="O179" i="208"/>
  <c r="P178" i="208"/>
  <c r="O178" i="208"/>
  <c r="P177" i="208"/>
  <c r="O177" i="208"/>
  <c r="P176" i="208"/>
  <c r="O176" i="208"/>
  <c r="P175" i="208"/>
  <c r="O175" i="208"/>
  <c r="P174" i="208"/>
  <c r="O174" i="208"/>
  <c r="P173" i="208"/>
  <c r="O173" i="208"/>
  <c r="P172" i="208"/>
  <c r="O172" i="208"/>
  <c r="P171" i="208"/>
  <c r="O171" i="208"/>
  <c r="P170" i="208"/>
  <c r="O170" i="208"/>
  <c r="P169" i="208"/>
  <c r="O169" i="208"/>
  <c r="P168" i="208"/>
  <c r="O168" i="208"/>
  <c r="P167" i="208"/>
  <c r="O167" i="208"/>
  <c r="P166" i="208"/>
  <c r="O166" i="208"/>
  <c r="P165" i="208"/>
  <c r="O165" i="208"/>
  <c r="P164" i="208"/>
  <c r="O164" i="208"/>
  <c r="P163" i="208"/>
  <c r="O163" i="208"/>
  <c r="P162" i="208"/>
  <c r="O162" i="208"/>
  <c r="P161" i="208"/>
  <c r="O161" i="208"/>
  <c r="P160" i="208"/>
  <c r="O160" i="208"/>
  <c r="P159" i="208"/>
  <c r="O159" i="208"/>
  <c r="P158" i="208"/>
  <c r="O158" i="208"/>
  <c r="P157" i="208"/>
  <c r="O157" i="208"/>
  <c r="P156" i="208"/>
  <c r="O156" i="208"/>
  <c r="P155" i="208"/>
  <c r="O155" i="208"/>
  <c r="P154" i="208"/>
  <c r="O154" i="208"/>
  <c r="P153" i="208"/>
  <c r="O153" i="208"/>
  <c r="P152" i="208"/>
  <c r="O152" i="208"/>
  <c r="P151" i="208"/>
  <c r="O151" i="208"/>
  <c r="P150" i="208"/>
  <c r="O150" i="208"/>
  <c r="P149" i="208"/>
  <c r="O149" i="208"/>
  <c r="P148" i="208"/>
  <c r="O148" i="208"/>
  <c r="P147" i="208"/>
  <c r="O147" i="208"/>
  <c r="P146" i="208"/>
  <c r="O146" i="208"/>
  <c r="P145" i="208"/>
  <c r="O145" i="208"/>
  <c r="P144" i="208"/>
  <c r="O144" i="208"/>
  <c r="P143" i="208"/>
  <c r="O143" i="208"/>
  <c r="P142" i="208"/>
  <c r="O142" i="208"/>
  <c r="P141" i="208"/>
  <c r="O141" i="208"/>
  <c r="P140" i="208"/>
  <c r="O140" i="208"/>
  <c r="P139" i="208"/>
  <c r="O139" i="208"/>
  <c r="P138" i="208"/>
  <c r="O138" i="208"/>
  <c r="P137" i="208"/>
  <c r="O137" i="208"/>
  <c r="P136" i="208"/>
  <c r="O136" i="208"/>
  <c r="P135" i="208"/>
  <c r="O135" i="208"/>
  <c r="P134" i="208"/>
  <c r="O134" i="208"/>
  <c r="P133" i="208"/>
  <c r="O133" i="208"/>
  <c r="P132" i="208"/>
  <c r="O132" i="208"/>
  <c r="P131" i="208"/>
  <c r="O131" i="208"/>
  <c r="P130" i="208"/>
  <c r="O130" i="208"/>
  <c r="P129" i="208"/>
  <c r="O129" i="208"/>
  <c r="P128" i="208"/>
  <c r="O128" i="208"/>
  <c r="P127" i="208"/>
  <c r="O127" i="208"/>
  <c r="P126" i="208"/>
  <c r="O126" i="208"/>
  <c r="P125" i="208"/>
  <c r="O125" i="208"/>
  <c r="P124" i="208"/>
  <c r="O124" i="208"/>
  <c r="P123" i="208"/>
  <c r="O123" i="208"/>
  <c r="P122" i="208"/>
  <c r="O122" i="208"/>
  <c r="P121" i="208"/>
  <c r="O121" i="208"/>
  <c r="P120" i="208"/>
  <c r="O120" i="208"/>
  <c r="P119" i="208"/>
  <c r="O119" i="208"/>
  <c r="P118" i="208"/>
  <c r="O118" i="208"/>
  <c r="P117" i="208"/>
  <c r="O117" i="208"/>
  <c r="P116" i="208"/>
  <c r="O116" i="208"/>
  <c r="P115" i="208"/>
  <c r="O115" i="208"/>
  <c r="P114" i="208"/>
  <c r="O114" i="208"/>
  <c r="P113" i="208"/>
  <c r="O113" i="208"/>
  <c r="P112" i="208"/>
  <c r="O112" i="208"/>
  <c r="P111" i="208"/>
  <c r="O111" i="208"/>
  <c r="P110" i="208"/>
  <c r="O110" i="208"/>
  <c r="P109" i="208"/>
  <c r="O109" i="208"/>
  <c r="P108" i="208"/>
  <c r="O108" i="208"/>
  <c r="P107" i="208"/>
  <c r="O107" i="208"/>
  <c r="P106" i="208"/>
  <c r="O106" i="208"/>
  <c r="P105" i="208"/>
  <c r="O105" i="208"/>
  <c r="P104" i="208"/>
  <c r="O104" i="208"/>
  <c r="P103" i="208"/>
  <c r="O103" i="208"/>
  <c r="P102" i="208"/>
  <c r="O102" i="208"/>
  <c r="P101" i="208"/>
  <c r="O101" i="208"/>
  <c r="P100" i="208"/>
  <c r="O100" i="208"/>
  <c r="P99" i="208"/>
  <c r="O99" i="208"/>
  <c r="P98" i="208"/>
  <c r="O98" i="208"/>
  <c r="P97" i="208"/>
  <c r="O97" i="208"/>
  <c r="P96" i="208"/>
  <c r="O96" i="208"/>
  <c r="P95" i="208"/>
  <c r="O95" i="208"/>
  <c r="P94" i="208"/>
  <c r="O94" i="208"/>
  <c r="P93" i="208"/>
  <c r="O93" i="208"/>
  <c r="P92" i="208"/>
  <c r="O92" i="208"/>
  <c r="P91" i="208"/>
  <c r="O91" i="208"/>
  <c r="P90" i="208"/>
  <c r="O90" i="208"/>
  <c r="P89" i="208"/>
  <c r="O89" i="208"/>
  <c r="P88" i="208"/>
  <c r="O88" i="208"/>
  <c r="P87" i="208"/>
  <c r="O87" i="208"/>
  <c r="P86" i="208"/>
  <c r="O86" i="208"/>
  <c r="P85" i="208"/>
  <c r="O85" i="208"/>
  <c r="P84" i="208"/>
  <c r="O84" i="208"/>
  <c r="P83" i="208"/>
  <c r="O83" i="208"/>
  <c r="P82" i="208"/>
  <c r="O82" i="208"/>
  <c r="P81" i="208"/>
  <c r="O81" i="208"/>
  <c r="P80" i="208"/>
  <c r="O80" i="208"/>
  <c r="P79" i="208"/>
  <c r="O79" i="208"/>
  <c r="P78" i="208"/>
  <c r="O78" i="208"/>
  <c r="P77" i="208"/>
  <c r="O77" i="208"/>
  <c r="P76" i="208"/>
  <c r="O76" i="208"/>
  <c r="P75" i="208"/>
  <c r="O75" i="208"/>
  <c r="P74" i="208"/>
  <c r="O74" i="208"/>
  <c r="P73" i="208"/>
  <c r="O73" i="208"/>
  <c r="P72" i="208"/>
  <c r="O72" i="208"/>
  <c r="P71" i="208"/>
  <c r="O71" i="208"/>
  <c r="P70" i="208"/>
  <c r="O70" i="208"/>
  <c r="P69" i="208"/>
  <c r="O69" i="208"/>
  <c r="P68" i="208"/>
  <c r="O68" i="208"/>
  <c r="P67" i="208"/>
  <c r="O67" i="208"/>
  <c r="P66" i="208"/>
  <c r="O66" i="208"/>
  <c r="P65" i="208"/>
  <c r="O65" i="208"/>
  <c r="P64" i="208"/>
  <c r="O64" i="208"/>
  <c r="P63" i="208"/>
  <c r="O63" i="208"/>
  <c r="P62" i="208"/>
  <c r="O62" i="208"/>
  <c r="P61" i="208"/>
  <c r="O61" i="208"/>
  <c r="P60" i="208"/>
  <c r="O60" i="208"/>
  <c r="P59" i="208"/>
  <c r="O59" i="208"/>
  <c r="P58" i="208"/>
  <c r="O58" i="208"/>
  <c r="P57" i="208"/>
  <c r="O57" i="208"/>
  <c r="P56" i="208"/>
  <c r="O56" i="208"/>
  <c r="P55" i="208"/>
  <c r="O55" i="208"/>
  <c r="P54" i="208"/>
  <c r="O54" i="208"/>
  <c r="P53" i="208"/>
  <c r="O53" i="208"/>
  <c r="P52" i="208"/>
  <c r="O52" i="208"/>
  <c r="P51" i="208"/>
  <c r="O51" i="208"/>
  <c r="P50" i="208"/>
  <c r="O50" i="208"/>
  <c r="P49" i="208"/>
  <c r="O49" i="208"/>
  <c r="P48" i="208"/>
  <c r="O48" i="208"/>
  <c r="P47" i="208"/>
  <c r="O47" i="208"/>
  <c r="P46" i="208"/>
  <c r="O46" i="208"/>
  <c r="P45" i="208"/>
  <c r="O45" i="208"/>
  <c r="P44" i="208"/>
  <c r="O44" i="208"/>
  <c r="P43" i="208"/>
  <c r="O43" i="208"/>
  <c r="P42" i="208"/>
  <c r="O42" i="208"/>
  <c r="P41" i="208"/>
  <c r="O41" i="208"/>
  <c r="P40" i="208"/>
  <c r="O40" i="208"/>
  <c r="P39" i="208"/>
  <c r="O39" i="208"/>
  <c r="P38" i="208"/>
  <c r="O38" i="208"/>
  <c r="P37" i="208"/>
  <c r="O37" i="208"/>
  <c r="P36" i="208"/>
  <c r="O36" i="208"/>
  <c r="P35" i="208"/>
  <c r="O35" i="208"/>
  <c r="P34" i="208"/>
  <c r="O34" i="208"/>
  <c r="P33" i="208"/>
  <c r="O33" i="208"/>
  <c r="P32" i="208"/>
  <c r="O32" i="208"/>
  <c r="P31" i="208"/>
  <c r="O31" i="208"/>
  <c r="P30" i="208"/>
  <c r="O30" i="208"/>
  <c r="P29" i="208"/>
  <c r="O29" i="208"/>
  <c r="P28" i="208"/>
  <c r="O28" i="208"/>
  <c r="P27" i="208"/>
  <c r="O27" i="208"/>
  <c r="P26" i="208"/>
  <c r="O26" i="208"/>
  <c r="P25" i="208"/>
  <c r="O25" i="208"/>
  <c r="P24" i="208"/>
  <c r="O24" i="208"/>
  <c r="P23" i="208"/>
  <c r="O23" i="208"/>
  <c r="P22" i="208"/>
  <c r="O22" i="208"/>
  <c r="P21" i="208"/>
  <c r="O21" i="208"/>
  <c r="P20" i="208"/>
  <c r="O20" i="208"/>
  <c r="P19" i="208"/>
  <c r="O19" i="208"/>
  <c r="P18" i="208"/>
  <c r="O18" i="208"/>
  <c r="P17" i="208"/>
  <c r="O17" i="208"/>
  <c r="P16" i="208"/>
  <c r="O16" i="208"/>
  <c r="P15" i="208"/>
  <c r="O15" i="208"/>
  <c r="P14" i="208"/>
  <c r="O14" i="208"/>
  <c r="P13" i="208"/>
  <c r="O13" i="208"/>
  <c r="P12" i="208"/>
  <c r="O12" i="208"/>
  <c r="P11" i="208"/>
  <c r="O11" i="208"/>
  <c r="P10" i="208"/>
  <c r="O10" i="208"/>
  <c r="P9" i="208"/>
  <c r="O9" i="208"/>
  <c r="P8" i="208"/>
  <c r="O8" i="208"/>
  <c r="P7" i="208"/>
  <c r="O7" i="208"/>
  <c r="P6" i="208"/>
  <c r="O6" i="208"/>
  <c r="P204" i="209"/>
  <c r="O204" i="209"/>
  <c r="P203" i="209"/>
  <c r="O203" i="209"/>
  <c r="P202" i="209"/>
  <c r="O202" i="209"/>
  <c r="P201" i="209"/>
  <c r="O201" i="209"/>
  <c r="P200" i="209"/>
  <c r="O200" i="209"/>
  <c r="P199" i="209"/>
  <c r="O199" i="209"/>
  <c r="P198" i="209"/>
  <c r="O198" i="209"/>
  <c r="P197" i="209"/>
  <c r="O197" i="209"/>
  <c r="P196" i="209"/>
  <c r="O196" i="209"/>
  <c r="P195" i="209"/>
  <c r="O195" i="209"/>
  <c r="P194" i="209"/>
  <c r="O194" i="209"/>
  <c r="P193" i="209"/>
  <c r="O193" i="209"/>
  <c r="P192" i="209"/>
  <c r="O192" i="209"/>
  <c r="P191" i="209"/>
  <c r="O191" i="209"/>
  <c r="P190" i="209"/>
  <c r="O190" i="209"/>
  <c r="P189" i="209"/>
  <c r="O189" i="209"/>
  <c r="P188" i="209"/>
  <c r="O188" i="209"/>
  <c r="P187" i="209"/>
  <c r="O187" i="209"/>
  <c r="P186" i="209"/>
  <c r="O186" i="209"/>
  <c r="P185" i="209"/>
  <c r="O185" i="209"/>
  <c r="P184" i="209"/>
  <c r="O184" i="209"/>
  <c r="P183" i="209"/>
  <c r="O183" i="209"/>
  <c r="P182" i="209"/>
  <c r="O182" i="209"/>
  <c r="P181" i="209"/>
  <c r="O181" i="209"/>
  <c r="P180" i="209"/>
  <c r="O180" i="209"/>
  <c r="P179" i="209"/>
  <c r="O179" i="209"/>
  <c r="P178" i="209"/>
  <c r="O178" i="209"/>
  <c r="P177" i="209"/>
  <c r="O177" i="209"/>
  <c r="P176" i="209"/>
  <c r="O176" i="209"/>
  <c r="P175" i="209"/>
  <c r="O175" i="209"/>
  <c r="P174" i="209"/>
  <c r="O174" i="209"/>
  <c r="P173" i="209"/>
  <c r="O173" i="209"/>
  <c r="P172" i="209"/>
  <c r="O172" i="209"/>
  <c r="P171" i="209"/>
  <c r="O171" i="209"/>
  <c r="P170" i="209"/>
  <c r="O170" i="209"/>
  <c r="P169" i="209"/>
  <c r="O169" i="209"/>
  <c r="P168" i="209"/>
  <c r="O168" i="209"/>
  <c r="P167" i="209"/>
  <c r="O167" i="209"/>
  <c r="P166" i="209"/>
  <c r="O166" i="209"/>
  <c r="P165" i="209"/>
  <c r="O165" i="209"/>
  <c r="P164" i="209"/>
  <c r="O164" i="209"/>
  <c r="P163" i="209"/>
  <c r="O163" i="209"/>
  <c r="P162" i="209"/>
  <c r="O162" i="209"/>
  <c r="P161" i="209"/>
  <c r="O161" i="209"/>
  <c r="P160" i="209"/>
  <c r="O160" i="209"/>
  <c r="P159" i="209"/>
  <c r="O159" i="209"/>
  <c r="P158" i="209"/>
  <c r="O158" i="209"/>
  <c r="P157" i="209"/>
  <c r="O157" i="209"/>
  <c r="P156" i="209"/>
  <c r="O156" i="209"/>
  <c r="P155" i="209"/>
  <c r="O155" i="209"/>
  <c r="P154" i="209"/>
  <c r="O154" i="209"/>
  <c r="P153" i="209"/>
  <c r="O153" i="209"/>
  <c r="P152" i="209"/>
  <c r="O152" i="209"/>
  <c r="P151" i="209"/>
  <c r="O151" i="209"/>
  <c r="P150" i="209"/>
  <c r="O150" i="209"/>
  <c r="P149" i="209"/>
  <c r="O149" i="209"/>
  <c r="P148" i="209"/>
  <c r="O148" i="209"/>
  <c r="P147" i="209"/>
  <c r="O147" i="209"/>
  <c r="P146" i="209"/>
  <c r="O146" i="209"/>
  <c r="P145" i="209"/>
  <c r="O145" i="209"/>
  <c r="P144" i="209"/>
  <c r="O144" i="209"/>
  <c r="P143" i="209"/>
  <c r="O143" i="209"/>
  <c r="P142" i="209"/>
  <c r="O142" i="209"/>
  <c r="P141" i="209"/>
  <c r="O141" i="209"/>
  <c r="P140" i="209"/>
  <c r="O140" i="209"/>
  <c r="P139" i="209"/>
  <c r="O139" i="209"/>
  <c r="P138" i="209"/>
  <c r="O138" i="209"/>
  <c r="P137" i="209"/>
  <c r="O137" i="209"/>
  <c r="P136" i="209"/>
  <c r="O136" i="209"/>
  <c r="P135" i="209"/>
  <c r="O135" i="209"/>
  <c r="P134" i="209"/>
  <c r="O134" i="209"/>
  <c r="P133" i="209"/>
  <c r="O133" i="209"/>
  <c r="P132" i="209"/>
  <c r="O132" i="209"/>
  <c r="P131" i="209"/>
  <c r="O131" i="209"/>
  <c r="P130" i="209"/>
  <c r="O130" i="209"/>
  <c r="P129" i="209"/>
  <c r="O129" i="209"/>
  <c r="P128" i="209"/>
  <c r="O128" i="209"/>
  <c r="P127" i="209"/>
  <c r="O127" i="209"/>
  <c r="P126" i="209"/>
  <c r="O126" i="209"/>
  <c r="P125" i="209"/>
  <c r="O125" i="209"/>
  <c r="P124" i="209"/>
  <c r="O124" i="209"/>
  <c r="P123" i="209"/>
  <c r="O123" i="209"/>
  <c r="P122" i="209"/>
  <c r="O122" i="209"/>
  <c r="P121" i="209"/>
  <c r="O121" i="209"/>
  <c r="P120" i="209"/>
  <c r="O120" i="209"/>
  <c r="P119" i="209"/>
  <c r="O119" i="209"/>
  <c r="P118" i="209"/>
  <c r="O118" i="209"/>
  <c r="P117" i="209"/>
  <c r="O117" i="209"/>
  <c r="P116" i="209"/>
  <c r="O116" i="209"/>
  <c r="P115" i="209"/>
  <c r="O115" i="209"/>
  <c r="P114" i="209"/>
  <c r="O114" i="209"/>
  <c r="P113" i="209"/>
  <c r="O113" i="209"/>
  <c r="P112" i="209"/>
  <c r="O112" i="209"/>
  <c r="P111" i="209"/>
  <c r="O111" i="209"/>
  <c r="P110" i="209"/>
  <c r="O110" i="209"/>
  <c r="P109" i="209"/>
  <c r="O109" i="209"/>
  <c r="P108" i="209"/>
  <c r="O108" i="209"/>
  <c r="P107" i="209"/>
  <c r="O107" i="209"/>
  <c r="P106" i="209"/>
  <c r="O106" i="209"/>
  <c r="P105" i="209"/>
  <c r="O105" i="209"/>
  <c r="P104" i="209"/>
  <c r="O104" i="209"/>
  <c r="P103" i="209"/>
  <c r="O103" i="209"/>
  <c r="P102" i="209"/>
  <c r="O102" i="209"/>
  <c r="P101" i="209"/>
  <c r="O101" i="209"/>
  <c r="P100" i="209"/>
  <c r="O100" i="209"/>
  <c r="P99" i="209"/>
  <c r="O99" i="209"/>
  <c r="P98" i="209"/>
  <c r="O98" i="209"/>
  <c r="P97" i="209"/>
  <c r="O97" i="209"/>
  <c r="P96" i="209"/>
  <c r="O96" i="209"/>
  <c r="P95" i="209"/>
  <c r="O95" i="209"/>
  <c r="P94" i="209"/>
  <c r="O94" i="209"/>
  <c r="P93" i="209"/>
  <c r="O93" i="209"/>
  <c r="P92" i="209"/>
  <c r="O92" i="209"/>
  <c r="P91" i="209"/>
  <c r="O91" i="209"/>
  <c r="P90" i="209"/>
  <c r="O90" i="209"/>
  <c r="P89" i="209"/>
  <c r="O89" i="209"/>
  <c r="P88" i="209"/>
  <c r="O88" i="209"/>
  <c r="P87" i="209"/>
  <c r="O87" i="209"/>
  <c r="P86" i="209"/>
  <c r="O86" i="209"/>
  <c r="P85" i="209"/>
  <c r="O85" i="209"/>
  <c r="P84" i="209"/>
  <c r="O84" i="209"/>
  <c r="P83" i="209"/>
  <c r="O83" i="209"/>
  <c r="P82" i="209"/>
  <c r="O82" i="209"/>
  <c r="P81" i="209"/>
  <c r="O81" i="209"/>
  <c r="P80" i="209"/>
  <c r="O80" i="209"/>
  <c r="P79" i="209"/>
  <c r="O79" i="209"/>
  <c r="P78" i="209"/>
  <c r="O78" i="209"/>
  <c r="P77" i="209"/>
  <c r="O77" i="209"/>
  <c r="P76" i="209"/>
  <c r="O76" i="209"/>
  <c r="P75" i="209"/>
  <c r="O75" i="209"/>
  <c r="P74" i="209"/>
  <c r="O74" i="209"/>
  <c r="P73" i="209"/>
  <c r="O73" i="209"/>
  <c r="P72" i="209"/>
  <c r="O72" i="209"/>
  <c r="P71" i="209"/>
  <c r="O71" i="209"/>
  <c r="P70" i="209"/>
  <c r="O70" i="209"/>
  <c r="P69" i="209"/>
  <c r="O69" i="209"/>
  <c r="P68" i="209"/>
  <c r="O68" i="209"/>
  <c r="P67" i="209"/>
  <c r="O67" i="209"/>
  <c r="P66" i="209"/>
  <c r="O66" i="209"/>
  <c r="P65" i="209"/>
  <c r="O65" i="209"/>
  <c r="P64" i="209"/>
  <c r="O64" i="209"/>
  <c r="P63" i="209"/>
  <c r="O63" i="209"/>
  <c r="P62" i="209"/>
  <c r="O62" i="209"/>
  <c r="P61" i="209"/>
  <c r="O61" i="209"/>
  <c r="P60" i="209"/>
  <c r="O60" i="209"/>
  <c r="P59" i="209"/>
  <c r="O59" i="209"/>
  <c r="P58" i="209"/>
  <c r="O58" i="209"/>
  <c r="P57" i="209"/>
  <c r="O57" i="209"/>
  <c r="P56" i="209"/>
  <c r="O56" i="209"/>
  <c r="P55" i="209"/>
  <c r="O55" i="209"/>
  <c r="P54" i="209"/>
  <c r="O54" i="209"/>
  <c r="P53" i="209"/>
  <c r="O53" i="209"/>
  <c r="P52" i="209"/>
  <c r="O52" i="209"/>
  <c r="P51" i="209"/>
  <c r="O51" i="209"/>
  <c r="P50" i="209"/>
  <c r="O50" i="209"/>
  <c r="P49" i="209"/>
  <c r="O49" i="209"/>
  <c r="P48" i="209"/>
  <c r="O48" i="209"/>
  <c r="P47" i="209"/>
  <c r="O47" i="209"/>
  <c r="P46" i="209"/>
  <c r="O46" i="209"/>
  <c r="P45" i="209"/>
  <c r="O45" i="209"/>
  <c r="P44" i="209"/>
  <c r="O44" i="209"/>
  <c r="P43" i="209"/>
  <c r="O43" i="209"/>
  <c r="P42" i="209"/>
  <c r="O42" i="209"/>
  <c r="P41" i="209"/>
  <c r="O41" i="209"/>
  <c r="P40" i="209"/>
  <c r="O40" i="209"/>
  <c r="P39" i="209"/>
  <c r="O39" i="209"/>
  <c r="P38" i="209"/>
  <c r="O38" i="209"/>
  <c r="P37" i="209"/>
  <c r="O37" i="209"/>
  <c r="P36" i="209"/>
  <c r="O36" i="209"/>
  <c r="P35" i="209"/>
  <c r="O35" i="209"/>
  <c r="P34" i="209"/>
  <c r="O34" i="209"/>
  <c r="P33" i="209"/>
  <c r="O33" i="209"/>
  <c r="P32" i="209"/>
  <c r="O32" i="209"/>
  <c r="P31" i="209"/>
  <c r="O31" i="209"/>
  <c r="P30" i="209"/>
  <c r="O30" i="209"/>
  <c r="P29" i="209"/>
  <c r="O29" i="209"/>
  <c r="P28" i="209"/>
  <c r="O28" i="209"/>
  <c r="P27" i="209"/>
  <c r="O27" i="209"/>
  <c r="P26" i="209"/>
  <c r="O26" i="209"/>
  <c r="P25" i="209"/>
  <c r="O25" i="209"/>
  <c r="P24" i="209"/>
  <c r="O24" i="209"/>
  <c r="P23" i="209"/>
  <c r="O23" i="209"/>
  <c r="P22" i="209"/>
  <c r="O22" i="209"/>
  <c r="P21" i="209"/>
  <c r="O21" i="209"/>
  <c r="P20" i="209"/>
  <c r="O20" i="209"/>
  <c r="P19" i="209"/>
  <c r="O19" i="209"/>
  <c r="P18" i="209"/>
  <c r="O18" i="209"/>
  <c r="P17" i="209"/>
  <c r="O17" i="209"/>
  <c r="P16" i="209"/>
  <c r="O16" i="209"/>
  <c r="P15" i="209"/>
  <c r="O15" i="209"/>
  <c r="P14" i="209"/>
  <c r="O14" i="209"/>
  <c r="P13" i="209"/>
  <c r="O13" i="209"/>
  <c r="P12" i="209"/>
  <c r="O12" i="209"/>
  <c r="P11" i="209"/>
  <c r="O11" i="209"/>
  <c r="P10" i="209"/>
  <c r="O10" i="209"/>
  <c r="P9" i="209"/>
  <c r="O9" i="209"/>
  <c r="P8" i="209"/>
  <c r="O8" i="209"/>
  <c r="P7" i="209"/>
  <c r="O7" i="209"/>
  <c r="P6" i="209"/>
  <c r="O6" i="209"/>
  <c r="P175" i="203"/>
  <c r="O175" i="203"/>
  <c r="P173" i="203"/>
  <c r="O173" i="203"/>
  <c r="P172" i="203"/>
  <c r="O172" i="203"/>
  <c r="P171" i="203"/>
  <c r="O171" i="203"/>
  <c r="P170" i="203"/>
  <c r="O170" i="203"/>
  <c r="P169" i="203"/>
  <c r="O169" i="203"/>
  <c r="P168" i="203"/>
  <c r="O168" i="203"/>
  <c r="P167" i="203"/>
  <c r="O167" i="203"/>
  <c r="P166" i="203"/>
  <c r="O166" i="203"/>
  <c r="P165" i="203"/>
  <c r="O165" i="203"/>
  <c r="P164" i="203"/>
  <c r="O164" i="203"/>
  <c r="P163" i="203"/>
  <c r="O163" i="203"/>
  <c r="P162" i="203"/>
  <c r="O162" i="203"/>
  <c r="P161" i="203"/>
  <c r="O161" i="203"/>
  <c r="P160" i="203"/>
  <c r="O160" i="203"/>
  <c r="P159" i="203"/>
  <c r="O159" i="203"/>
  <c r="P158" i="203"/>
  <c r="O158" i="203"/>
  <c r="P157" i="203"/>
  <c r="O157" i="203"/>
  <c r="P156" i="203"/>
  <c r="O156" i="203"/>
  <c r="P155" i="203"/>
  <c r="O155" i="203"/>
  <c r="P154" i="203"/>
  <c r="O154" i="203"/>
  <c r="P153" i="203"/>
  <c r="O153" i="203"/>
  <c r="P152" i="203"/>
  <c r="O152" i="203"/>
  <c r="P151" i="203"/>
  <c r="O151" i="203"/>
  <c r="P150" i="203"/>
  <c r="O150" i="203"/>
  <c r="P149" i="203"/>
  <c r="O149" i="203"/>
  <c r="P148" i="203"/>
  <c r="O148" i="203"/>
  <c r="P147" i="203"/>
  <c r="O147" i="203"/>
  <c r="P146" i="203"/>
  <c r="O146" i="203"/>
  <c r="P145" i="203"/>
  <c r="O145" i="203"/>
  <c r="P144" i="203"/>
  <c r="O144" i="203"/>
  <c r="P143" i="203"/>
  <c r="O143" i="203"/>
  <c r="P142" i="203"/>
  <c r="O142" i="203"/>
  <c r="P141" i="203"/>
  <c r="O141" i="203"/>
  <c r="P140" i="203"/>
  <c r="O140" i="203"/>
  <c r="P139" i="203"/>
  <c r="O139" i="203"/>
  <c r="P138" i="203"/>
  <c r="O138" i="203"/>
  <c r="P6" i="203"/>
  <c r="O6" i="203"/>
  <c r="P5" i="204"/>
  <c r="O5" i="204"/>
  <c r="P5" i="206"/>
  <c r="O5" i="206"/>
  <c r="P5" i="207"/>
  <c r="O5" i="207"/>
  <c r="P5" i="208"/>
  <c r="O5" i="208"/>
  <c r="P5" i="209"/>
  <c r="O5" i="209"/>
  <c r="P5" i="203"/>
  <c r="O5" i="203"/>
  <c r="Q174" i="203" l="1"/>
  <c r="I41" i="229" l="1"/>
  <c r="I40" i="229"/>
  <c r="I39" i="229"/>
  <c r="I38" i="229"/>
  <c r="I37" i="229"/>
  <c r="I36" i="229"/>
  <c r="I35" i="229"/>
  <c r="I34" i="229"/>
  <c r="I33" i="229"/>
  <c r="I32" i="229"/>
  <c r="I31" i="229"/>
  <c r="I30" i="229"/>
  <c r="I29" i="229"/>
  <c r="I28" i="229"/>
  <c r="I27" i="229"/>
  <c r="I26" i="229"/>
  <c r="I25" i="229"/>
  <c r="I24" i="229"/>
  <c r="I23" i="229"/>
  <c r="I22" i="229"/>
  <c r="I21" i="229"/>
  <c r="I20" i="229"/>
  <c r="I19" i="229"/>
  <c r="I18" i="229"/>
  <c r="I17" i="229"/>
  <c r="I16" i="229"/>
  <c r="I15" i="229"/>
  <c r="I14" i="229"/>
  <c r="I13" i="229"/>
  <c r="I12" i="229"/>
  <c r="I11" i="229"/>
  <c r="I10" i="229"/>
  <c r="I9" i="229"/>
  <c r="I8" i="229"/>
  <c r="I7" i="229"/>
  <c r="I6" i="229"/>
  <c r="I5" i="229"/>
  <c r="N204" i="209"/>
  <c r="I204" i="209"/>
  <c r="Q204" i="209" s="1"/>
  <c r="N203" i="209"/>
  <c r="I203" i="209"/>
  <c r="Q203" i="209" s="1"/>
  <c r="N202" i="209"/>
  <c r="I202" i="209"/>
  <c r="Q202" i="209" s="1"/>
  <c r="N201" i="209"/>
  <c r="I201" i="209"/>
  <c r="N200" i="209"/>
  <c r="I200" i="209"/>
  <c r="Q200" i="209" s="1"/>
  <c r="N199" i="209"/>
  <c r="I199" i="209"/>
  <c r="N198" i="209"/>
  <c r="I198" i="209"/>
  <c r="Q198" i="209" s="1"/>
  <c r="N197" i="209"/>
  <c r="I197" i="209"/>
  <c r="Q197" i="209" s="1"/>
  <c r="N196" i="209"/>
  <c r="I196" i="209"/>
  <c r="Q196" i="209" s="1"/>
  <c r="N195" i="209"/>
  <c r="I195" i="209"/>
  <c r="N194" i="209"/>
  <c r="I194" i="209"/>
  <c r="Q194" i="209" s="1"/>
  <c r="N193" i="209"/>
  <c r="I193" i="209"/>
  <c r="N192" i="209"/>
  <c r="I192" i="209"/>
  <c r="Q192" i="209" s="1"/>
  <c r="N191" i="209"/>
  <c r="I191" i="209"/>
  <c r="Q191" i="209" s="1"/>
  <c r="N190" i="209"/>
  <c r="I190" i="209"/>
  <c r="Q190" i="209" s="1"/>
  <c r="N189" i="209"/>
  <c r="I189" i="209"/>
  <c r="N188" i="209"/>
  <c r="I188" i="209"/>
  <c r="Q188" i="209" s="1"/>
  <c r="N187" i="209"/>
  <c r="I187" i="209"/>
  <c r="N186" i="209"/>
  <c r="I186" i="209"/>
  <c r="Q186" i="209" s="1"/>
  <c r="N185" i="209"/>
  <c r="I185" i="209"/>
  <c r="Q185" i="209" s="1"/>
  <c r="N184" i="209"/>
  <c r="I184" i="209"/>
  <c r="Q184" i="209" s="1"/>
  <c r="N183" i="209"/>
  <c r="I183" i="209"/>
  <c r="N182" i="209"/>
  <c r="I182" i="209"/>
  <c r="Q182" i="209" s="1"/>
  <c r="N181" i="209"/>
  <c r="I181" i="209"/>
  <c r="N180" i="209"/>
  <c r="I180" i="209"/>
  <c r="Q180" i="209" s="1"/>
  <c r="N179" i="209"/>
  <c r="I179" i="209"/>
  <c r="Q179" i="209" s="1"/>
  <c r="N178" i="209"/>
  <c r="I178" i="209"/>
  <c r="Q178" i="209" s="1"/>
  <c r="N177" i="209"/>
  <c r="I177" i="209"/>
  <c r="N176" i="209"/>
  <c r="I176" i="209"/>
  <c r="Q176" i="209" s="1"/>
  <c r="N175" i="209"/>
  <c r="I175" i="209"/>
  <c r="N174" i="209"/>
  <c r="I174" i="209"/>
  <c r="Q174" i="209" s="1"/>
  <c r="N173" i="209"/>
  <c r="I173" i="209"/>
  <c r="Q173" i="209" s="1"/>
  <c r="N172" i="209"/>
  <c r="I172" i="209"/>
  <c r="Q172" i="209" s="1"/>
  <c r="N171" i="209"/>
  <c r="I171" i="209"/>
  <c r="N170" i="209"/>
  <c r="I170" i="209"/>
  <c r="Q170" i="209" s="1"/>
  <c r="N169" i="209"/>
  <c r="I169" i="209"/>
  <c r="N168" i="209"/>
  <c r="I168" i="209"/>
  <c r="Q168" i="209" s="1"/>
  <c r="N167" i="209"/>
  <c r="I167" i="209"/>
  <c r="Q167" i="209" s="1"/>
  <c r="N166" i="209"/>
  <c r="I166" i="209"/>
  <c r="Q166" i="209" s="1"/>
  <c r="N165" i="209"/>
  <c r="I165" i="209"/>
  <c r="N164" i="209"/>
  <c r="I164" i="209"/>
  <c r="Q164" i="209" s="1"/>
  <c r="N163" i="209"/>
  <c r="I163" i="209"/>
  <c r="N162" i="209"/>
  <c r="I162" i="209"/>
  <c r="Q162" i="209" s="1"/>
  <c r="N161" i="209"/>
  <c r="I161" i="209"/>
  <c r="Q161" i="209" s="1"/>
  <c r="N160" i="209"/>
  <c r="I160" i="209"/>
  <c r="Q160" i="209" s="1"/>
  <c r="N159" i="209"/>
  <c r="I159" i="209"/>
  <c r="N158" i="209"/>
  <c r="I158" i="209"/>
  <c r="Q158" i="209" s="1"/>
  <c r="N157" i="209"/>
  <c r="I157" i="209"/>
  <c r="N156" i="209"/>
  <c r="I156" i="209"/>
  <c r="Q156" i="209" s="1"/>
  <c r="N155" i="209"/>
  <c r="I155" i="209"/>
  <c r="Q155" i="209" s="1"/>
  <c r="N154" i="209"/>
  <c r="I154" i="209"/>
  <c r="Q154" i="209" s="1"/>
  <c r="N153" i="209"/>
  <c r="I153" i="209"/>
  <c r="N152" i="209"/>
  <c r="I152" i="209"/>
  <c r="Q152" i="209" s="1"/>
  <c r="N151" i="209"/>
  <c r="I151" i="209"/>
  <c r="N150" i="209"/>
  <c r="I150" i="209"/>
  <c r="Q150" i="209" s="1"/>
  <c r="N149" i="209"/>
  <c r="I149" i="209"/>
  <c r="Q149" i="209" s="1"/>
  <c r="N148" i="209"/>
  <c r="I148" i="209"/>
  <c r="Q148" i="209" s="1"/>
  <c r="N147" i="209"/>
  <c r="I147" i="209"/>
  <c r="N146" i="209"/>
  <c r="I146" i="209"/>
  <c r="Q146" i="209" s="1"/>
  <c r="N145" i="209"/>
  <c r="I145" i="209"/>
  <c r="N144" i="209"/>
  <c r="I144" i="209"/>
  <c r="Q144" i="209" s="1"/>
  <c r="N143" i="209"/>
  <c r="I143" i="209"/>
  <c r="Q143" i="209" s="1"/>
  <c r="N142" i="209"/>
  <c r="I142" i="209"/>
  <c r="Q142" i="209" s="1"/>
  <c r="N141" i="209"/>
  <c r="I141" i="209"/>
  <c r="N140" i="209"/>
  <c r="I140" i="209"/>
  <c r="Q140" i="209" s="1"/>
  <c r="N139" i="209"/>
  <c r="I139" i="209"/>
  <c r="N138" i="209"/>
  <c r="I138" i="209"/>
  <c r="Q138" i="209" s="1"/>
  <c r="N137" i="209"/>
  <c r="I137" i="209"/>
  <c r="Q137" i="209" s="1"/>
  <c r="N136" i="209"/>
  <c r="I136" i="209"/>
  <c r="Q136" i="209" s="1"/>
  <c r="N135" i="209"/>
  <c r="I135" i="209"/>
  <c r="N134" i="209"/>
  <c r="I134" i="209"/>
  <c r="Q134" i="209" s="1"/>
  <c r="N133" i="209"/>
  <c r="I133" i="209"/>
  <c r="N132" i="209"/>
  <c r="I132" i="209"/>
  <c r="Q132" i="209" s="1"/>
  <c r="N131" i="209"/>
  <c r="I131" i="209"/>
  <c r="Q131" i="209" s="1"/>
  <c r="N130" i="209"/>
  <c r="I130" i="209"/>
  <c r="Q130" i="209" s="1"/>
  <c r="N129" i="209"/>
  <c r="I129" i="209"/>
  <c r="N128" i="209"/>
  <c r="I128" i="209"/>
  <c r="Q128" i="209" s="1"/>
  <c r="N127" i="209"/>
  <c r="I127" i="209"/>
  <c r="N126" i="209"/>
  <c r="I126" i="209"/>
  <c r="Q126" i="209" s="1"/>
  <c r="N125" i="209"/>
  <c r="I125" i="209"/>
  <c r="Q125" i="209" s="1"/>
  <c r="N124" i="209"/>
  <c r="I124" i="209"/>
  <c r="Q124" i="209" s="1"/>
  <c r="N123" i="209"/>
  <c r="I123" i="209"/>
  <c r="N122" i="209"/>
  <c r="I122" i="209"/>
  <c r="Q122" i="209" s="1"/>
  <c r="N121" i="209"/>
  <c r="I121" i="209"/>
  <c r="N120" i="209"/>
  <c r="I120" i="209"/>
  <c r="Q120" i="209" s="1"/>
  <c r="N119" i="209"/>
  <c r="I119" i="209"/>
  <c r="Q119" i="209" s="1"/>
  <c r="N118" i="209"/>
  <c r="I118" i="209"/>
  <c r="Q118" i="209" s="1"/>
  <c r="N117" i="209"/>
  <c r="I117" i="209"/>
  <c r="N116" i="209"/>
  <c r="I116" i="209"/>
  <c r="Q116" i="209" s="1"/>
  <c r="N115" i="209"/>
  <c r="I115" i="209"/>
  <c r="N114" i="209"/>
  <c r="I114" i="209"/>
  <c r="Q114" i="209" s="1"/>
  <c r="N113" i="209"/>
  <c r="I113" i="209"/>
  <c r="Q113" i="209" s="1"/>
  <c r="N112" i="209"/>
  <c r="I112" i="209"/>
  <c r="Q112" i="209" s="1"/>
  <c r="N111" i="209"/>
  <c r="I111" i="209"/>
  <c r="N110" i="209"/>
  <c r="I110" i="209"/>
  <c r="Q110" i="209" s="1"/>
  <c r="N109" i="209"/>
  <c r="I109" i="209"/>
  <c r="N108" i="209"/>
  <c r="I108" i="209"/>
  <c r="Q108" i="209" s="1"/>
  <c r="N107" i="209"/>
  <c r="I107" i="209"/>
  <c r="Q107" i="209" s="1"/>
  <c r="N106" i="209"/>
  <c r="I106" i="209"/>
  <c r="Q106" i="209" s="1"/>
  <c r="N105" i="209"/>
  <c r="I105" i="209"/>
  <c r="N104" i="209"/>
  <c r="I104" i="209"/>
  <c r="Q104" i="209" s="1"/>
  <c r="N103" i="209"/>
  <c r="I103" i="209"/>
  <c r="N102" i="209"/>
  <c r="I102" i="209"/>
  <c r="Q102" i="209" s="1"/>
  <c r="N101" i="209"/>
  <c r="I101" i="209"/>
  <c r="Q101" i="209" s="1"/>
  <c r="N100" i="209"/>
  <c r="I100" i="209"/>
  <c r="Q100" i="209" s="1"/>
  <c r="N99" i="209"/>
  <c r="I99" i="209"/>
  <c r="N98" i="209"/>
  <c r="I98" i="209"/>
  <c r="Q98" i="209" s="1"/>
  <c r="N97" i="209"/>
  <c r="I97" i="209"/>
  <c r="N96" i="209"/>
  <c r="I96" i="209"/>
  <c r="Q96" i="209" s="1"/>
  <c r="N95" i="209"/>
  <c r="I95" i="209"/>
  <c r="Q95" i="209" s="1"/>
  <c r="N94" i="209"/>
  <c r="I94" i="209"/>
  <c r="Q94" i="209" s="1"/>
  <c r="N93" i="209"/>
  <c r="I93" i="209"/>
  <c r="N92" i="209"/>
  <c r="I92" i="209"/>
  <c r="Q92" i="209" s="1"/>
  <c r="N91" i="209"/>
  <c r="I91" i="209"/>
  <c r="N90" i="209"/>
  <c r="I90" i="209"/>
  <c r="Q90" i="209" s="1"/>
  <c r="N89" i="209"/>
  <c r="I89" i="209"/>
  <c r="Q89" i="209" s="1"/>
  <c r="N88" i="209"/>
  <c r="I88" i="209"/>
  <c r="Q88" i="209" s="1"/>
  <c r="N87" i="209"/>
  <c r="I87" i="209"/>
  <c r="N86" i="209"/>
  <c r="I86" i="209"/>
  <c r="Q86" i="209" s="1"/>
  <c r="N85" i="209"/>
  <c r="I85" i="209"/>
  <c r="N84" i="209"/>
  <c r="I84" i="209"/>
  <c r="Q84" i="209" s="1"/>
  <c r="N83" i="209"/>
  <c r="I83" i="209"/>
  <c r="Q83" i="209" s="1"/>
  <c r="N82" i="209"/>
  <c r="I82" i="209"/>
  <c r="Q82" i="209" s="1"/>
  <c r="N81" i="209"/>
  <c r="I81" i="209"/>
  <c r="N80" i="209"/>
  <c r="I80" i="209"/>
  <c r="Q80" i="209" s="1"/>
  <c r="N79" i="209"/>
  <c r="I79" i="209"/>
  <c r="N78" i="209"/>
  <c r="I78" i="209"/>
  <c r="Q78" i="209" s="1"/>
  <c r="N77" i="209"/>
  <c r="I77" i="209"/>
  <c r="Q77" i="209" s="1"/>
  <c r="N76" i="209"/>
  <c r="I76" i="209"/>
  <c r="Q76" i="209" s="1"/>
  <c r="N75" i="209"/>
  <c r="I75" i="209"/>
  <c r="N74" i="209"/>
  <c r="I74" i="209"/>
  <c r="Q74" i="209" s="1"/>
  <c r="N73" i="209"/>
  <c r="I73" i="209"/>
  <c r="N72" i="209"/>
  <c r="I72" i="209"/>
  <c r="Q72" i="209" s="1"/>
  <c r="N71" i="209"/>
  <c r="I71" i="209"/>
  <c r="Q71" i="209" s="1"/>
  <c r="N70" i="209"/>
  <c r="I70" i="209"/>
  <c r="Q70" i="209" s="1"/>
  <c r="N69" i="209"/>
  <c r="I69" i="209"/>
  <c r="N68" i="209"/>
  <c r="I68" i="209"/>
  <c r="Q68" i="209" s="1"/>
  <c r="N67" i="209"/>
  <c r="I67" i="209"/>
  <c r="N66" i="209"/>
  <c r="I66" i="209"/>
  <c r="Q66" i="209" s="1"/>
  <c r="N65" i="209"/>
  <c r="I65" i="209"/>
  <c r="Q65" i="209" s="1"/>
  <c r="N64" i="209"/>
  <c r="I64" i="209"/>
  <c r="Q64" i="209" s="1"/>
  <c r="N63" i="209"/>
  <c r="I63" i="209"/>
  <c r="N62" i="209"/>
  <c r="I62" i="209"/>
  <c r="Q62" i="209" s="1"/>
  <c r="N61" i="209"/>
  <c r="I61" i="209"/>
  <c r="N60" i="209"/>
  <c r="I60" i="209"/>
  <c r="Q60" i="209" s="1"/>
  <c r="N59" i="209"/>
  <c r="I59" i="209"/>
  <c r="Q59" i="209" s="1"/>
  <c r="N58" i="209"/>
  <c r="I58" i="209"/>
  <c r="Q58" i="209" s="1"/>
  <c r="N57" i="209"/>
  <c r="I57" i="209"/>
  <c r="N56" i="209"/>
  <c r="I56" i="209"/>
  <c r="Q56" i="209" s="1"/>
  <c r="N55" i="209"/>
  <c r="I55" i="209"/>
  <c r="N54" i="209"/>
  <c r="I54" i="209"/>
  <c r="Q54" i="209" s="1"/>
  <c r="N53" i="209"/>
  <c r="I53" i="209"/>
  <c r="Q53" i="209" s="1"/>
  <c r="N52" i="209"/>
  <c r="I52" i="209"/>
  <c r="Q52" i="209" s="1"/>
  <c r="N51" i="209"/>
  <c r="I51" i="209"/>
  <c r="N50" i="209"/>
  <c r="I50" i="209"/>
  <c r="Q50" i="209" s="1"/>
  <c r="N49" i="209"/>
  <c r="I49" i="209"/>
  <c r="N48" i="209"/>
  <c r="I48" i="209"/>
  <c r="Q48" i="209" s="1"/>
  <c r="N47" i="209"/>
  <c r="I47" i="209"/>
  <c r="Q47" i="209" s="1"/>
  <c r="N46" i="209"/>
  <c r="I46" i="209"/>
  <c r="Q46" i="209" s="1"/>
  <c r="N45" i="209"/>
  <c r="I45" i="209"/>
  <c r="N44" i="209"/>
  <c r="I44" i="209"/>
  <c r="Q44" i="209" s="1"/>
  <c r="N43" i="209"/>
  <c r="I43" i="209"/>
  <c r="N42" i="209"/>
  <c r="I42" i="209"/>
  <c r="Q42" i="209" s="1"/>
  <c r="N41" i="209"/>
  <c r="I41" i="209"/>
  <c r="Q41" i="209" s="1"/>
  <c r="N40" i="209"/>
  <c r="I40" i="209"/>
  <c r="Q40" i="209" s="1"/>
  <c r="N39" i="209"/>
  <c r="I39" i="209"/>
  <c r="N38" i="209"/>
  <c r="I38" i="209"/>
  <c r="Q38" i="209" s="1"/>
  <c r="N37" i="209"/>
  <c r="I37" i="209"/>
  <c r="N36" i="209"/>
  <c r="I36" i="209"/>
  <c r="Q36" i="209" s="1"/>
  <c r="N35" i="209"/>
  <c r="I35" i="209"/>
  <c r="Q35" i="209" s="1"/>
  <c r="N34" i="209"/>
  <c r="I34" i="209"/>
  <c r="Q34" i="209" s="1"/>
  <c r="N33" i="209"/>
  <c r="I33" i="209"/>
  <c r="N32" i="209"/>
  <c r="I32" i="209"/>
  <c r="Q32" i="209" s="1"/>
  <c r="N31" i="209"/>
  <c r="I31" i="209"/>
  <c r="N30" i="209"/>
  <c r="I30" i="209"/>
  <c r="Q30" i="209" s="1"/>
  <c r="N29" i="209"/>
  <c r="I29" i="209"/>
  <c r="Q29" i="209" s="1"/>
  <c r="N28" i="209"/>
  <c r="I28" i="209"/>
  <c r="Q28" i="209" s="1"/>
  <c r="N27" i="209"/>
  <c r="I27" i="209"/>
  <c r="N26" i="209"/>
  <c r="I26" i="209"/>
  <c r="Q26" i="209" s="1"/>
  <c r="N25" i="209"/>
  <c r="I25" i="209"/>
  <c r="N24" i="209"/>
  <c r="I24" i="209"/>
  <c r="Q24" i="209" s="1"/>
  <c r="N23" i="209"/>
  <c r="I23" i="209"/>
  <c r="Q23" i="209" s="1"/>
  <c r="N22" i="209"/>
  <c r="I22" i="209"/>
  <c r="Q22" i="209" s="1"/>
  <c r="N21" i="209"/>
  <c r="I21" i="209"/>
  <c r="N20" i="209"/>
  <c r="I20" i="209"/>
  <c r="Q20" i="209" s="1"/>
  <c r="N19" i="209"/>
  <c r="I19" i="209"/>
  <c r="N18" i="209"/>
  <c r="I18" i="209"/>
  <c r="Q18" i="209" s="1"/>
  <c r="N17" i="209"/>
  <c r="I17" i="209"/>
  <c r="Q17" i="209" s="1"/>
  <c r="N16" i="209"/>
  <c r="I16" i="209"/>
  <c r="Q16" i="209" s="1"/>
  <c r="N15" i="209"/>
  <c r="I15" i="209"/>
  <c r="N14" i="209"/>
  <c r="I14" i="209"/>
  <c r="Q14" i="209" s="1"/>
  <c r="N13" i="209"/>
  <c r="I13" i="209"/>
  <c r="N12" i="209"/>
  <c r="I12" i="209"/>
  <c r="Q12" i="209" s="1"/>
  <c r="N11" i="209"/>
  <c r="I11" i="209"/>
  <c r="Q11" i="209" s="1"/>
  <c r="N10" i="209"/>
  <c r="I10" i="209"/>
  <c r="Q10" i="209" s="1"/>
  <c r="N9" i="209"/>
  <c r="I9" i="209"/>
  <c r="N8" i="209"/>
  <c r="I8" i="209"/>
  <c r="Q8" i="209" s="1"/>
  <c r="N7" i="209"/>
  <c r="I7" i="209"/>
  <c r="N6" i="209"/>
  <c r="I6" i="209"/>
  <c r="Q6" i="209" s="1"/>
  <c r="A6" i="209"/>
  <c r="A7" i="209" s="1"/>
  <c r="A8" i="209" s="1"/>
  <c r="A9" i="209" s="1"/>
  <c r="A10" i="209" s="1"/>
  <c r="A11" i="209" s="1"/>
  <c r="A12" i="209" s="1"/>
  <c r="A13" i="209" s="1"/>
  <c r="A14" i="209" s="1"/>
  <c r="A15" i="209" s="1"/>
  <c r="A16" i="209" s="1"/>
  <c r="A17" i="209" s="1"/>
  <c r="A18" i="209" s="1"/>
  <c r="A19" i="209" s="1"/>
  <c r="A20" i="209" s="1"/>
  <c r="A21" i="209" s="1"/>
  <c r="A22" i="209" s="1"/>
  <c r="A23" i="209" s="1"/>
  <c r="A24" i="209" s="1"/>
  <c r="A25" i="209" s="1"/>
  <c r="A26" i="209" s="1"/>
  <c r="A27" i="209" s="1"/>
  <c r="A28" i="209" s="1"/>
  <c r="A29" i="209" s="1"/>
  <c r="A30" i="209" s="1"/>
  <c r="A31" i="209" s="1"/>
  <c r="A32" i="209" s="1"/>
  <c r="A33" i="209" s="1"/>
  <c r="A34" i="209" s="1"/>
  <c r="A35" i="209" s="1"/>
  <c r="A36" i="209" s="1"/>
  <c r="A37" i="209" s="1"/>
  <c r="A38" i="209" s="1"/>
  <c r="A39" i="209" s="1"/>
  <c r="A40" i="209" s="1"/>
  <c r="A41" i="209" s="1"/>
  <c r="A42" i="209" s="1"/>
  <c r="A43" i="209" s="1"/>
  <c r="A44" i="209" s="1"/>
  <c r="A45" i="209" s="1"/>
  <c r="A46" i="209" s="1"/>
  <c r="A47" i="209" s="1"/>
  <c r="A48" i="209" s="1"/>
  <c r="A49" i="209" s="1"/>
  <c r="A50" i="209" s="1"/>
  <c r="A51" i="209" s="1"/>
  <c r="A52" i="209" s="1"/>
  <c r="A53" i="209" s="1"/>
  <c r="A54" i="209" s="1"/>
  <c r="A55" i="209" s="1"/>
  <c r="A56" i="209" s="1"/>
  <c r="A57" i="209" s="1"/>
  <c r="A58" i="209" s="1"/>
  <c r="A59" i="209" s="1"/>
  <c r="A60" i="209" s="1"/>
  <c r="A61" i="209" s="1"/>
  <c r="A62" i="209" s="1"/>
  <c r="A63" i="209" s="1"/>
  <c r="A64" i="209" s="1"/>
  <c r="A65" i="209" s="1"/>
  <c r="A66" i="209" s="1"/>
  <c r="A67" i="209" s="1"/>
  <c r="A68" i="209" s="1"/>
  <c r="A69" i="209" s="1"/>
  <c r="A70" i="209" s="1"/>
  <c r="A71" i="209" s="1"/>
  <c r="A72" i="209" s="1"/>
  <c r="A73" i="209" s="1"/>
  <c r="A74" i="209" s="1"/>
  <c r="A75" i="209" s="1"/>
  <c r="A76" i="209" s="1"/>
  <c r="A77" i="209" s="1"/>
  <c r="A78" i="209" s="1"/>
  <c r="A79" i="209" s="1"/>
  <c r="A80" i="209" s="1"/>
  <c r="A81" i="209" s="1"/>
  <c r="A82" i="209" s="1"/>
  <c r="A83" i="209" s="1"/>
  <c r="A84" i="209" s="1"/>
  <c r="A85" i="209" s="1"/>
  <c r="A86" i="209" s="1"/>
  <c r="A87" i="209" s="1"/>
  <c r="A88" i="209" s="1"/>
  <c r="A89" i="209" s="1"/>
  <c r="A90" i="209" s="1"/>
  <c r="A91" i="209" s="1"/>
  <c r="A92" i="209" s="1"/>
  <c r="A93" i="209" s="1"/>
  <c r="A94" i="209" s="1"/>
  <c r="A95" i="209" s="1"/>
  <c r="A96" i="209" s="1"/>
  <c r="A97" i="209" s="1"/>
  <c r="A98" i="209" s="1"/>
  <c r="A99" i="209" s="1"/>
  <c r="A100" i="209" s="1"/>
  <c r="A101" i="209" s="1"/>
  <c r="A102" i="209" s="1"/>
  <c r="A103" i="209" s="1"/>
  <c r="A104" i="209" s="1"/>
  <c r="A105" i="209" s="1"/>
  <c r="A106" i="209" s="1"/>
  <c r="A107" i="209" s="1"/>
  <c r="A108" i="209" s="1"/>
  <c r="A109" i="209" s="1"/>
  <c r="A110" i="209" s="1"/>
  <c r="A111" i="209" s="1"/>
  <c r="A112" i="209" s="1"/>
  <c r="A113" i="209" s="1"/>
  <c r="A114" i="209" s="1"/>
  <c r="A115" i="209" s="1"/>
  <c r="A116" i="209" s="1"/>
  <c r="A117" i="209" s="1"/>
  <c r="A118" i="209" s="1"/>
  <c r="A119" i="209" s="1"/>
  <c r="A120" i="209" s="1"/>
  <c r="A121" i="209" s="1"/>
  <c r="A122" i="209" s="1"/>
  <c r="A123" i="209" s="1"/>
  <c r="A124" i="209" s="1"/>
  <c r="A125" i="209" s="1"/>
  <c r="A126" i="209" s="1"/>
  <c r="A127" i="209" s="1"/>
  <c r="A128" i="209" s="1"/>
  <c r="A129" i="209" s="1"/>
  <c r="A130" i="209" s="1"/>
  <c r="A131" i="209" s="1"/>
  <c r="A132" i="209" s="1"/>
  <c r="A133" i="209" s="1"/>
  <c r="A134" i="209" s="1"/>
  <c r="A135" i="209" s="1"/>
  <c r="A136" i="209" s="1"/>
  <c r="A137" i="209" s="1"/>
  <c r="A138" i="209" s="1"/>
  <c r="A139" i="209" s="1"/>
  <c r="A140" i="209" s="1"/>
  <c r="A141" i="209" s="1"/>
  <c r="A142" i="209" s="1"/>
  <c r="A143" i="209" s="1"/>
  <c r="A144" i="209" s="1"/>
  <c r="A145" i="209" s="1"/>
  <c r="A146" i="209" s="1"/>
  <c r="A147" i="209" s="1"/>
  <c r="A148" i="209" s="1"/>
  <c r="A149" i="209" s="1"/>
  <c r="A150" i="209" s="1"/>
  <c r="A151" i="209" s="1"/>
  <c r="A152" i="209" s="1"/>
  <c r="A153" i="209" s="1"/>
  <c r="A154" i="209" s="1"/>
  <c r="A155" i="209" s="1"/>
  <c r="A156" i="209" s="1"/>
  <c r="A157" i="209" s="1"/>
  <c r="A158" i="209" s="1"/>
  <c r="A159" i="209" s="1"/>
  <c r="A160" i="209" s="1"/>
  <c r="A161" i="209" s="1"/>
  <c r="A162" i="209" s="1"/>
  <c r="A163" i="209" s="1"/>
  <c r="A164" i="209" s="1"/>
  <c r="A165" i="209" s="1"/>
  <c r="A166" i="209" s="1"/>
  <c r="A167" i="209" s="1"/>
  <c r="A168" i="209" s="1"/>
  <c r="A169" i="209" s="1"/>
  <c r="A170" i="209" s="1"/>
  <c r="A171" i="209" s="1"/>
  <c r="A172" i="209" s="1"/>
  <c r="A173" i="209" s="1"/>
  <c r="A174" i="209" s="1"/>
  <c r="A175" i="209" s="1"/>
  <c r="A176" i="209" s="1"/>
  <c r="A177" i="209" s="1"/>
  <c r="A178" i="209" s="1"/>
  <c r="A179" i="209" s="1"/>
  <c r="A180" i="209" s="1"/>
  <c r="A181" i="209" s="1"/>
  <c r="A182" i="209" s="1"/>
  <c r="A183" i="209" s="1"/>
  <c r="A184" i="209" s="1"/>
  <c r="A185" i="209" s="1"/>
  <c r="A186" i="209" s="1"/>
  <c r="A187" i="209" s="1"/>
  <c r="A188" i="209" s="1"/>
  <c r="A189" i="209" s="1"/>
  <c r="A190" i="209" s="1"/>
  <c r="A191" i="209" s="1"/>
  <c r="A192" i="209" s="1"/>
  <c r="A193" i="209" s="1"/>
  <c r="A194" i="209" s="1"/>
  <c r="A195" i="209" s="1"/>
  <c r="A196" i="209" s="1"/>
  <c r="A197" i="209" s="1"/>
  <c r="A198" i="209" s="1"/>
  <c r="A199" i="209" s="1"/>
  <c r="A200" i="209" s="1"/>
  <c r="A201" i="209" s="1"/>
  <c r="A202" i="209" s="1"/>
  <c r="A203" i="209" s="1"/>
  <c r="A204" i="209" s="1"/>
  <c r="N5" i="209"/>
  <c r="I5" i="209"/>
  <c r="Q5" i="209" s="1"/>
  <c r="N204" i="208"/>
  <c r="I204" i="208"/>
  <c r="N203" i="208"/>
  <c r="I203" i="208"/>
  <c r="N202" i="208"/>
  <c r="I202" i="208"/>
  <c r="Q202" i="208" s="1"/>
  <c r="N201" i="208"/>
  <c r="I201" i="208"/>
  <c r="Q201" i="208" s="1"/>
  <c r="N200" i="208"/>
  <c r="I200" i="208"/>
  <c r="N199" i="208"/>
  <c r="I199" i="208"/>
  <c r="Q199" i="208" s="1"/>
  <c r="N198" i="208"/>
  <c r="I198" i="208"/>
  <c r="N197" i="208"/>
  <c r="I197" i="208"/>
  <c r="N196" i="208"/>
  <c r="I196" i="208"/>
  <c r="Q196" i="208" s="1"/>
  <c r="N195" i="208"/>
  <c r="I195" i="208"/>
  <c r="Q195" i="208" s="1"/>
  <c r="N194" i="208"/>
  <c r="I194" i="208"/>
  <c r="N193" i="208"/>
  <c r="I193" i="208"/>
  <c r="Q193" i="208" s="1"/>
  <c r="N192" i="208"/>
  <c r="I192" i="208"/>
  <c r="N191" i="208"/>
  <c r="I191" i="208"/>
  <c r="N190" i="208"/>
  <c r="I190" i="208"/>
  <c r="Q190" i="208" s="1"/>
  <c r="N189" i="208"/>
  <c r="I189" i="208"/>
  <c r="Q189" i="208" s="1"/>
  <c r="N188" i="208"/>
  <c r="I188" i="208"/>
  <c r="N187" i="208"/>
  <c r="I187" i="208"/>
  <c r="Q187" i="208" s="1"/>
  <c r="N186" i="208"/>
  <c r="I186" i="208"/>
  <c r="N185" i="208"/>
  <c r="I185" i="208"/>
  <c r="N184" i="208"/>
  <c r="I184" i="208"/>
  <c r="Q184" i="208" s="1"/>
  <c r="N183" i="208"/>
  <c r="I183" i="208"/>
  <c r="Q183" i="208" s="1"/>
  <c r="N182" i="208"/>
  <c r="I182" i="208"/>
  <c r="N181" i="208"/>
  <c r="I181" i="208"/>
  <c r="Q181" i="208" s="1"/>
  <c r="N180" i="208"/>
  <c r="I180" i="208"/>
  <c r="N179" i="208"/>
  <c r="I179" i="208"/>
  <c r="N178" i="208"/>
  <c r="I178" i="208"/>
  <c r="Q178" i="208" s="1"/>
  <c r="N177" i="208"/>
  <c r="I177" i="208"/>
  <c r="Q177" i="208" s="1"/>
  <c r="N176" i="208"/>
  <c r="I176" i="208"/>
  <c r="N175" i="208"/>
  <c r="I175" i="208"/>
  <c r="Q175" i="208" s="1"/>
  <c r="N174" i="208"/>
  <c r="I174" i="208"/>
  <c r="N173" i="208"/>
  <c r="I173" i="208"/>
  <c r="N172" i="208"/>
  <c r="I172" i="208"/>
  <c r="Q172" i="208" s="1"/>
  <c r="N171" i="208"/>
  <c r="I171" i="208"/>
  <c r="Q171" i="208" s="1"/>
  <c r="N170" i="208"/>
  <c r="I170" i="208"/>
  <c r="N169" i="208"/>
  <c r="I169" i="208"/>
  <c r="Q169" i="208" s="1"/>
  <c r="N168" i="208"/>
  <c r="I168" i="208"/>
  <c r="N167" i="208"/>
  <c r="I167" i="208"/>
  <c r="N166" i="208"/>
  <c r="I166" i="208"/>
  <c r="Q166" i="208" s="1"/>
  <c r="N165" i="208"/>
  <c r="I165" i="208"/>
  <c r="Q165" i="208" s="1"/>
  <c r="N164" i="208"/>
  <c r="I164" i="208"/>
  <c r="N163" i="208"/>
  <c r="I163" i="208"/>
  <c r="Q163" i="208" s="1"/>
  <c r="N162" i="208"/>
  <c r="I162" i="208"/>
  <c r="N161" i="208"/>
  <c r="I161" i="208"/>
  <c r="N160" i="208"/>
  <c r="I160" i="208"/>
  <c r="Q160" i="208" s="1"/>
  <c r="N159" i="208"/>
  <c r="I159" i="208"/>
  <c r="Q159" i="208" s="1"/>
  <c r="N158" i="208"/>
  <c r="I158" i="208"/>
  <c r="N157" i="208"/>
  <c r="I157" i="208"/>
  <c r="Q157" i="208" s="1"/>
  <c r="N156" i="208"/>
  <c r="I156" i="208"/>
  <c r="N155" i="208"/>
  <c r="I155" i="208"/>
  <c r="N154" i="208"/>
  <c r="I154" i="208"/>
  <c r="Q154" i="208" s="1"/>
  <c r="N153" i="208"/>
  <c r="I153" i="208"/>
  <c r="Q153" i="208" s="1"/>
  <c r="N152" i="208"/>
  <c r="I152" i="208"/>
  <c r="N151" i="208"/>
  <c r="I151" i="208"/>
  <c r="Q151" i="208" s="1"/>
  <c r="N150" i="208"/>
  <c r="I150" i="208"/>
  <c r="N149" i="208"/>
  <c r="I149" i="208"/>
  <c r="N148" i="208"/>
  <c r="I148" i="208"/>
  <c r="Q148" i="208" s="1"/>
  <c r="N147" i="208"/>
  <c r="I147" i="208"/>
  <c r="Q147" i="208" s="1"/>
  <c r="N146" i="208"/>
  <c r="I146" i="208"/>
  <c r="N145" i="208"/>
  <c r="I145" i="208"/>
  <c r="Q145" i="208" s="1"/>
  <c r="N144" i="208"/>
  <c r="I144" i="208"/>
  <c r="N143" i="208"/>
  <c r="I143" i="208"/>
  <c r="N142" i="208"/>
  <c r="I142" i="208"/>
  <c r="Q142" i="208" s="1"/>
  <c r="N141" i="208"/>
  <c r="I141" i="208"/>
  <c r="Q141" i="208" s="1"/>
  <c r="N140" i="208"/>
  <c r="I140" i="208"/>
  <c r="N139" i="208"/>
  <c r="I139" i="208"/>
  <c r="Q139" i="208" s="1"/>
  <c r="N138" i="208"/>
  <c r="I138" i="208"/>
  <c r="N137" i="208"/>
  <c r="I137" i="208"/>
  <c r="N136" i="208"/>
  <c r="I136" i="208"/>
  <c r="Q136" i="208" s="1"/>
  <c r="N135" i="208"/>
  <c r="I135" i="208"/>
  <c r="Q135" i="208" s="1"/>
  <c r="N134" i="208"/>
  <c r="I134" i="208"/>
  <c r="N133" i="208"/>
  <c r="I133" i="208"/>
  <c r="Q133" i="208" s="1"/>
  <c r="N132" i="208"/>
  <c r="I132" i="208"/>
  <c r="N131" i="208"/>
  <c r="I131" i="208"/>
  <c r="N130" i="208"/>
  <c r="I130" i="208"/>
  <c r="Q130" i="208" s="1"/>
  <c r="N129" i="208"/>
  <c r="I129" i="208"/>
  <c r="Q129" i="208" s="1"/>
  <c r="N128" i="208"/>
  <c r="I128" i="208"/>
  <c r="N127" i="208"/>
  <c r="I127" i="208"/>
  <c r="Q127" i="208" s="1"/>
  <c r="N126" i="208"/>
  <c r="I126" i="208"/>
  <c r="N125" i="208"/>
  <c r="I125" i="208"/>
  <c r="N124" i="208"/>
  <c r="I124" i="208"/>
  <c r="Q124" i="208" s="1"/>
  <c r="N123" i="208"/>
  <c r="I123" i="208"/>
  <c r="Q123" i="208" s="1"/>
  <c r="N122" i="208"/>
  <c r="I122" i="208"/>
  <c r="N121" i="208"/>
  <c r="I121" i="208"/>
  <c r="Q121" i="208" s="1"/>
  <c r="N120" i="208"/>
  <c r="I120" i="208"/>
  <c r="N119" i="208"/>
  <c r="I119" i="208"/>
  <c r="N118" i="208"/>
  <c r="I118" i="208"/>
  <c r="Q118" i="208" s="1"/>
  <c r="N117" i="208"/>
  <c r="I117" i="208"/>
  <c r="Q117" i="208" s="1"/>
  <c r="N116" i="208"/>
  <c r="I116" i="208"/>
  <c r="N115" i="208"/>
  <c r="I115" i="208"/>
  <c r="Q115" i="208" s="1"/>
  <c r="N114" i="208"/>
  <c r="I114" i="208"/>
  <c r="N113" i="208"/>
  <c r="I113" i="208"/>
  <c r="N112" i="208"/>
  <c r="I112" i="208"/>
  <c r="Q112" i="208" s="1"/>
  <c r="N111" i="208"/>
  <c r="I111" i="208"/>
  <c r="Q111" i="208" s="1"/>
  <c r="N110" i="208"/>
  <c r="I110" i="208"/>
  <c r="N109" i="208"/>
  <c r="I109" i="208"/>
  <c r="Q109" i="208" s="1"/>
  <c r="N108" i="208"/>
  <c r="I108" i="208"/>
  <c r="N107" i="208"/>
  <c r="I107" i="208"/>
  <c r="N106" i="208"/>
  <c r="I106" i="208"/>
  <c r="Q106" i="208" s="1"/>
  <c r="N105" i="208"/>
  <c r="I105" i="208"/>
  <c r="Q105" i="208" s="1"/>
  <c r="N104" i="208"/>
  <c r="I104" i="208"/>
  <c r="N103" i="208"/>
  <c r="I103" i="208"/>
  <c r="Q103" i="208" s="1"/>
  <c r="N102" i="208"/>
  <c r="I102" i="208"/>
  <c r="N101" i="208"/>
  <c r="I101" i="208"/>
  <c r="N100" i="208"/>
  <c r="I100" i="208"/>
  <c r="Q100" i="208" s="1"/>
  <c r="N99" i="208"/>
  <c r="I99" i="208"/>
  <c r="Q99" i="208" s="1"/>
  <c r="N98" i="208"/>
  <c r="I98" i="208"/>
  <c r="N97" i="208"/>
  <c r="I97" i="208"/>
  <c r="Q97" i="208" s="1"/>
  <c r="N96" i="208"/>
  <c r="I96" i="208"/>
  <c r="N95" i="208"/>
  <c r="I95" i="208"/>
  <c r="N94" i="208"/>
  <c r="I94" i="208"/>
  <c r="Q94" i="208" s="1"/>
  <c r="N93" i="208"/>
  <c r="I93" i="208"/>
  <c r="Q93" i="208" s="1"/>
  <c r="N92" i="208"/>
  <c r="I92" i="208"/>
  <c r="N91" i="208"/>
  <c r="I91" i="208"/>
  <c r="Q91" i="208" s="1"/>
  <c r="N90" i="208"/>
  <c r="I90" i="208"/>
  <c r="N89" i="208"/>
  <c r="I89" i="208"/>
  <c r="N88" i="208"/>
  <c r="I88" i="208"/>
  <c r="Q88" i="208" s="1"/>
  <c r="N87" i="208"/>
  <c r="I87" i="208"/>
  <c r="Q87" i="208" s="1"/>
  <c r="N86" i="208"/>
  <c r="I86" i="208"/>
  <c r="N85" i="208"/>
  <c r="I85" i="208"/>
  <c r="Q85" i="208" s="1"/>
  <c r="N84" i="208"/>
  <c r="I84" i="208"/>
  <c r="N83" i="208"/>
  <c r="I83" i="208"/>
  <c r="N82" i="208"/>
  <c r="I82" i="208"/>
  <c r="Q82" i="208" s="1"/>
  <c r="N81" i="208"/>
  <c r="I81" i="208"/>
  <c r="Q81" i="208" s="1"/>
  <c r="N80" i="208"/>
  <c r="I80" i="208"/>
  <c r="N79" i="208"/>
  <c r="I79" i="208"/>
  <c r="Q79" i="208" s="1"/>
  <c r="N78" i="208"/>
  <c r="I78" i="208"/>
  <c r="N77" i="208"/>
  <c r="I77" i="208"/>
  <c r="N76" i="208"/>
  <c r="I76" i="208"/>
  <c r="Q76" i="208" s="1"/>
  <c r="N75" i="208"/>
  <c r="I75" i="208"/>
  <c r="Q75" i="208" s="1"/>
  <c r="N74" i="208"/>
  <c r="I74" i="208"/>
  <c r="N73" i="208"/>
  <c r="I73" i="208"/>
  <c r="Q73" i="208" s="1"/>
  <c r="N72" i="208"/>
  <c r="I72" i="208"/>
  <c r="N71" i="208"/>
  <c r="I71" i="208"/>
  <c r="N70" i="208"/>
  <c r="I70" i="208"/>
  <c r="Q70" i="208" s="1"/>
  <c r="N69" i="208"/>
  <c r="I69" i="208"/>
  <c r="Q69" i="208" s="1"/>
  <c r="N68" i="208"/>
  <c r="I68" i="208"/>
  <c r="N67" i="208"/>
  <c r="I67" i="208"/>
  <c r="Q67" i="208" s="1"/>
  <c r="N66" i="208"/>
  <c r="I66" i="208"/>
  <c r="N65" i="208"/>
  <c r="I65" i="208"/>
  <c r="N64" i="208"/>
  <c r="I64" i="208"/>
  <c r="Q64" i="208" s="1"/>
  <c r="N63" i="208"/>
  <c r="I63" i="208"/>
  <c r="Q63" i="208" s="1"/>
  <c r="N62" i="208"/>
  <c r="I62" i="208"/>
  <c r="N61" i="208"/>
  <c r="I61" i="208"/>
  <c r="Q61" i="208" s="1"/>
  <c r="N60" i="208"/>
  <c r="I60" i="208"/>
  <c r="N59" i="208"/>
  <c r="I59" i="208"/>
  <c r="N58" i="208"/>
  <c r="I58" i="208"/>
  <c r="Q58" i="208" s="1"/>
  <c r="N57" i="208"/>
  <c r="I57" i="208"/>
  <c r="Q57" i="208" s="1"/>
  <c r="N56" i="208"/>
  <c r="I56" i="208"/>
  <c r="N55" i="208"/>
  <c r="I55" i="208"/>
  <c r="Q55" i="208" s="1"/>
  <c r="N54" i="208"/>
  <c r="I54" i="208"/>
  <c r="N53" i="208"/>
  <c r="I53" i="208"/>
  <c r="N52" i="208"/>
  <c r="I52" i="208"/>
  <c r="Q52" i="208" s="1"/>
  <c r="N51" i="208"/>
  <c r="I51" i="208"/>
  <c r="Q51" i="208" s="1"/>
  <c r="N50" i="208"/>
  <c r="I50" i="208"/>
  <c r="N49" i="208"/>
  <c r="I49" i="208"/>
  <c r="Q49" i="208" s="1"/>
  <c r="N48" i="208"/>
  <c r="I48" i="208"/>
  <c r="N47" i="208"/>
  <c r="I47" i="208"/>
  <c r="N46" i="208"/>
  <c r="I46" i="208"/>
  <c r="Q46" i="208" s="1"/>
  <c r="N45" i="208"/>
  <c r="I45" i="208"/>
  <c r="Q45" i="208" s="1"/>
  <c r="N44" i="208"/>
  <c r="I44" i="208"/>
  <c r="N43" i="208"/>
  <c r="I43" i="208"/>
  <c r="Q43" i="208" s="1"/>
  <c r="N42" i="208"/>
  <c r="I42" i="208"/>
  <c r="N41" i="208"/>
  <c r="I41" i="208"/>
  <c r="N40" i="208"/>
  <c r="I40" i="208"/>
  <c r="Q40" i="208" s="1"/>
  <c r="N39" i="208"/>
  <c r="I39" i="208"/>
  <c r="Q39" i="208" s="1"/>
  <c r="N38" i="208"/>
  <c r="I38" i="208"/>
  <c r="N37" i="208"/>
  <c r="I37" i="208"/>
  <c r="Q37" i="208" s="1"/>
  <c r="N36" i="208"/>
  <c r="I36" i="208"/>
  <c r="N35" i="208"/>
  <c r="I35" i="208"/>
  <c r="N34" i="208"/>
  <c r="I34" i="208"/>
  <c r="Q34" i="208" s="1"/>
  <c r="N33" i="208"/>
  <c r="I33" i="208"/>
  <c r="Q33" i="208" s="1"/>
  <c r="N32" i="208"/>
  <c r="I32" i="208"/>
  <c r="N31" i="208"/>
  <c r="I31" i="208"/>
  <c r="Q31" i="208" s="1"/>
  <c r="N30" i="208"/>
  <c r="I30" i="208"/>
  <c r="N29" i="208"/>
  <c r="I29" i="208"/>
  <c r="N28" i="208"/>
  <c r="I28" i="208"/>
  <c r="Q28" i="208" s="1"/>
  <c r="N27" i="208"/>
  <c r="I27" i="208"/>
  <c r="Q27" i="208" s="1"/>
  <c r="N26" i="208"/>
  <c r="I26" i="208"/>
  <c r="N25" i="208"/>
  <c r="I25" i="208"/>
  <c r="Q25" i="208" s="1"/>
  <c r="N24" i="208"/>
  <c r="I24" i="208"/>
  <c r="N23" i="208"/>
  <c r="I23" i="208"/>
  <c r="N22" i="208"/>
  <c r="I22" i="208"/>
  <c r="Q22" i="208" s="1"/>
  <c r="N21" i="208"/>
  <c r="I21" i="208"/>
  <c r="Q21" i="208" s="1"/>
  <c r="N20" i="208"/>
  <c r="I20" i="208"/>
  <c r="N19" i="208"/>
  <c r="I19" i="208"/>
  <c r="Q19" i="208" s="1"/>
  <c r="N18" i="208"/>
  <c r="I18" i="208"/>
  <c r="N17" i="208"/>
  <c r="I17" i="208"/>
  <c r="N16" i="208"/>
  <c r="I16" i="208"/>
  <c r="Q16" i="208" s="1"/>
  <c r="N15" i="208"/>
  <c r="I15" i="208"/>
  <c r="Q15" i="208" s="1"/>
  <c r="N14" i="208"/>
  <c r="I14" i="208"/>
  <c r="N13" i="208"/>
  <c r="I13" i="208"/>
  <c r="Q13" i="208" s="1"/>
  <c r="N12" i="208"/>
  <c r="I12" i="208"/>
  <c r="N11" i="208"/>
  <c r="I11" i="208"/>
  <c r="N10" i="208"/>
  <c r="I10" i="208"/>
  <c r="Q10" i="208" s="1"/>
  <c r="N9" i="208"/>
  <c r="I9" i="208"/>
  <c r="Q9" i="208" s="1"/>
  <c r="N8" i="208"/>
  <c r="I8" i="208"/>
  <c r="N7" i="208"/>
  <c r="I7" i="208"/>
  <c r="Q7" i="208" s="1"/>
  <c r="N6" i="208"/>
  <c r="I6" i="208"/>
  <c r="A6" i="208"/>
  <c r="A7" i="208" s="1"/>
  <c r="A8" i="208" s="1"/>
  <c r="A9" i="208" s="1"/>
  <c r="A10" i="208" s="1"/>
  <c r="A11" i="208" s="1"/>
  <c r="A12" i="208" s="1"/>
  <c r="A13" i="208" s="1"/>
  <c r="A14" i="208" s="1"/>
  <c r="A15" i="208" s="1"/>
  <c r="A16" i="208" s="1"/>
  <c r="A17" i="208" s="1"/>
  <c r="A18" i="208" s="1"/>
  <c r="A19" i="208" s="1"/>
  <c r="A20" i="208" s="1"/>
  <c r="A21" i="208" s="1"/>
  <c r="A22" i="208" s="1"/>
  <c r="A23" i="208" s="1"/>
  <c r="A24" i="208" s="1"/>
  <c r="A25" i="208" s="1"/>
  <c r="A26" i="208" s="1"/>
  <c r="A27" i="208" s="1"/>
  <c r="A28" i="208" s="1"/>
  <c r="A29" i="208" s="1"/>
  <c r="A30" i="208" s="1"/>
  <c r="A31" i="208" s="1"/>
  <c r="A32" i="208" s="1"/>
  <c r="A33" i="208" s="1"/>
  <c r="A34" i="208" s="1"/>
  <c r="A35" i="208" s="1"/>
  <c r="A36" i="208" s="1"/>
  <c r="A37" i="208" s="1"/>
  <c r="A38" i="208" s="1"/>
  <c r="A39" i="208" s="1"/>
  <c r="A40" i="208" s="1"/>
  <c r="A41" i="208" s="1"/>
  <c r="A42" i="208" s="1"/>
  <c r="A43" i="208" s="1"/>
  <c r="A44" i="208" s="1"/>
  <c r="A45" i="208" s="1"/>
  <c r="A46" i="208" s="1"/>
  <c r="A47" i="208" s="1"/>
  <c r="A48" i="208" s="1"/>
  <c r="A49" i="208" s="1"/>
  <c r="A50" i="208" s="1"/>
  <c r="A51" i="208" s="1"/>
  <c r="A52" i="208" s="1"/>
  <c r="A53" i="208" s="1"/>
  <c r="A54" i="208" s="1"/>
  <c r="A55" i="208" s="1"/>
  <c r="A56" i="208" s="1"/>
  <c r="A57" i="208" s="1"/>
  <c r="A58" i="208" s="1"/>
  <c r="A59" i="208" s="1"/>
  <c r="A60" i="208" s="1"/>
  <c r="A61" i="208" s="1"/>
  <c r="A62" i="208" s="1"/>
  <c r="A63" i="208" s="1"/>
  <c r="A64" i="208" s="1"/>
  <c r="A65" i="208" s="1"/>
  <c r="A66" i="208" s="1"/>
  <c r="A67" i="208" s="1"/>
  <c r="A68" i="208" s="1"/>
  <c r="A69" i="208" s="1"/>
  <c r="A70" i="208" s="1"/>
  <c r="A71" i="208" s="1"/>
  <c r="A72" i="208" s="1"/>
  <c r="A73" i="208" s="1"/>
  <c r="A74" i="208" s="1"/>
  <c r="A75" i="208" s="1"/>
  <c r="A76" i="208" s="1"/>
  <c r="A77" i="208" s="1"/>
  <c r="A78" i="208" s="1"/>
  <c r="A79" i="208" s="1"/>
  <c r="A80" i="208" s="1"/>
  <c r="A81" i="208" s="1"/>
  <c r="A82" i="208" s="1"/>
  <c r="A83" i="208" s="1"/>
  <c r="A84" i="208" s="1"/>
  <c r="A85" i="208" s="1"/>
  <c r="A86" i="208" s="1"/>
  <c r="A87" i="208" s="1"/>
  <c r="A88" i="208" s="1"/>
  <c r="A89" i="208" s="1"/>
  <c r="A90" i="208" s="1"/>
  <c r="A91" i="208" s="1"/>
  <c r="A92" i="208" s="1"/>
  <c r="A93" i="208" s="1"/>
  <c r="A94" i="208" s="1"/>
  <c r="A95" i="208" s="1"/>
  <c r="A96" i="208" s="1"/>
  <c r="A97" i="208" s="1"/>
  <c r="A98" i="208" s="1"/>
  <c r="A99" i="208" s="1"/>
  <c r="A100" i="208" s="1"/>
  <c r="A101" i="208" s="1"/>
  <c r="A102" i="208" s="1"/>
  <c r="A103" i="208" s="1"/>
  <c r="A104" i="208" s="1"/>
  <c r="A105" i="208" s="1"/>
  <c r="A106" i="208" s="1"/>
  <c r="A107" i="208" s="1"/>
  <c r="A108" i="208" s="1"/>
  <c r="A109" i="208" s="1"/>
  <c r="A110" i="208" s="1"/>
  <c r="A111" i="208" s="1"/>
  <c r="A112" i="208" s="1"/>
  <c r="A113" i="208" s="1"/>
  <c r="A114" i="208" s="1"/>
  <c r="A115" i="208" s="1"/>
  <c r="A116" i="208" s="1"/>
  <c r="A117" i="208" s="1"/>
  <c r="A118" i="208" s="1"/>
  <c r="A119" i="208" s="1"/>
  <c r="A120" i="208" s="1"/>
  <c r="A121" i="208" s="1"/>
  <c r="A122" i="208" s="1"/>
  <c r="A123" i="208" s="1"/>
  <c r="A124" i="208" s="1"/>
  <c r="A125" i="208" s="1"/>
  <c r="A126" i="208" s="1"/>
  <c r="A127" i="208" s="1"/>
  <c r="A128" i="208" s="1"/>
  <c r="A129" i="208" s="1"/>
  <c r="A130" i="208" s="1"/>
  <c r="A131" i="208" s="1"/>
  <c r="A132" i="208" s="1"/>
  <c r="A133" i="208" s="1"/>
  <c r="A134" i="208" s="1"/>
  <c r="A135" i="208" s="1"/>
  <c r="A136" i="208" s="1"/>
  <c r="A137" i="208" s="1"/>
  <c r="A138" i="208" s="1"/>
  <c r="A139" i="208" s="1"/>
  <c r="A140" i="208" s="1"/>
  <c r="A141" i="208" s="1"/>
  <c r="A142" i="208" s="1"/>
  <c r="A143" i="208" s="1"/>
  <c r="A144" i="208" s="1"/>
  <c r="A145" i="208" s="1"/>
  <c r="A146" i="208" s="1"/>
  <c r="A147" i="208" s="1"/>
  <c r="A148" i="208" s="1"/>
  <c r="A149" i="208" s="1"/>
  <c r="A150" i="208" s="1"/>
  <c r="A151" i="208" s="1"/>
  <c r="A152" i="208" s="1"/>
  <c r="A153" i="208" s="1"/>
  <c r="A154" i="208" s="1"/>
  <c r="A155" i="208" s="1"/>
  <c r="A156" i="208" s="1"/>
  <c r="A157" i="208" s="1"/>
  <c r="A158" i="208" s="1"/>
  <c r="A159" i="208" s="1"/>
  <c r="A160" i="208" s="1"/>
  <c r="A161" i="208" s="1"/>
  <c r="A162" i="208" s="1"/>
  <c r="A163" i="208" s="1"/>
  <c r="A164" i="208" s="1"/>
  <c r="A165" i="208" s="1"/>
  <c r="A166" i="208" s="1"/>
  <c r="A167" i="208" s="1"/>
  <c r="A168" i="208" s="1"/>
  <c r="A169" i="208" s="1"/>
  <c r="A170" i="208" s="1"/>
  <c r="A171" i="208" s="1"/>
  <c r="A172" i="208" s="1"/>
  <c r="A173" i="208" s="1"/>
  <c r="A174" i="208" s="1"/>
  <c r="A175" i="208" s="1"/>
  <c r="A176" i="208" s="1"/>
  <c r="A177" i="208" s="1"/>
  <c r="A178" i="208" s="1"/>
  <c r="A179" i="208" s="1"/>
  <c r="A180" i="208" s="1"/>
  <c r="A181" i="208" s="1"/>
  <c r="A182" i="208" s="1"/>
  <c r="A183" i="208" s="1"/>
  <c r="A184" i="208" s="1"/>
  <c r="A185" i="208" s="1"/>
  <c r="A186" i="208" s="1"/>
  <c r="A187" i="208" s="1"/>
  <c r="A188" i="208" s="1"/>
  <c r="A189" i="208" s="1"/>
  <c r="A190" i="208" s="1"/>
  <c r="A191" i="208" s="1"/>
  <c r="A192" i="208" s="1"/>
  <c r="A193" i="208" s="1"/>
  <c r="A194" i="208" s="1"/>
  <c r="A195" i="208" s="1"/>
  <c r="A196" i="208" s="1"/>
  <c r="A197" i="208" s="1"/>
  <c r="A198" i="208" s="1"/>
  <c r="A199" i="208" s="1"/>
  <c r="A200" i="208" s="1"/>
  <c r="A201" i="208" s="1"/>
  <c r="A202" i="208" s="1"/>
  <c r="A203" i="208" s="1"/>
  <c r="A204" i="208" s="1"/>
  <c r="N5" i="208"/>
  <c r="I5" i="208"/>
  <c r="Q5" i="208" s="1"/>
  <c r="N204" i="207"/>
  <c r="I204" i="207"/>
  <c r="N203" i="207"/>
  <c r="I203" i="207"/>
  <c r="Q203" i="207" s="1"/>
  <c r="N202" i="207"/>
  <c r="I202" i="207"/>
  <c r="N201" i="207"/>
  <c r="I201" i="207"/>
  <c r="Q201" i="207" s="1"/>
  <c r="N200" i="207"/>
  <c r="I200" i="207"/>
  <c r="Q200" i="207" s="1"/>
  <c r="N199" i="207"/>
  <c r="I199" i="207"/>
  <c r="Q199" i="207" s="1"/>
  <c r="N198" i="207"/>
  <c r="I198" i="207"/>
  <c r="N197" i="207"/>
  <c r="I197" i="207"/>
  <c r="Q197" i="207" s="1"/>
  <c r="N196" i="207"/>
  <c r="I196" i="207"/>
  <c r="N195" i="207"/>
  <c r="I195" i="207"/>
  <c r="Q195" i="207" s="1"/>
  <c r="N194" i="207"/>
  <c r="I194" i="207"/>
  <c r="Q194" i="207" s="1"/>
  <c r="N193" i="207"/>
  <c r="I193" i="207"/>
  <c r="Q193" i="207" s="1"/>
  <c r="N192" i="207"/>
  <c r="I192" i="207"/>
  <c r="N191" i="207"/>
  <c r="I191" i="207"/>
  <c r="Q191" i="207" s="1"/>
  <c r="N190" i="207"/>
  <c r="I190" i="207"/>
  <c r="N189" i="207"/>
  <c r="I189" i="207"/>
  <c r="Q189" i="207" s="1"/>
  <c r="N188" i="207"/>
  <c r="I188" i="207"/>
  <c r="Q188" i="207" s="1"/>
  <c r="N187" i="207"/>
  <c r="I187" i="207"/>
  <c r="Q187" i="207" s="1"/>
  <c r="N186" i="207"/>
  <c r="I186" i="207"/>
  <c r="N185" i="207"/>
  <c r="I185" i="207"/>
  <c r="Q185" i="207" s="1"/>
  <c r="N184" i="207"/>
  <c r="I184" i="207"/>
  <c r="N183" i="207"/>
  <c r="I183" i="207"/>
  <c r="Q183" i="207" s="1"/>
  <c r="N182" i="207"/>
  <c r="I182" i="207"/>
  <c r="Q182" i="207" s="1"/>
  <c r="N181" i="207"/>
  <c r="I181" i="207"/>
  <c r="Q181" i="207" s="1"/>
  <c r="N180" i="207"/>
  <c r="I180" i="207"/>
  <c r="N179" i="207"/>
  <c r="I179" i="207"/>
  <c r="Q179" i="207" s="1"/>
  <c r="N178" i="207"/>
  <c r="I178" i="207"/>
  <c r="N177" i="207"/>
  <c r="I177" i="207"/>
  <c r="Q177" i="207" s="1"/>
  <c r="N176" i="207"/>
  <c r="I176" i="207"/>
  <c r="Q176" i="207" s="1"/>
  <c r="N175" i="207"/>
  <c r="I175" i="207"/>
  <c r="Q175" i="207" s="1"/>
  <c r="N174" i="207"/>
  <c r="I174" i="207"/>
  <c r="N173" i="207"/>
  <c r="I173" i="207"/>
  <c r="Q173" i="207" s="1"/>
  <c r="N172" i="207"/>
  <c r="I172" i="207"/>
  <c r="N171" i="207"/>
  <c r="I171" i="207"/>
  <c r="Q171" i="207" s="1"/>
  <c r="N170" i="207"/>
  <c r="I170" i="207"/>
  <c r="Q170" i="207" s="1"/>
  <c r="N169" i="207"/>
  <c r="I169" i="207"/>
  <c r="Q169" i="207" s="1"/>
  <c r="N168" i="207"/>
  <c r="I168" i="207"/>
  <c r="N167" i="207"/>
  <c r="I167" i="207"/>
  <c r="Q167" i="207" s="1"/>
  <c r="N166" i="207"/>
  <c r="I166" i="207"/>
  <c r="N165" i="207"/>
  <c r="I165" i="207"/>
  <c r="Q165" i="207" s="1"/>
  <c r="N164" i="207"/>
  <c r="I164" i="207"/>
  <c r="Q164" i="207" s="1"/>
  <c r="N163" i="207"/>
  <c r="I163" i="207"/>
  <c r="Q163" i="207" s="1"/>
  <c r="N162" i="207"/>
  <c r="I162" i="207"/>
  <c r="N161" i="207"/>
  <c r="I161" i="207"/>
  <c r="Q161" i="207" s="1"/>
  <c r="N160" i="207"/>
  <c r="I160" i="207"/>
  <c r="N159" i="207"/>
  <c r="I159" i="207"/>
  <c r="Q159" i="207" s="1"/>
  <c r="N158" i="207"/>
  <c r="I158" i="207"/>
  <c r="Q158" i="207" s="1"/>
  <c r="N157" i="207"/>
  <c r="I157" i="207"/>
  <c r="Q157" i="207" s="1"/>
  <c r="N156" i="207"/>
  <c r="I156" i="207"/>
  <c r="N155" i="207"/>
  <c r="I155" i="207"/>
  <c r="Q155" i="207" s="1"/>
  <c r="N154" i="207"/>
  <c r="I154" i="207"/>
  <c r="N153" i="207"/>
  <c r="I153" i="207"/>
  <c r="Q153" i="207" s="1"/>
  <c r="N152" i="207"/>
  <c r="I152" i="207"/>
  <c r="Q152" i="207" s="1"/>
  <c r="N151" i="207"/>
  <c r="I151" i="207"/>
  <c r="Q151" i="207" s="1"/>
  <c r="N150" i="207"/>
  <c r="I150" i="207"/>
  <c r="N149" i="207"/>
  <c r="I149" i="207"/>
  <c r="Q149" i="207" s="1"/>
  <c r="N148" i="207"/>
  <c r="I148" i="207"/>
  <c r="N147" i="207"/>
  <c r="I147" i="207"/>
  <c r="Q147" i="207" s="1"/>
  <c r="N146" i="207"/>
  <c r="I146" i="207"/>
  <c r="Q146" i="207" s="1"/>
  <c r="N145" i="207"/>
  <c r="I145" i="207"/>
  <c r="Q145" i="207" s="1"/>
  <c r="N144" i="207"/>
  <c r="I144" i="207"/>
  <c r="N143" i="207"/>
  <c r="I143" i="207"/>
  <c r="Q143" i="207" s="1"/>
  <c r="N142" i="207"/>
  <c r="I142" i="207"/>
  <c r="N141" i="207"/>
  <c r="I141" i="207"/>
  <c r="Q141" i="207" s="1"/>
  <c r="N140" i="207"/>
  <c r="I140" i="207"/>
  <c r="Q140" i="207" s="1"/>
  <c r="N139" i="207"/>
  <c r="I139" i="207"/>
  <c r="Q139" i="207" s="1"/>
  <c r="N138" i="207"/>
  <c r="I138" i="207"/>
  <c r="N137" i="207"/>
  <c r="I137" i="207"/>
  <c r="Q137" i="207" s="1"/>
  <c r="N136" i="207"/>
  <c r="I136" i="207"/>
  <c r="N135" i="207"/>
  <c r="I135" i="207"/>
  <c r="Q135" i="207" s="1"/>
  <c r="N134" i="207"/>
  <c r="I134" i="207"/>
  <c r="Q134" i="207" s="1"/>
  <c r="N133" i="207"/>
  <c r="I133" i="207"/>
  <c r="Q133" i="207" s="1"/>
  <c r="N132" i="207"/>
  <c r="I132" i="207"/>
  <c r="N131" i="207"/>
  <c r="I131" i="207"/>
  <c r="Q131" i="207" s="1"/>
  <c r="N130" i="207"/>
  <c r="I130" i="207"/>
  <c r="N129" i="207"/>
  <c r="I129" i="207"/>
  <c r="Q129" i="207" s="1"/>
  <c r="N128" i="207"/>
  <c r="I128" i="207"/>
  <c r="Q128" i="207" s="1"/>
  <c r="N127" i="207"/>
  <c r="I127" i="207"/>
  <c r="Q127" i="207" s="1"/>
  <c r="N126" i="207"/>
  <c r="I126" i="207"/>
  <c r="N125" i="207"/>
  <c r="I125" i="207"/>
  <c r="Q125" i="207" s="1"/>
  <c r="N124" i="207"/>
  <c r="I124" i="207"/>
  <c r="N123" i="207"/>
  <c r="I123" i="207"/>
  <c r="Q123" i="207" s="1"/>
  <c r="N122" i="207"/>
  <c r="I122" i="207"/>
  <c r="Q122" i="207" s="1"/>
  <c r="N121" i="207"/>
  <c r="I121" i="207"/>
  <c r="Q121" i="207" s="1"/>
  <c r="N120" i="207"/>
  <c r="I120" i="207"/>
  <c r="N119" i="207"/>
  <c r="I119" i="207"/>
  <c r="Q119" i="207" s="1"/>
  <c r="N118" i="207"/>
  <c r="I118" i="207"/>
  <c r="N117" i="207"/>
  <c r="I117" i="207"/>
  <c r="Q117" i="207" s="1"/>
  <c r="N116" i="207"/>
  <c r="I116" i="207"/>
  <c r="Q116" i="207" s="1"/>
  <c r="N115" i="207"/>
  <c r="I115" i="207"/>
  <c r="Q115" i="207" s="1"/>
  <c r="N114" i="207"/>
  <c r="I114" i="207"/>
  <c r="N113" i="207"/>
  <c r="I113" i="207"/>
  <c r="Q113" i="207" s="1"/>
  <c r="N112" i="207"/>
  <c r="I112" i="207"/>
  <c r="N111" i="207"/>
  <c r="I111" i="207"/>
  <c r="Q111" i="207" s="1"/>
  <c r="N110" i="207"/>
  <c r="I110" i="207"/>
  <c r="Q110" i="207" s="1"/>
  <c r="N109" i="207"/>
  <c r="I109" i="207"/>
  <c r="Q109" i="207" s="1"/>
  <c r="N108" i="207"/>
  <c r="I108" i="207"/>
  <c r="N107" i="207"/>
  <c r="I107" i="207"/>
  <c r="Q107" i="207" s="1"/>
  <c r="N106" i="207"/>
  <c r="I106" i="207"/>
  <c r="N105" i="207"/>
  <c r="I105" i="207"/>
  <c r="Q105" i="207" s="1"/>
  <c r="N104" i="207"/>
  <c r="I104" i="207"/>
  <c r="Q104" i="207" s="1"/>
  <c r="N103" i="207"/>
  <c r="I103" i="207"/>
  <c r="Q103" i="207" s="1"/>
  <c r="N102" i="207"/>
  <c r="I102" i="207"/>
  <c r="N101" i="207"/>
  <c r="I101" i="207"/>
  <c r="Q101" i="207" s="1"/>
  <c r="N100" i="207"/>
  <c r="I100" i="207"/>
  <c r="N99" i="207"/>
  <c r="I99" i="207"/>
  <c r="Q99" i="207" s="1"/>
  <c r="N98" i="207"/>
  <c r="I98" i="207"/>
  <c r="Q98" i="207" s="1"/>
  <c r="N97" i="207"/>
  <c r="I97" i="207"/>
  <c r="Q97" i="207" s="1"/>
  <c r="N96" i="207"/>
  <c r="I96" i="207"/>
  <c r="N95" i="207"/>
  <c r="I95" i="207"/>
  <c r="Q95" i="207" s="1"/>
  <c r="N94" i="207"/>
  <c r="I94" i="207"/>
  <c r="N93" i="207"/>
  <c r="I93" i="207"/>
  <c r="Q93" i="207" s="1"/>
  <c r="N92" i="207"/>
  <c r="I92" i="207"/>
  <c r="Q92" i="207" s="1"/>
  <c r="N91" i="207"/>
  <c r="I91" i="207"/>
  <c r="Q91" i="207" s="1"/>
  <c r="N90" i="207"/>
  <c r="I90" i="207"/>
  <c r="N89" i="207"/>
  <c r="I89" i="207"/>
  <c r="Q89" i="207" s="1"/>
  <c r="N88" i="207"/>
  <c r="I88" i="207"/>
  <c r="N87" i="207"/>
  <c r="I87" i="207"/>
  <c r="Q87" i="207" s="1"/>
  <c r="N86" i="207"/>
  <c r="I86" i="207"/>
  <c r="Q86" i="207" s="1"/>
  <c r="N85" i="207"/>
  <c r="I85" i="207"/>
  <c r="Q85" i="207" s="1"/>
  <c r="N84" i="207"/>
  <c r="I84" i="207"/>
  <c r="N83" i="207"/>
  <c r="I83" i="207"/>
  <c r="Q83" i="207" s="1"/>
  <c r="N82" i="207"/>
  <c r="I82" i="207"/>
  <c r="N81" i="207"/>
  <c r="I81" i="207"/>
  <c r="Q81" i="207" s="1"/>
  <c r="N80" i="207"/>
  <c r="I80" i="207"/>
  <c r="Q80" i="207" s="1"/>
  <c r="N79" i="207"/>
  <c r="I79" i="207"/>
  <c r="Q79" i="207" s="1"/>
  <c r="N78" i="207"/>
  <c r="I78" i="207"/>
  <c r="N77" i="207"/>
  <c r="I77" i="207"/>
  <c r="Q77" i="207" s="1"/>
  <c r="N76" i="207"/>
  <c r="I76" i="207"/>
  <c r="N75" i="207"/>
  <c r="I75" i="207"/>
  <c r="Q75" i="207" s="1"/>
  <c r="N74" i="207"/>
  <c r="I74" i="207"/>
  <c r="Q74" i="207" s="1"/>
  <c r="N73" i="207"/>
  <c r="I73" i="207"/>
  <c r="Q73" i="207" s="1"/>
  <c r="N72" i="207"/>
  <c r="I72" i="207"/>
  <c r="N71" i="207"/>
  <c r="I71" i="207"/>
  <c r="Q71" i="207" s="1"/>
  <c r="N70" i="207"/>
  <c r="I70" i="207"/>
  <c r="N69" i="207"/>
  <c r="I69" i="207"/>
  <c r="Q69" i="207" s="1"/>
  <c r="N68" i="207"/>
  <c r="I68" i="207"/>
  <c r="Q68" i="207" s="1"/>
  <c r="N67" i="207"/>
  <c r="I67" i="207"/>
  <c r="Q67" i="207" s="1"/>
  <c r="N66" i="207"/>
  <c r="I66" i="207"/>
  <c r="N65" i="207"/>
  <c r="I65" i="207"/>
  <c r="Q65" i="207" s="1"/>
  <c r="N64" i="207"/>
  <c r="I64" i="207"/>
  <c r="N63" i="207"/>
  <c r="I63" i="207"/>
  <c r="Q63" i="207" s="1"/>
  <c r="N62" i="207"/>
  <c r="I62" i="207"/>
  <c r="Q62" i="207" s="1"/>
  <c r="N61" i="207"/>
  <c r="I61" i="207"/>
  <c r="Q61" i="207" s="1"/>
  <c r="N60" i="207"/>
  <c r="I60" i="207"/>
  <c r="N59" i="207"/>
  <c r="I59" i="207"/>
  <c r="Q59" i="207" s="1"/>
  <c r="N58" i="207"/>
  <c r="I58" i="207"/>
  <c r="N57" i="207"/>
  <c r="I57" i="207"/>
  <c r="Q57" i="207" s="1"/>
  <c r="N56" i="207"/>
  <c r="I56" i="207"/>
  <c r="Q56" i="207" s="1"/>
  <c r="N55" i="207"/>
  <c r="I55" i="207"/>
  <c r="Q55" i="207" s="1"/>
  <c r="N54" i="207"/>
  <c r="I54" i="207"/>
  <c r="N53" i="207"/>
  <c r="I53" i="207"/>
  <c r="Q53" i="207" s="1"/>
  <c r="N52" i="207"/>
  <c r="I52" i="207"/>
  <c r="N51" i="207"/>
  <c r="I51" i="207"/>
  <c r="Q51" i="207" s="1"/>
  <c r="N50" i="207"/>
  <c r="I50" i="207"/>
  <c r="Q50" i="207" s="1"/>
  <c r="N49" i="207"/>
  <c r="I49" i="207"/>
  <c r="Q49" i="207" s="1"/>
  <c r="N48" i="207"/>
  <c r="I48" i="207"/>
  <c r="N47" i="207"/>
  <c r="I47" i="207"/>
  <c r="Q47" i="207" s="1"/>
  <c r="N46" i="207"/>
  <c r="I46" i="207"/>
  <c r="N45" i="207"/>
  <c r="I45" i="207"/>
  <c r="Q45" i="207" s="1"/>
  <c r="N44" i="207"/>
  <c r="I44" i="207"/>
  <c r="Q44" i="207" s="1"/>
  <c r="N43" i="207"/>
  <c r="I43" i="207"/>
  <c r="Q43" i="207" s="1"/>
  <c r="N42" i="207"/>
  <c r="I42" i="207"/>
  <c r="N41" i="207"/>
  <c r="I41" i="207"/>
  <c r="Q41" i="207" s="1"/>
  <c r="N40" i="207"/>
  <c r="I40" i="207"/>
  <c r="N39" i="207"/>
  <c r="I39" i="207"/>
  <c r="Q39" i="207" s="1"/>
  <c r="N38" i="207"/>
  <c r="I38" i="207"/>
  <c r="Q38" i="207" s="1"/>
  <c r="N37" i="207"/>
  <c r="I37" i="207"/>
  <c r="Q37" i="207" s="1"/>
  <c r="N36" i="207"/>
  <c r="I36" i="207"/>
  <c r="N35" i="207"/>
  <c r="I35" i="207"/>
  <c r="Q35" i="207" s="1"/>
  <c r="N34" i="207"/>
  <c r="I34" i="207"/>
  <c r="N33" i="207"/>
  <c r="I33" i="207"/>
  <c r="Q33" i="207" s="1"/>
  <c r="N32" i="207"/>
  <c r="I32" i="207"/>
  <c r="Q32" i="207" s="1"/>
  <c r="N31" i="207"/>
  <c r="I31" i="207"/>
  <c r="Q31" i="207" s="1"/>
  <c r="N30" i="207"/>
  <c r="I30" i="207"/>
  <c r="N29" i="207"/>
  <c r="I29" i="207"/>
  <c r="Q29" i="207" s="1"/>
  <c r="N28" i="207"/>
  <c r="I28" i="207"/>
  <c r="N27" i="207"/>
  <c r="I27" i="207"/>
  <c r="Q27" i="207" s="1"/>
  <c r="N26" i="207"/>
  <c r="I26" i="207"/>
  <c r="Q26" i="207" s="1"/>
  <c r="N25" i="207"/>
  <c r="I25" i="207"/>
  <c r="Q25" i="207" s="1"/>
  <c r="N24" i="207"/>
  <c r="I24" i="207"/>
  <c r="N23" i="207"/>
  <c r="I23" i="207"/>
  <c r="Q23" i="207" s="1"/>
  <c r="N22" i="207"/>
  <c r="I22" i="207"/>
  <c r="N21" i="207"/>
  <c r="I21" i="207"/>
  <c r="Q21" i="207" s="1"/>
  <c r="N20" i="207"/>
  <c r="I20" i="207"/>
  <c r="Q20" i="207" s="1"/>
  <c r="N19" i="207"/>
  <c r="I19" i="207"/>
  <c r="Q19" i="207" s="1"/>
  <c r="N18" i="207"/>
  <c r="I18" i="207"/>
  <c r="N17" i="207"/>
  <c r="I17" i="207"/>
  <c r="Q17" i="207" s="1"/>
  <c r="N16" i="207"/>
  <c r="I16" i="207"/>
  <c r="N15" i="207"/>
  <c r="I15" i="207"/>
  <c r="Q15" i="207" s="1"/>
  <c r="N14" i="207"/>
  <c r="I14" i="207"/>
  <c r="Q14" i="207" s="1"/>
  <c r="N13" i="207"/>
  <c r="I13" i="207"/>
  <c r="Q13" i="207" s="1"/>
  <c r="N12" i="207"/>
  <c r="I12" i="207"/>
  <c r="N11" i="207"/>
  <c r="I11" i="207"/>
  <c r="Q11" i="207" s="1"/>
  <c r="N10" i="207"/>
  <c r="I10" i="207"/>
  <c r="N9" i="207"/>
  <c r="I9" i="207"/>
  <c r="Q9" i="207" s="1"/>
  <c r="N8" i="207"/>
  <c r="I8" i="207"/>
  <c r="Q8" i="207" s="1"/>
  <c r="N7" i="207"/>
  <c r="I7" i="207"/>
  <c r="Q7" i="207" s="1"/>
  <c r="N6" i="207"/>
  <c r="I6" i="207"/>
  <c r="A6" i="207"/>
  <c r="A7" i="207" s="1"/>
  <c r="A8" i="207" s="1"/>
  <c r="A9" i="207" s="1"/>
  <c r="A10" i="207" s="1"/>
  <c r="A11" i="207" s="1"/>
  <c r="A12" i="207" s="1"/>
  <c r="A13" i="207" s="1"/>
  <c r="A14" i="207" s="1"/>
  <c r="A15" i="207" s="1"/>
  <c r="A16" i="207" s="1"/>
  <c r="A17" i="207" s="1"/>
  <c r="A18" i="207" s="1"/>
  <c r="A19" i="207" s="1"/>
  <c r="A20" i="207" s="1"/>
  <c r="A21" i="207" s="1"/>
  <c r="A22" i="207" s="1"/>
  <c r="A23" i="207" s="1"/>
  <c r="A24" i="207" s="1"/>
  <c r="A25" i="207" s="1"/>
  <c r="A26" i="207" s="1"/>
  <c r="A27" i="207" s="1"/>
  <c r="A28" i="207" s="1"/>
  <c r="A29" i="207" s="1"/>
  <c r="A30" i="207" s="1"/>
  <c r="A31" i="207" s="1"/>
  <c r="A32" i="207" s="1"/>
  <c r="A33" i="207" s="1"/>
  <c r="A34" i="207" s="1"/>
  <c r="A35" i="207" s="1"/>
  <c r="A36" i="207" s="1"/>
  <c r="A37" i="207" s="1"/>
  <c r="A38" i="207" s="1"/>
  <c r="A39" i="207" s="1"/>
  <c r="A40" i="207" s="1"/>
  <c r="A41" i="207" s="1"/>
  <c r="A42" i="207" s="1"/>
  <c r="A43" i="207" s="1"/>
  <c r="A44" i="207" s="1"/>
  <c r="A45" i="207" s="1"/>
  <c r="A46" i="207" s="1"/>
  <c r="A47" i="207" s="1"/>
  <c r="A48" i="207" s="1"/>
  <c r="A49" i="207" s="1"/>
  <c r="A50" i="207" s="1"/>
  <c r="A51" i="207" s="1"/>
  <c r="A52" i="207" s="1"/>
  <c r="A53" i="207" s="1"/>
  <c r="A54" i="207" s="1"/>
  <c r="A55" i="207" s="1"/>
  <c r="A56" i="207" s="1"/>
  <c r="A57" i="207" s="1"/>
  <c r="A58" i="207" s="1"/>
  <c r="A59" i="207" s="1"/>
  <c r="A60" i="207" s="1"/>
  <c r="A61" i="207" s="1"/>
  <c r="A62" i="207" s="1"/>
  <c r="A63" i="207" s="1"/>
  <c r="A64" i="207" s="1"/>
  <c r="A65" i="207" s="1"/>
  <c r="A66" i="207" s="1"/>
  <c r="A67" i="207" s="1"/>
  <c r="A68" i="207" s="1"/>
  <c r="A69" i="207" s="1"/>
  <c r="A70" i="207" s="1"/>
  <c r="A71" i="207" s="1"/>
  <c r="A72" i="207" s="1"/>
  <c r="A73" i="207" s="1"/>
  <c r="A74" i="207" s="1"/>
  <c r="A75" i="207" s="1"/>
  <c r="A76" i="207" s="1"/>
  <c r="A77" i="207" s="1"/>
  <c r="A78" i="207" s="1"/>
  <c r="A79" i="207" s="1"/>
  <c r="A80" i="207" s="1"/>
  <c r="A81" i="207" s="1"/>
  <c r="A82" i="207" s="1"/>
  <c r="A83" i="207" s="1"/>
  <c r="A84" i="207" s="1"/>
  <c r="A85" i="207" s="1"/>
  <c r="A86" i="207" s="1"/>
  <c r="A87" i="207" s="1"/>
  <c r="A88" i="207" s="1"/>
  <c r="A89" i="207" s="1"/>
  <c r="A90" i="207" s="1"/>
  <c r="A91" i="207" s="1"/>
  <c r="A92" i="207" s="1"/>
  <c r="A93" i="207" s="1"/>
  <c r="A94" i="207" s="1"/>
  <c r="A95" i="207" s="1"/>
  <c r="A96" i="207" s="1"/>
  <c r="A97" i="207" s="1"/>
  <c r="A98" i="207" s="1"/>
  <c r="A99" i="207" s="1"/>
  <c r="A100" i="207" s="1"/>
  <c r="A101" i="207" s="1"/>
  <c r="A102" i="207" s="1"/>
  <c r="A103" i="207" s="1"/>
  <c r="A104" i="207" s="1"/>
  <c r="A105" i="207" s="1"/>
  <c r="A106" i="207" s="1"/>
  <c r="A107" i="207" s="1"/>
  <c r="A108" i="207" s="1"/>
  <c r="A109" i="207" s="1"/>
  <c r="A110" i="207" s="1"/>
  <c r="A111" i="207" s="1"/>
  <c r="A112" i="207" s="1"/>
  <c r="A113" i="207" s="1"/>
  <c r="A114" i="207" s="1"/>
  <c r="A115" i="207" s="1"/>
  <c r="A116" i="207" s="1"/>
  <c r="A117" i="207" s="1"/>
  <c r="A118" i="207" s="1"/>
  <c r="A119" i="207" s="1"/>
  <c r="A120" i="207" s="1"/>
  <c r="A121" i="207" s="1"/>
  <c r="A122" i="207" s="1"/>
  <c r="A123" i="207" s="1"/>
  <c r="A124" i="207" s="1"/>
  <c r="A125" i="207" s="1"/>
  <c r="A126" i="207" s="1"/>
  <c r="A127" i="207" s="1"/>
  <c r="A128" i="207" s="1"/>
  <c r="A129" i="207" s="1"/>
  <c r="A130" i="207" s="1"/>
  <c r="A131" i="207" s="1"/>
  <c r="A132" i="207" s="1"/>
  <c r="A133" i="207" s="1"/>
  <c r="A134" i="207" s="1"/>
  <c r="A135" i="207" s="1"/>
  <c r="A136" i="207" s="1"/>
  <c r="A137" i="207" s="1"/>
  <c r="A138" i="207" s="1"/>
  <c r="A139" i="207" s="1"/>
  <c r="A140" i="207" s="1"/>
  <c r="A141" i="207" s="1"/>
  <c r="A142" i="207" s="1"/>
  <c r="A143" i="207" s="1"/>
  <c r="A144" i="207" s="1"/>
  <c r="A145" i="207" s="1"/>
  <c r="A146" i="207" s="1"/>
  <c r="A147" i="207" s="1"/>
  <c r="A148" i="207" s="1"/>
  <c r="A149" i="207" s="1"/>
  <c r="A150" i="207" s="1"/>
  <c r="A151" i="207" s="1"/>
  <c r="A152" i="207" s="1"/>
  <c r="A153" i="207" s="1"/>
  <c r="A154" i="207" s="1"/>
  <c r="A155" i="207" s="1"/>
  <c r="A156" i="207" s="1"/>
  <c r="A157" i="207" s="1"/>
  <c r="A158" i="207" s="1"/>
  <c r="A159" i="207" s="1"/>
  <c r="A160" i="207" s="1"/>
  <c r="A161" i="207" s="1"/>
  <c r="A162" i="207" s="1"/>
  <c r="A163" i="207" s="1"/>
  <c r="A164" i="207" s="1"/>
  <c r="A165" i="207" s="1"/>
  <c r="A166" i="207" s="1"/>
  <c r="A167" i="207" s="1"/>
  <c r="A168" i="207" s="1"/>
  <c r="A169" i="207" s="1"/>
  <c r="A170" i="207" s="1"/>
  <c r="A171" i="207" s="1"/>
  <c r="A172" i="207" s="1"/>
  <c r="A173" i="207" s="1"/>
  <c r="A174" i="207" s="1"/>
  <c r="A175" i="207" s="1"/>
  <c r="A176" i="207" s="1"/>
  <c r="A177" i="207" s="1"/>
  <c r="A178" i="207" s="1"/>
  <c r="A179" i="207" s="1"/>
  <c r="A180" i="207" s="1"/>
  <c r="A181" i="207" s="1"/>
  <c r="A182" i="207" s="1"/>
  <c r="A183" i="207" s="1"/>
  <c r="A184" i="207" s="1"/>
  <c r="A185" i="207" s="1"/>
  <c r="A186" i="207" s="1"/>
  <c r="A187" i="207" s="1"/>
  <c r="A188" i="207" s="1"/>
  <c r="A189" i="207" s="1"/>
  <c r="A190" i="207" s="1"/>
  <c r="A191" i="207" s="1"/>
  <c r="A192" i="207" s="1"/>
  <c r="A193" i="207" s="1"/>
  <c r="A194" i="207" s="1"/>
  <c r="A195" i="207" s="1"/>
  <c r="A196" i="207" s="1"/>
  <c r="A197" i="207" s="1"/>
  <c r="A198" i="207" s="1"/>
  <c r="A199" i="207" s="1"/>
  <c r="A200" i="207" s="1"/>
  <c r="A201" i="207" s="1"/>
  <c r="A202" i="207" s="1"/>
  <c r="A203" i="207" s="1"/>
  <c r="A204" i="207" s="1"/>
  <c r="N5" i="207"/>
  <c r="I5" i="207"/>
  <c r="N204" i="206"/>
  <c r="I204" i="206"/>
  <c r="Q204" i="206" s="1"/>
  <c r="N203" i="206"/>
  <c r="I203" i="206"/>
  <c r="N202" i="206"/>
  <c r="I202" i="206"/>
  <c r="N201" i="206"/>
  <c r="I201" i="206"/>
  <c r="Q201" i="206" s="1"/>
  <c r="N200" i="206"/>
  <c r="I200" i="206"/>
  <c r="Q200" i="206" s="1"/>
  <c r="N199" i="206"/>
  <c r="I199" i="206"/>
  <c r="N198" i="206"/>
  <c r="I198" i="206"/>
  <c r="Q198" i="206" s="1"/>
  <c r="N197" i="206"/>
  <c r="I197" i="206"/>
  <c r="N196" i="206"/>
  <c r="I196" i="206"/>
  <c r="N195" i="206"/>
  <c r="I195" i="206"/>
  <c r="Q195" i="206" s="1"/>
  <c r="N194" i="206"/>
  <c r="I194" i="206"/>
  <c r="Q194" i="206" s="1"/>
  <c r="N193" i="206"/>
  <c r="I193" i="206"/>
  <c r="N192" i="206"/>
  <c r="I192" i="206"/>
  <c r="Q192" i="206" s="1"/>
  <c r="N191" i="206"/>
  <c r="I191" i="206"/>
  <c r="N190" i="206"/>
  <c r="I190" i="206"/>
  <c r="N189" i="206"/>
  <c r="I189" i="206"/>
  <c r="Q189" i="206" s="1"/>
  <c r="N188" i="206"/>
  <c r="I188" i="206"/>
  <c r="Q188" i="206" s="1"/>
  <c r="N187" i="206"/>
  <c r="I187" i="206"/>
  <c r="N186" i="206"/>
  <c r="I186" i="206"/>
  <c r="Q186" i="206" s="1"/>
  <c r="N185" i="206"/>
  <c r="I185" i="206"/>
  <c r="N184" i="206"/>
  <c r="I184" i="206"/>
  <c r="N183" i="206"/>
  <c r="I183" i="206"/>
  <c r="Q183" i="206" s="1"/>
  <c r="N182" i="206"/>
  <c r="I182" i="206"/>
  <c r="Q182" i="206" s="1"/>
  <c r="N181" i="206"/>
  <c r="I181" i="206"/>
  <c r="N180" i="206"/>
  <c r="I180" i="206"/>
  <c r="Q180" i="206" s="1"/>
  <c r="N179" i="206"/>
  <c r="I179" i="206"/>
  <c r="N178" i="206"/>
  <c r="I178" i="206"/>
  <c r="N177" i="206"/>
  <c r="I177" i="206"/>
  <c r="Q177" i="206" s="1"/>
  <c r="N176" i="206"/>
  <c r="I176" i="206"/>
  <c r="Q176" i="206" s="1"/>
  <c r="N175" i="206"/>
  <c r="I175" i="206"/>
  <c r="N174" i="206"/>
  <c r="I174" i="206"/>
  <c r="Q174" i="206" s="1"/>
  <c r="N173" i="206"/>
  <c r="I173" i="206"/>
  <c r="N172" i="206"/>
  <c r="I172" i="206"/>
  <c r="N171" i="206"/>
  <c r="I171" i="206"/>
  <c r="Q171" i="206" s="1"/>
  <c r="N170" i="206"/>
  <c r="I170" i="206"/>
  <c r="Q170" i="206" s="1"/>
  <c r="N169" i="206"/>
  <c r="I169" i="206"/>
  <c r="N168" i="206"/>
  <c r="I168" i="206"/>
  <c r="Q168" i="206" s="1"/>
  <c r="N167" i="206"/>
  <c r="I167" i="206"/>
  <c r="N166" i="206"/>
  <c r="I166" i="206"/>
  <c r="N165" i="206"/>
  <c r="I165" i="206"/>
  <c r="Q165" i="206" s="1"/>
  <c r="N164" i="206"/>
  <c r="I164" i="206"/>
  <c r="Q164" i="206" s="1"/>
  <c r="N163" i="206"/>
  <c r="I163" i="206"/>
  <c r="N162" i="206"/>
  <c r="I162" i="206"/>
  <c r="Q162" i="206" s="1"/>
  <c r="N161" i="206"/>
  <c r="I161" i="206"/>
  <c r="N160" i="206"/>
  <c r="I160" i="206"/>
  <c r="N159" i="206"/>
  <c r="I159" i="206"/>
  <c r="Q159" i="206" s="1"/>
  <c r="N158" i="206"/>
  <c r="I158" i="206"/>
  <c r="Q158" i="206" s="1"/>
  <c r="N157" i="206"/>
  <c r="I157" i="206"/>
  <c r="N156" i="206"/>
  <c r="I156" i="206"/>
  <c r="Q156" i="206" s="1"/>
  <c r="N155" i="206"/>
  <c r="I155" i="206"/>
  <c r="N154" i="206"/>
  <c r="I154" i="206"/>
  <c r="N153" i="206"/>
  <c r="I153" i="206"/>
  <c r="Q153" i="206" s="1"/>
  <c r="N152" i="206"/>
  <c r="I152" i="206"/>
  <c r="Q152" i="206" s="1"/>
  <c r="N151" i="206"/>
  <c r="I151" i="206"/>
  <c r="N150" i="206"/>
  <c r="I150" i="206"/>
  <c r="Q150" i="206" s="1"/>
  <c r="N149" i="206"/>
  <c r="I149" i="206"/>
  <c r="N148" i="206"/>
  <c r="I148" i="206"/>
  <c r="N147" i="206"/>
  <c r="I147" i="206"/>
  <c r="Q147" i="206" s="1"/>
  <c r="N146" i="206"/>
  <c r="I146" i="206"/>
  <c r="Q146" i="206" s="1"/>
  <c r="N145" i="206"/>
  <c r="I145" i="206"/>
  <c r="N144" i="206"/>
  <c r="I144" i="206"/>
  <c r="Q144" i="206" s="1"/>
  <c r="N143" i="206"/>
  <c r="I143" i="206"/>
  <c r="N142" i="206"/>
  <c r="I142" i="206"/>
  <c r="N141" i="206"/>
  <c r="I141" i="206"/>
  <c r="Q141" i="206" s="1"/>
  <c r="N140" i="206"/>
  <c r="I140" i="206"/>
  <c r="Q140" i="206" s="1"/>
  <c r="N139" i="206"/>
  <c r="I139" i="206"/>
  <c r="N138" i="206"/>
  <c r="I138" i="206"/>
  <c r="Q138" i="206" s="1"/>
  <c r="N137" i="206"/>
  <c r="I137" i="206"/>
  <c r="N136" i="206"/>
  <c r="I136" i="206"/>
  <c r="N135" i="206"/>
  <c r="I135" i="206"/>
  <c r="Q135" i="206" s="1"/>
  <c r="N134" i="206"/>
  <c r="I134" i="206"/>
  <c r="Q134" i="206" s="1"/>
  <c r="N133" i="206"/>
  <c r="I133" i="206"/>
  <c r="N132" i="206"/>
  <c r="I132" i="206"/>
  <c r="Q132" i="206" s="1"/>
  <c r="N131" i="206"/>
  <c r="I131" i="206"/>
  <c r="N130" i="206"/>
  <c r="I130" i="206"/>
  <c r="N129" i="206"/>
  <c r="I129" i="206"/>
  <c r="Q129" i="206" s="1"/>
  <c r="N128" i="206"/>
  <c r="I128" i="206"/>
  <c r="Q128" i="206" s="1"/>
  <c r="N127" i="206"/>
  <c r="I127" i="206"/>
  <c r="N126" i="206"/>
  <c r="I126" i="206"/>
  <c r="Q126" i="206" s="1"/>
  <c r="N125" i="206"/>
  <c r="I125" i="206"/>
  <c r="N124" i="206"/>
  <c r="I124" i="206"/>
  <c r="N123" i="206"/>
  <c r="I123" i="206"/>
  <c r="Q123" i="206" s="1"/>
  <c r="N122" i="206"/>
  <c r="I122" i="206"/>
  <c r="Q122" i="206" s="1"/>
  <c r="N121" i="206"/>
  <c r="I121" i="206"/>
  <c r="N120" i="206"/>
  <c r="I120" i="206"/>
  <c r="Q120" i="206" s="1"/>
  <c r="N119" i="206"/>
  <c r="I119" i="206"/>
  <c r="N118" i="206"/>
  <c r="I118" i="206"/>
  <c r="N117" i="206"/>
  <c r="I117" i="206"/>
  <c r="Q117" i="206" s="1"/>
  <c r="N116" i="206"/>
  <c r="I116" i="206"/>
  <c r="Q116" i="206" s="1"/>
  <c r="N115" i="206"/>
  <c r="I115" i="206"/>
  <c r="N114" i="206"/>
  <c r="I114" i="206"/>
  <c r="Q114" i="206" s="1"/>
  <c r="N113" i="206"/>
  <c r="I113" i="206"/>
  <c r="N112" i="206"/>
  <c r="I112" i="206"/>
  <c r="N111" i="206"/>
  <c r="I111" i="206"/>
  <c r="Q111" i="206" s="1"/>
  <c r="N110" i="206"/>
  <c r="I110" i="206"/>
  <c r="Q110" i="206" s="1"/>
  <c r="N109" i="206"/>
  <c r="I109" i="206"/>
  <c r="N108" i="206"/>
  <c r="I108" i="206"/>
  <c r="Q108" i="206" s="1"/>
  <c r="N107" i="206"/>
  <c r="I107" i="206"/>
  <c r="N106" i="206"/>
  <c r="I106" i="206"/>
  <c r="N105" i="206"/>
  <c r="I105" i="206"/>
  <c r="Q105" i="206" s="1"/>
  <c r="N104" i="206"/>
  <c r="I104" i="206"/>
  <c r="Q104" i="206" s="1"/>
  <c r="N103" i="206"/>
  <c r="I103" i="206"/>
  <c r="N102" i="206"/>
  <c r="I102" i="206"/>
  <c r="Q102" i="206" s="1"/>
  <c r="N101" i="206"/>
  <c r="I101" i="206"/>
  <c r="N100" i="206"/>
  <c r="I100" i="206"/>
  <c r="N99" i="206"/>
  <c r="I99" i="206"/>
  <c r="Q99" i="206" s="1"/>
  <c r="N98" i="206"/>
  <c r="I98" i="206"/>
  <c r="Q98" i="206" s="1"/>
  <c r="N97" i="206"/>
  <c r="I97" i="206"/>
  <c r="N96" i="206"/>
  <c r="I96" i="206"/>
  <c r="Q96" i="206" s="1"/>
  <c r="N95" i="206"/>
  <c r="I95" i="206"/>
  <c r="N94" i="206"/>
  <c r="I94" i="206"/>
  <c r="N93" i="206"/>
  <c r="I93" i="206"/>
  <c r="Q93" i="206" s="1"/>
  <c r="N92" i="206"/>
  <c r="I92" i="206"/>
  <c r="Q92" i="206" s="1"/>
  <c r="N91" i="206"/>
  <c r="I91" i="206"/>
  <c r="N90" i="206"/>
  <c r="I90" i="206"/>
  <c r="Q90" i="206" s="1"/>
  <c r="N89" i="206"/>
  <c r="I89" i="206"/>
  <c r="N88" i="206"/>
  <c r="I88" i="206"/>
  <c r="N87" i="206"/>
  <c r="I87" i="206"/>
  <c r="Q87" i="206" s="1"/>
  <c r="N86" i="206"/>
  <c r="I86" i="206"/>
  <c r="Q86" i="206" s="1"/>
  <c r="N85" i="206"/>
  <c r="I85" i="206"/>
  <c r="N84" i="206"/>
  <c r="I84" i="206"/>
  <c r="Q84" i="206" s="1"/>
  <c r="N83" i="206"/>
  <c r="I83" i="206"/>
  <c r="N82" i="206"/>
  <c r="I82" i="206"/>
  <c r="N81" i="206"/>
  <c r="I81" i="206"/>
  <c r="Q81" i="206" s="1"/>
  <c r="N80" i="206"/>
  <c r="I80" i="206"/>
  <c r="Q80" i="206" s="1"/>
  <c r="N79" i="206"/>
  <c r="I79" i="206"/>
  <c r="N78" i="206"/>
  <c r="I78" i="206"/>
  <c r="Q78" i="206" s="1"/>
  <c r="N77" i="206"/>
  <c r="I77" i="206"/>
  <c r="N76" i="206"/>
  <c r="I76" i="206"/>
  <c r="N75" i="206"/>
  <c r="I75" i="206"/>
  <c r="Q75" i="206" s="1"/>
  <c r="N74" i="206"/>
  <c r="I74" i="206"/>
  <c r="Q74" i="206" s="1"/>
  <c r="N73" i="206"/>
  <c r="I73" i="206"/>
  <c r="N72" i="206"/>
  <c r="I72" i="206"/>
  <c r="Q72" i="206" s="1"/>
  <c r="N71" i="206"/>
  <c r="I71" i="206"/>
  <c r="N70" i="206"/>
  <c r="I70" i="206"/>
  <c r="N69" i="206"/>
  <c r="I69" i="206"/>
  <c r="Q69" i="206" s="1"/>
  <c r="N68" i="206"/>
  <c r="I68" i="206"/>
  <c r="Q68" i="206" s="1"/>
  <c r="N67" i="206"/>
  <c r="I67" i="206"/>
  <c r="N66" i="206"/>
  <c r="I66" i="206"/>
  <c r="Q66" i="206" s="1"/>
  <c r="N65" i="206"/>
  <c r="I65" i="206"/>
  <c r="N64" i="206"/>
  <c r="I64" i="206"/>
  <c r="N63" i="206"/>
  <c r="I63" i="206"/>
  <c r="Q63" i="206" s="1"/>
  <c r="N62" i="206"/>
  <c r="I62" i="206"/>
  <c r="Q62" i="206" s="1"/>
  <c r="N61" i="206"/>
  <c r="I61" i="206"/>
  <c r="N60" i="206"/>
  <c r="I60" i="206"/>
  <c r="Q60" i="206" s="1"/>
  <c r="N59" i="206"/>
  <c r="I59" i="206"/>
  <c r="N58" i="206"/>
  <c r="I58" i="206"/>
  <c r="N57" i="206"/>
  <c r="I57" i="206"/>
  <c r="Q57" i="206" s="1"/>
  <c r="N56" i="206"/>
  <c r="I56" i="206"/>
  <c r="Q56" i="206" s="1"/>
  <c r="N55" i="206"/>
  <c r="I55" i="206"/>
  <c r="N54" i="206"/>
  <c r="I54" i="206"/>
  <c r="Q54" i="206" s="1"/>
  <c r="N53" i="206"/>
  <c r="I53" i="206"/>
  <c r="N52" i="206"/>
  <c r="I52" i="206"/>
  <c r="N51" i="206"/>
  <c r="I51" i="206"/>
  <c r="Q51" i="206" s="1"/>
  <c r="N50" i="206"/>
  <c r="I50" i="206"/>
  <c r="Q50" i="206" s="1"/>
  <c r="N49" i="206"/>
  <c r="I49" i="206"/>
  <c r="N48" i="206"/>
  <c r="I48" i="206"/>
  <c r="Q48" i="206" s="1"/>
  <c r="N47" i="206"/>
  <c r="I47" i="206"/>
  <c r="N46" i="206"/>
  <c r="I46" i="206"/>
  <c r="N45" i="206"/>
  <c r="I45" i="206"/>
  <c r="Q45" i="206" s="1"/>
  <c r="N44" i="206"/>
  <c r="I44" i="206"/>
  <c r="Q44" i="206" s="1"/>
  <c r="N43" i="206"/>
  <c r="I43" i="206"/>
  <c r="N42" i="206"/>
  <c r="I42" i="206"/>
  <c r="Q42" i="206" s="1"/>
  <c r="N41" i="206"/>
  <c r="I41" i="206"/>
  <c r="N40" i="206"/>
  <c r="I40" i="206"/>
  <c r="N39" i="206"/>
  <c r="I39" i="206"/>
  <c r="Q39" i="206" s="1"/>
  <c r="N38" i="206"/>
  <c r="I38" i="206"/>
  <c r="Q38" i="206" s="1"/>
  <c r="N37" i="206"/>
  <c r="I37" i="206"/>
  <c r="N36" i="206"/>
  <c r="I36" i="206"/>
  <c r="Q36" i="206" s="1"/>
  <c r="N35" i="206"/>
  <c r="I35" i="206"/>
  <c r="N34" i="206"/>
  <c r="I34" i="206"/>
  <c r="N33" i="206"/>
  <c r="I33" i="206"/>
  <c r="Q33" i="206" s="1"/>
  <c r="N32" i="206"/>
  <c r="I32" i="206"/>
  <c r="Q32" i="206" s="1"/>
  <c r="N31" i="206"/>
  <c r="I31" i="206"/>
  <c r="N30" i="206"/>
  <c r="I30" i="206"/>
  <c r="Q30" i="206" s="1"/>
  <c r="N29" i="206"/>
  <c r="I29" i="206"/>
  <c r="N28" i="206"/>
  <c r="I28" i="206"/>
  <c r="N27" i="206"/>
  <c r="I27" i="206"/>
  <c r="Q27" i="206" s="1"/>
  <c r="N26" i="206"/>
  <c r="I26" i="206"/>
  <c r="Q26" i="206" s="1"/>
  <c r="N25" i="206"/>
  <c r="I25" i="206"/>
  <c r="N24" i="206"/>
  <c r="I24" i="206"/>
  <c r="Q24" i="206" s="1"/>
  <c r="N23" i="206"/>
  <c r="I23" i="206"/>
  <c r="N22" i="206"/>
  <c r="I22" i="206"/>
  <c r="N21" i="206"/>
  <c r="I21" i="206"/>
  <c r="Q21" i="206" s="1"/>
  <c r="N20" i="206"/>
  <c r="I20" i="206"/>
  <c r="Q20" i="206" s="1"/>
  <c r="N19" i="206"/>
  <c r="I19" i="206"/>
  <c r="N18" i="206"/>
  <c r="I18" i="206"/>
  <c r="Q18" i="206" s="1"/>
  <c r="N17" i="206"/>
  <c r="I17" i="206"/>
  <c r="N16" i="206"/>
  <c r="I16" i="206"/>
  <c r="N15" i="206"/>
  <c r="I15" i="206"/>
  <c r="Q15" i="206" s="1"/>
  <c r="N14" i="206"/>
  <c r="I14" i="206"/>
  <c r="Q14" i="206" s="1"/>
  <c r="N13" i="206"/>
  <c r="I13" i="206"/>
  <c r="N12" i="206"/>
  <c r="I12" i="206"/>
  <c r="Q12" i="206" s="1"/>
  <c r="N11" i="206"/>
  <c r="I11" i="206"/>
  <c r="Q11" i="206" s="1"/>
  <c r="N10" i="206"/>
  <c r="I10" i="206"/>
  <c r="N9" i="206"/>
  <c r="I9" i="206"/>
  <c r="Q9" i="206" s="1"/>
  <c r="N8" i="206"/>
  <c r="I8" i="206"/>
  <c r="Q8" i="206" s="1"/>
  <c r="N7" i="206"/>
  <c r="I7" i="206"/>
  <c r="N6" i="206"/>
  <c r="I6" i="206"/>
  <c r="Q6" i="206" s="1"/>
  <c r="A6" i="206"/>
  <c r="A7" i="206" s="1"/>
  <c r="A8" i="206" s="1"/>
  <c r="A9" i="206" s="1"/>
  <c r="A10" i="206" s="1"/>
  <c r="A11" i="206" s="1"/>
  <c r="A12" i="206" s="1"/>
  <c r="A13" i="206" s="1"/>
  <c r="A14" i="206" s="1"/>
  <c r="A15" i="206" s="1"/>
  <c r="A16" i="206" s="1"/>
  <c r="A17" i="206" s="1"/>
  <c r="A18" i="206" s="1"/>
  <c r="A19" i="206" s="1"/>
  <c r="A20" i="206" s="1"/>
  <c r="A21" i="206" s="1"/>
  <c r="A22" i="206" s="1"/>
  <c r="A23" i="206" s="1"/>
  <c r="A24" i="206" s="1"/>
  <c r="A25" i="206" s="1"/>
  <c r="A26" i="206" s="1"/>
  <c r="A27" i="206" s="1"/>
  <c r="A28" i="206" s="1"/>
  <c r="A29" i="206" s="1"/>
  <c r="A30" i="206" s="1"/>
  <c r="A31" i="206" s="1"/>
  <c r="A32" i="206" s="1"/>
  <c r="A33" i="206" s="1"/>
  <c r="A34" i="206" s="1"/>
  <c r="A35" i="206" s="1"/>
  <c r="A36" i="206" s="1"/>
  <c r="A37" i="206" s="1"/>
  <c r="A38" i="206" s="1"/>
  <c r="A39" i="206" s="1"/>
  <c r="A40" i="206" s="1"/>
  <c r="A41" i="206" s="1"/>
  <c r="A42" i="206" s="1"/>
  <c r="A43" i="206" s="1"/>
  <c r="A44" i="206" s="1"/>
  <c r="A45" i="206" s="1"/>
  <c r="A46" i="206" s="1"/>
  <c r="A47" i="206" s="1"/>
  <c r="A48" i="206" s="1"/>
  <c r="A49" i="206" s="1"/>
  <c r="A50" i="206" s="1"/>
  <c r="A51" i="206" s="1"/>
  <c r="A52" i="206" s="1"/>
  <c r="A53" i="206" s="1"/>
  <c r="A54" i="206" s="1"/>
  <c r="A55" i="206" s="1"/>
  <c r="A56" i="206" s="1"/>
  <c r="A57" i="206" s="1"/>
  <c r="A58" i="206" s="1"/>
  <c r="A59" i="206" s="1"/>
  <c r="A60" i="206" s="1"/>
  <c r="A61" i="206" s="1"/>
  <c r="A62" i="206" s="1"/>
  <c r="A63" i="206" s="1"/>
  <c r="A64" i="206" s="1"/>
  <c r="A65" i="206" s="1"/>
  <c r="A66" i="206" s="1"/>
  <c r="A67" i="206" s="1"/>
  <c r="A68" i="206" s="1"/>
  <c r="A69" i="206" s="1"/>
  <c r="A70" i="206" s="1"/>
  <c r="A71" i="206" s="1"/>
  <c r="A72" i="206" s="1"/>
  <c r="A73" i="206" s="1"/>
  <c r="A74" i="206" s="1"/>
  <c r="A75" i="206" s="1"/>
  <c r="A76" i="206" s="1"/>
  <c r="A77" i="206" s="1"/>
  <c r="A78" i="206" s="1"/>
  <c r="A79" i="206" s="1"/>
  <c r="A80" i="206" s="1"/>
  <c r="A81" i="206" s="1"/>
  <c r="A82" i="206" s="1"/>
  <c r="A83" i="206" s="1"/>
  <c r="A84" i="206" s="1"/>
  <c r="A85" i="206" s="1"/>
  <c r="A86" i="206" s="1"/>
  <c r="A87" i="206" s="1"/>
  <c r="A88" i="206" s="1"/>
  <c r="A89" i="206" s="1"/>
  <c r="A90" i="206" s="1"/>
  <c r="A91" i="206" s="1"/>
  <c r="A92" i="206" s="1"/>
  <c r="A93" i="206" s="1"/>
  <c r="A94" i="206" s="1"/>
  <c r="A95" i="206" s="1"/>
  <c r="A96" i="206" s="1"/>
  <c r="A97" i="206" s="1"/>
  <c r="A98" i="206" s="1"/>
  <c r="A99" i="206" s="1"/>
  <c r="A100" i="206" s="1"/>
  <c r="A101" i="206" s="1"/>
  <c r="A102" i="206" s="1"/>
  <c r="A103" i="206" s="1"/>
  <c r="A104" i="206" s="1"/>
  <c r="A105" i="206" s="1"/>
  <c r="A106" i="206" s="1"/>
  <c r="A107" i="206" s="1"/>
  <c r="A108" i="206" s="1"/>
  <c r="A109" i="206" s="1"/>
  <c r="A110" i="206" s="1"/>
  <c r="A111" i="206" s="1"/>
  <c r="A112" i="206" s="1"/>
  <c r="A113" i="206" s="1"/>
  <c r="A114" i="206" s="1"/>
  <c r="A115" i="206" s="1"/>
  <c r="A116" i="206" s="1"/>
  <c r="A117" i="206" s="1"/>
  <c r="A118" i="206" s="1"/>
  <c r="A119" i="206" s="1"/>
  <c r="A120" i="206" s="1"/>
  <c r="A121" i="206" s="1"/>
  <c r="A122" i="206" s="1"/>
  <c r="A123" i="206" s="1"/>
  <c r="A124" i="206" s="1"/>
  <c r="A125" i="206" s="1"/>
  <c r="A126" i="206" s="1"/>
  <c r="A127" i="206" s="1"/>
  <c r="A128" i="206" s="1"/>
  <c r="A129" i="206" s="1"/>
  <c r="A130" i="206" s="1"/>
  <c r="A131" i="206" s="1"/>
  <c r="A132" i="206" s="1"/>
  <c r="A133" i="206" s="1"/>
  <c r="A134" i="206" s="1"/>
  <c r="A135" i="206" s="1"/>
  <c r="A136" i="206" s="1"/>
  <c r="A137" i="206" s="1"/>
  <c r="A138" i="206" s="1"/>
  <c r="A139" i="206" s="1"/>
  <c r="A140" i="206" s="1"/>
  <c r="A141" i="206" s="1"/>
  <c r="A142" i="206" s="1"/>
  <c r="A143" i="206" s="1"/>
  <c r="A144" i="206" s="1"/>
  <c r="A145" i="206" s="1"/>
  <c r="A146" i="206" s="1"/>
  <c r="A147" i="206" s="1"/>
  <c r="A148" i="206" s="1"/>
  <c r="A149" i="206" s="1"/>
  <c r="A150" i="206" s="1"/>
  <c r="A151" i="206" s="1"/>
  <c r="A152" i="206" s="1"/>
  <c r="A153" i="206" s="1"/>
  <c r="A154" i="206" s="1"/>
  <c r="A155" i="206" s="1"/>
  <c r="A156" i="206" s="1"/>
  <c r="A157" i="206" s="1"/>
  <c r="A158" i="206" s="1"/>
  <c r="A159" i="206" s="1"/>
  <c r="A160" i="206" s="1"/>
  <c r="A161" i="206" s="1"/>
  <c r="A162" i="206" s="1"/>
  <c r="A163" i="206" s="1"/>
  <c r="A164" i="206" s="1"/>
  <c r="A165" i="206" s="1"/>
  <c r="A166" i="206" s="1"/>
  <c r="A167" i="206" s="1"/>
  <c r="A168" i="206" s="1"/>
  <c r="A169" i="206" s="1"/>
  <c r="A170" i="206" s="1"/>
  <c r="A171" i="206" s="1"/>
  <c r="A172" i="206" s="1"/>
  <c r="A173" i="206" s="1"/>
  <c r="A174" i="206" s="1"/>
  <c r="A175" i="206" s="1"/>
  <c r="A176" i="206" s="1"/>
  <c r="A177" i="206" s="1"/>
  <c r="A178" i="206" s="1"/>
  <c r="A179" i="206" s="1"/>
  <c r="A180" i="206" s="1"/>
  <c r="A181" i="206" s="1"/>
  <c r="A182" i="206" s="1"/>
  <c r="A183" i="206" s="1"/>
  <c r="A184" i="206" s="1"/>
  <c r="A185" i="206" s="1"/>
  <c r="A186" i="206" s="1"/>
  <c r="A187" i="206" s="1"/>
  <c r="A188" i="206" s="1"/>
  <c r="A189" i="206" s="1"/>
  <c r="A190" i="206" s="1"/>
  <c r="A191" i="206" s="1"/>
  <c r="A192" i="206" s="1"/>
  <c r="A193" i="206" s="1"/>
  <c r="A194" i="206" s="1"/>
  <c r="A195" i="206" s="1"/>
  <c r="A196" i="206" s="1"/>
  <c r="A197" i="206" s="1"/>
  <c r="A198" i="206" s="1"/>
  <c r="A199" i="206" s="1"/>
  <c r="A200" i="206" s="1"/>
  <c r="A201" i="206" s="1"/>
  <c r="A202" i="206" s="1"/>
  <c r="A203" i="206" s="1"/>
  <c r="A204" i="206" s="1"/>
  <c r="N5" i="206"/>
  <c r="I5" i="206"/>
  <c r="Q5" i="206" s="1"/>
  <c r="B3" i="204"/>
  <c r="Q10" i="207" l="1"/>
  <c r="Q16" i="207"/>
  <c r="Q22" i="207"/>
  <c r="Q28" i="207"/>
  <c r="Q34" i="207"/>
  <c r="Q40" i="207"/>
  <c r="Q46" i="207"/>
  <c r="Q52" i="207"/>
  <c r="Q58" i="207"/>
  <c r="Q64" i="207"/>
  <c r="Q70" i="207"/>
  <c r="Q76" i="207"/>
  <c r="Q82" i="207"/>
  <c r="Q88" i="207"/>
  <c r="Q94" i="207"/>
  <c r="Q100" i="207"/>
  <c r="Q106" i="207"/>
  <c r="Q112" i="207"/>
  <c r="Q118" i="207"/>
  <c r="Q124" i="207"/>
  <c r="Q130" i="207"/>
  <c r="Q136" i="207"/>
  <c r="Q142" i="207"/>
  <c r="Q148" i="207"/>
  <c r="Q154" i="207"/>
  <c r="Q160" i="207"/>
  <c r="Q166" i="207"/>
  <c r="Q172" i="207"/>
  <c r="Q178" i="207"/>
  <c r="Q184" i="207"/>
  <c r="Q190" i="207"/>
  <c r="Q196" i="207"/>
  <c r="Q202" i="207"/>
  <c r="N206" i="209"/>
  <c r="Q7" i="206"/>
  <c r="Q13" i="206"/>
  <c r="Q19" i="206"/>
  <c r="Q25" i="206"/>
  <c r="Q31" i="206"/>
  <c r="Q37" i="206"/>
  <c r="Q43" i="206"/>
  <c r="Q49" i="206"/>
  <c r="Q55" i="206"/>
  <c r="Q61" i="206"/>
  <c r="Q67" i="206"/>
  <c r="Q73" i="206"/>
  <c r="Q79" i="206"/>
  <c r="Q85" i="206"/>
  <c r="Q91" i="206"/>
  <c r="Q97" i="206"/>
  <c r="Q103" i="206"/>
  <c r="Q109" i="206"/>
  <c r="Q115" i="206"/>
  <c r="Q121" i="206"/>
  <c r="Q127" i="206"/>
  <c r="Q133" i="206"/>
  <c r="Q139" i="206"/>
  <c r="Q145" i="206"/>
  <c r="Q151" i="206"/>
  <c r="Q157" i="206"/>
  <c r="Q163" i="206"/>
  <c r="Q169" i="206"/>
  <c r="Q175" i="206"/>
  <c r="Q181" i="206"/>
  <c r="Q187" i="206"/>
  <c r="Q193" i="206"/>
  <c r="Q199" i="206"/>
  <c r="Q5" i="207"/>
  <c r="Q8" i="208"/>
  <c r="Q14" i="208"/>
  <c r="Q20" i="208"/>
  <c r="Q26" i="208"/>
  <c r="Q32" i="208"/>
  <c r="Q38" i="208"/>
  <c r="Q44" i="208"/>
  <c r="Q50" i="208"/>
  <c r="Q56" i="208"/>
  <c r="Q62" i="208"/>
  <c r="Q68" i="208"/>
  <c r="Q74" i="208"/>
  <c r="Q80" i="208"/>
  <c r="Q86" i="208"/>
  <c r="Q92" i="208"/>
  <c r="Q98" i="208"/>
  <c r="Q104" i="208"/>
  <c r="Q110" i="208"/>
  <c r="Q116" i="208"/>
  <c r="Q122" i="208"/>
  <c r="Q128" i="208"/>
  <c r="Q134" i="208"/>
  <c r="Q140" i="208"/>
  <c r="Q146" i="208"/>
  <c r="Q152" i="208"/>
  <c r="Q158" i="208"/>
  <c r="Q164" i="208"/>
  <c r="Q170" i="208"/>
  <c r="Q176" i="208"/>
  <c r="Q182" i="208"/>
  <c r="Q188" i="208"/>
  <c r="Q194" i="208"/>
  <c r="Q200" i="208"/>
  <c r="Q6" i="207"/>
  <c r="Q12" i="207"/>
  <c r="Q18" i="207"/>
  <c r="Q24" i="207"/>
  <c r="Q30" i="207"/>
  <c r="Q36" i="207"/>
  <c r="Q7" i="209"/>
  <c r="Q13" i="209"/>
  <c r="Q19" i="209"/>
  <c r="Q25" i="209"/>
  <c r="Q31" i="209"/>
  <c r="Q37" i="209"/>
  <c r="Q43" i="209"/>
  <c r="Q49" i="209"/>
  <c r="Q55" i="209"/>
  <c r="Q61" i="209"/>
  <c r="Q67" i="209"/>
  <c r="Q73" i="209"/>
  <c r="Q79" i="209"/>
  <c r="Q85" i="209"/>
  <c r="Q91" i="209"/>
  <c r="Q97" i="209"/>
  <c r="Q103" i="209"/>
  <c r="Q109" i="209"/>
  <c r="Q115" i="209"/>
  <c r="Q121" i="209"/>
  <c r="Q127" i="209"/>
  <c r="Q133" i="209"/>
  <c r="Q139" i="209"/>
  <c r="Q145" i="209"/>
  <c r="Q151" i="209"/>
  <c r="Q157" i="209"/>
  <c r="Q163" i="209"/>
  <c r="Q169" i="209"/>
  <c r="Q175" i="209"/>
  <c r="Q181" i="209"/>
  <c r="Q187" i="209"/>
  <c r="Q193" i="209"/>
  <c r="Q199" i="209"/>
  <c r="Q10" i="206"/>
  <c r="Q16" i="206"/>
  <c r="Q22" i="206"/>
  <c r="Q28" i="206"/>
  <c r="Q34" i="206"/>
  <c r="Q40" i="206"/>
  <c r="Q46" i="206"/>
  <c r="Q52" i="206"/>
  <c r="Q58" i="206"/>
  <c r="Q64" i="206"/>
  <c r="Q70" i="206"/>
  <c r="Q76" i="206"/>
  <c r="Q82" i="206"/>
  <c r="Q88" i="206"/>
  <c r="Q94" i="206"/>
  <c r="Q100" i="206"/>
  <c r="Q106" i="206"/>
  <c r="Q112" i="206"/>
  <c r="Q118" i="206"/>
  <c r="Q124" i="206"/>
  <c r="Q130" i="206"/>
  <c r="Q136" i="206"/>
  <c r="Q142" i="206"/>
  <c r="Q148" i="206"/>
  <c r="Q154" i="206"/>
  <c r="Q160" i="206"/>
  <c r="Q166" i="206"/>
  <c r="Q172" i="206"/>
  <c r="Q178" i="206"/>
  <c r="Q184" i="206"/>
  <c r="Q190" i="206"/>
  <c r="Q196" i="206"/>
  <c r="Q202" i="206"/>
  <c r="Q11" i="208"/>
  <c r="Q17" i="208"/>
  <c r="Q23" i="208"/>
  <c r="Q29" i="208"/>
  <c r="Q35" i="208"/>
  <c r="Q41" i="208"/>
  <c r="Q47" i="208"/>
  <c r="Q53" i="208"/>
  <c r="Q59" i="208"/>
  <c r="Q65" i="208"/>
  <c r="Q71" i="208"/>
  <c r="Q77" i="208"/>
  <c r="Q83" i="208"/>
  <c r="Q89" i="208"/>
  <c r="Q95" i="208"/>
  <c r="Q101" i="208"/>
  <c r="Q107" i="208"/>
  <c r="Q113" i="208"/>
  <c r="Q119" i="208"/>
  <c r="Q125" i="208"/>
  <c r="Q131" i="208"/>
  <c r="Q137" i="208"/>
  <c r="Q143" i="208"/>
  <c r="Q149" i="208"/>
  <c r="Q155" i="208"/>
  <c r="Q161" i="208"/>
  <c r="Q167" i="208"/>
  <c r="Q173" i="208"/>
  <c r="Q179" i="208"/>
  <c r="Q185" i="208"/>
  <c r="Q191" i="208"/>
  <c r="Q197" i="208"/>
  <c r="Q203" i="208"/>
  <c r="Q9" i="209"/>
  <c r="Q15" i="209"/>
  <c r="Q21" i="209"/>
  <c r="Q27" i="209"/>
  <c r="Q33" i="209"/>
  <c r="Q39" i="209"/>
  <c r="Q45" i="209"/>
  <c r="Q51" i="209"/>
  <c r="Q57" i="209"/>
  <c r="Q63" i="209"/>
  <c r="Q69" i="209"/>
  <c r="Q75" i="209"/>
  <c r="Q81" i="209"/>
  <c r="Q87" i="209"/>
  <c r="Q93" i="209"/>
  <c r="Q99" i="209"/>
  <c r="Q105" i="209"/>
  <c r="Q111" i="209"/>
  <c r="Q117" i="209"/>
  <c r="Q123" i="209"/>
  <c r="Q129" i="209"/>
  <c r="Q135" i="209"/>
  <c r="Q141" i="209"/>
  <c r="Q147" i="209"/>
  <c r="Q153" i="209"/>
  <c r="Q159" i="209"/>
  <c r="Q165" i="209"/>
  <c r="Q171" i="209"/>
  <c r="Q177" i="209"/>
  <c r="Q183" i="209"/>
  <c r="Q189" i="209"/>
  <c r="Q195" i="209"/>
  <c r="Q201" i="209"/>
  <c r="Q17" i="206"/>
  <c r="Q23" i="206"/>
  <c r="Q29" i="206"/>
  <c r="Q35" i="206"/>
  <c r="Q41" i="206"/>
  <c r="Q47" i="206"/>
  <c r="Q53" i="206"/>
  <c r="Q59" i="206"/>
  <c r="Q65" i="206"/>
  <c r="Q71" i="206"/>
  <c r="Q77" i="206"/>
  <c r="Q83" i="206"/>
  <c r="Q89" i="206"/>
  <c r="Q95" i="206"/>
  <c r="Q101" i="206"/>
  <c r="Q107" i="206"/>
  <c r="Q113" i="206"/>
  <c r="Q119" i="206"/>
  <c r="Q125" i="206"/>
  <c r="Q131" i="206"/>
  <c r="Q137" i="206"/>
  <c r="Q143" i="206"/>
  <c r="Q149" i="206"/>
  <c r="Q155" i="206"/>
  <c r="Q161" i="206"/>
  <c r="Q167" i="206"/>
  <c r="Q173" i="206"/>
  <c r="Q179" i="206"/>
  <c r="Q185" i="206"/>
  <c r="Q191" i="206"/>
  <c r="Q197" i="206"/>
  <c r="Q203" i="206"/>
  <c r="Q6" i="208"/>
  <c r="Q12" i="208"/>
  <c r="Q18" i="208"/>
  <c r="Q24" i="208"/>
  <c r="Q30" i="208"/>
  <c r="Q36" i="208"/>
  <c r="Q42" i="208"/>
  <c r="Q48" i="208"/>
  <c r="Q54" i="208"/>
  <c r="Q60" i="208"/>
  <c r="Q66" i="208"/>
  <c r="Q72" i="208"/>
  <c r="Q78" i="208"/>
  <c r="Q84" i="208"/>
  <c r="Q90" i="208"/>
  <c r="Q96" i="208"/>
  <c r="Q102" i="208"/>
  <c r="Q108" i="208"/>
  <c r="Q114" i="208"/>
  <c r="Q120" i="208"/>
  <c r="Q126" i="208"/>
  <c r="Q132" i="208"/>
  <c r="Q138" i="208"/>
  <c r="Q144" i="208"/>
  <c r="Q150" i="208"/>
  <c r="Q156" i="208"/>
  <c r="Q162" i="208"/>
  <c r="Q168" i="208"/>
  <c r="Q174" i="208"/>
  <c r="Q180" i="208"/>
  <c r="Q186" i="208"/>
  <c r="Q192" i="208"/>
  <c r="Q198" i="208"/>
  <c r="Q204" i="208"/>
  <c r="Q42" i="207"/>
  <c r="Q48" i="207"/>
  <c r="Q54" i="207"/>
  <c r="Q60" i="207"/>
  <c r="Q66" i="207"/>
  <c r="Q72" i="207"/>
  <c r="Q78" i="207"/>
  <c r="Q84" i="207"/>
  <c r="Q90" i="207"/>
  <c r="Q96" i="207"/>
  <c r="Q102" i="207"/>
  <c r="Q108" i="207"/>
  <c r="Q114" i="207"/>
  <c r="Q120" i="207"/>
  <c r="Q126" i="207"/>
  <c r="Q132" i="207"/>
  <c r="Q138" i="207"/>
  <c r="Q144" i="207"/>
  <c r="Q150" i="207"/>
  <c r="Q156" i="207"/>
  <c r="Q162" i="207"/>
  <c r="Q168" i="207"/>
  <c r="Q174" i="207"/>
  <c r="Q180" i="207"/>
  <c r="Q186" i="207"/>
  <c r="Q192" i="207"/>
  <c r="Q198" i="207"/>
  <c r="Q204" i="207"/>
  <c r="H206" i="206"/>
  <c r="B3" i="206"/>
  <c r="B3" i="207" s="1"/>
  <c r="B3" i="208" s="1"/>
  <c r="B3" i="209" s="1"/>
  <c r="I43" i="229"/>
  <c r="H43" i="229"/>
  <c r="I206" i="209"/>
  <c r="Q206" i="209" s="1"/>
  <c r="H206" i="209"/>
  <c r="I206" i="208"/>
  <c r="H206" i="208"/>
  <c r="N206" i="208"/>
  <c r="N206" i="207"/>
  <c r="I206" i="207"/>
  <c r="Q206" i="207" s="1"/>
  <c r="H206" i="207"/>
  <c r="I206" i="206"/>
  <c r="N206" i="206"/>
  <c r="Q206" i="206" l="1"/>
  <c r="Q206" i="208"/>
  <c r="Q207" i="206"/>
  <c r="Q207" i="207"/>
  <c r="Q207" i="209"/>
  <c r="Q207" i="208"/>
  <c r="N204" i="204"/>
  <c r="I204" i="204"/>
  <c r="Q204" i="204" s="1"/>
  <c r="N203" i="204"/>
  <c r="I203" i="204"/>
  <c r="N202" i="204"/>
  <c r="I202" i="204"/>
  <c r="Q202" i="204" s="1"/>
  <c r="N201" i="204"/>
  <c r="I201" i="204"/>
  <c r="Q201" i="204" s="1"/>
  <c r="N200" i="204"/>
  <c r="I200" i="204"/>
  <c r="Q200" i="204" s="1"/>
  <c r="N199" i="204"/>
  <c r="I199" i="204"/>
  <c r="Q199" i="204" s="1"/>
  <c r="N198" i="204"/>
  <c r="I198" i="204"/>
  <c r="Q198" i="204" s="1"/>
  <c r="N197" i="204"/>
  <c r="I197" i="204"/>
  <c r="N196" i="204"/>
  <c r="I196" i="204"/>
  <c r="Q196" i="204" s="1"/>
  <c r="N195" i="204"/>
  <c r="I195" i="204"/>
  <c r="Q195" i="204" s="1"/>
  <c r="N194" i="204"/>
  <c r="I194" i="204"/>
  <c r="Q194" i="204" s="1"/>
  <c r="N193" i="204"/>
  <c r="I193" i="204"/>
  <c r="Q193" i="204" s="1"/>
  <c r="N192" i="204"/>
  <c r="I192" i="204"/>
  <c r="Q192" i="204" s="1"/>
  <c r="N191" i="204"/>
  <c r="I191" i="204"/>
  <c r="N190" i="204"/>
  <c r="I190" i="204"/>
  <c r="Q190" i="204" s="1"/>
  <c r="N189" i="204"/>
  <c r="I189" i="204"/>
  <c r="Q189" i="204" s="1"/>
  <c r="N188" i="204"/>
  <c r="I188" i="204"/>
  <c r="Q188" i="204" s="1"/>
  <c r="N187" i="204"/>
  <c r="I187" i="204"/>
  <c r="Q187" i="204" s="1"/>
  <c r="N186" i="204"/>
  <c r="I186" i="204"/>
  <c r="Q186" i="204" s="1"/>
  <c r="N185" i="204"/>
  <c r="I185" i="204"/>
  <c r="N184" i="204"/>
  <c r="I184" i="204"/>
  <c r="Q184" i="204" s="1"/>
  <c r="N183" i="204"/>
  <c r="I183" i="204"/>
  <c r="Q183" i="204" s="1"/>
  <c r="N182" i="204"/>
  <c r="I182" i="204"/>
  <c r="Q182" i="204" s="1"/>
  <c r="N181" i="204"/>
  <c r="I181" i="204"/>
  <c r="Q181" i="204" s="1"/>
  <c r="N180" i="204"/>
  <c r="I180" i="204"/>
  <c r="Q180" i="204" s="1"/>
  <c r="N179" i="204"/>
  <c r="I179" i="204"/>
  <c r="N178" i="204"/>
  <c r="I178" i="204"/>
  <c r="Q178" i="204" s="1"/>
  <c r="N177" i="204"/>
  <c r="I177" i="204"/>
  <c r="Q177" i="204" s="1"/>
  <c r="N176" i="204"/>
  <c r="I176" i="204"/>
  <c r="Q176" i="204" s="1"/>
  <c r="N175" i="204"/>
  <c r="I175" i="204"/>
  <c r="Q175" i="204" s="1"/>
  <c r="N174" i="204"/>
  <c r="I174" i="204"/>
  <c r="Q174" i="204" s="1"/>
  <c r="N173" i="204"/>
  <c r="I173" i="204"/>
  <c r="N172" i="204"/>
  <c r="I172" i="204"/>
  <c r="Q172" i="204" s="1"/>
  <c r="N171" i="204"/>
  <c r="I171" i="204"/>
  <c r="Q171" i="204" s="1"/>
  <c r="N170" i="204"/>
  <c r="I170" i="204"/>
  <c r="Q170" i="204" s="1"/>
  <c r="N169" i="204"/>
  <c r="I169" i="204"/>
  <c r="Q169" i="204" s="1"/>
  <c r="N168" i="204"/>
  <c r="I168" i="204"/>
  <c r="Q168" i="204" s="1"/>
  <c r="N167" i="204"/>
  <c r="I167" i="204"/>
  <c r="N166" i="204"/>
  <c r="I166" i="204"/>
  <c r="Q166" i="204" s="1"/>
  <c r="N165" i="204"/>
  <c r="I165" i="204"/>
  <c r="Q165" i="204" s="1"/>
  <c r="N164" i="204"/>
  <c r="I164" i="204"/>
  <c r="Q164" i="204" s="1"/>
  <c r="N163" i="204"/>
  <c r="I163" i="204"/>
  <c r="Q163" i="204" s="1"/>
  <c r="N162" i="204"/>
  <c r="I162" i="204"/>
  <c r="Q162" i="204" s="1"/>
  <c r="N161" i="204"/>
  <c r="I161" i="204"/>
  <c r="N160" i="204"/>
  <c r="I160" i="204"/>
  <c r="Q160" i="204" s="1"/>
  <c r="N159" i="204"/>
  <c r="I159" i="204"/>
  <c r="Q159" i="204" s="1"/>
  <c r="N158" i="204"/>
  <c r="I158" i="204"/>
  <c r="Q158" i="204" s="1"/>
  <c r="N157" i="204"/>
  <c r="I157" i="204"/>
  <c r="Q157" i="204" s="1"/>
  <c r="N156" i="204"/>
  <c r="I156" i="204"/>
  <c r="Q156" i="204" s="1"/>
  <c r="N155" i="204"/>
  <c r="I155" i="204"/>
  <c r="N154" i="204"/>
  <c r="I154" i="204"/>
  <c r="Q154" i="204" s="1"/>
  <c r="N153" i="204"/>
  <c r="I153" i="204"/>
  <c r="Q153" i="204" s="1"/>
  <c r="N152" i="204"/>
  <c r="I152" i="204"/>
  <c r="Q152" i="204" s="1"/>
  <c r="N151" i="204"/>
  <c r="I151" i="204"/>
  <c r="Q151" i="204" s="1"/>
  <c r="N150" i="204"/>
  <c r="I150" i="204"/>
  <c r="Q150" i="204" s="1"/>
  <c r="N149" i="204"/>
  <c r="I149" i="204"/>
  <c r="N148" i="204"/>
  <c r="I148" i="204"/>
  <c r="Q148" i="204" s="1"/>
  <c r="N147" i="204"/>
  <c r="I147" i="204"/>
  <c r="Q147" i="204" s="1"/>
  <c r="N146" i="204"/>
  <c r="I146" i="204"/>
  <c r="Q146" i="204" s="1"/>
  <c r="N145" i="204"/>
  <c r="I145" i="204"/>
  <c r="Q145" i="204" s="1"/>
  <c r="N144" i="204"/>
  <c r="I144" i="204"/>
  <c r="Q144" i="204" s="1"/>
  <c r="N143" i="204"/>
  <c r="I143" i="204"/>
  <c r="N142" i="204"/>
  <c r="I142" i="204"/>
  <c r="Q142" i="204" s="1"/>
  <c r="N141" i="204"/>
  <c r="I141" i="204"/>
  <c r="Q141" i="204" s="1"/>
  <c r="N140" i="204"/>
  <c r="I140" i="204"/>
  <c r="Q140" i="204" s="1"/>
  <c r="N139" i="204"/>
  <c r="I139" i="204"/>
  <c r="Q139" i="204" s="1"/>
  <c r="N138" i="204"/>
  <c r="I138" i="204"/>
  <c r="Q138" i="204" s="1"/>
  <c r="N137" i="204"/>
  <c r="I137" i="204"/>
  <c r="N136" i="204"/>
  <c r="I136" i="204"/>
  <c r="Q136" i="204" s="1"/>
  <c r="N135" i="204"/>
  <c r="I135" i="204"/>
  <c r="Q135" i="204" s="1"/>
  <c r="N134" i="204"/>
  <c r="I134" i="204"/>
  <c r="Q134" i="204" s="1"/>
  <c r="N133" i="204"/>
  <c r="I133" i="204"/>
  <c r="Q133" i="204" s="1"/>
  <c r="N132" i="204"/>
  <c r="I132" i="204"/>
  <c r="Q132" i="204" s="1"/>
  <c r="N131" i="204"/>
  <c r="I131" i="204"/>
  <c r="N130" i="204"/>
  <c r="I130" i="204"/>
  <c r="Q130" i="204" s="1"/>
  <c r="N129" i="204"/>
  <c r="I129" i="204"/>
  <c r="Q129" i="204" s="1"/>
  <c r="N128" i="204"/>
  <c r="I128" i="204"/>
  <c r="Q128" i="204" s="1"/>
  <c r="N127" i="204"/>
  <c r="I127" i="204"/>
  <c r="Q127" i="204" s="1"/>
  <c r="N126" i="204"/>
  <c r="I126" i="204"/>
  <c r="Q126" i="204" s="1"/>
  <c r="N125" i="204"/>
  <c r="I125" i="204"/>
  <c r="N124" i="204"/>
  <c r="I124" i="204"/>
  <c r="Q124" i="204" s="1"/>
  <c r="N123" i="204"/>
  <c r="I123" i="204"/>
  <c r="Q123" i="204" s="1"/>
  <c r="N122" i="204"/>
  <c r="I122" i="204"/>
  <c r="Q122" i="204" s="1"/>
  <c r="N121" i="204"/>
  <c r="I121" i="204"/>
  <c r="Q121" i="204" s="1"/>
  <c r="N120" i="204"/>
  <c r="I120" i="204"/>
  <c r="Q120" i="204" s="1"/>
  <c r="N119" i="204"/>
  <c r="I119" i="204"/>
  <c r="N118" i="204"/>
  <c r="I118" i="204"/>
  <c r="Q118" i="204" s="1"/>
  <c r="N117" i="204"/>
  <c r="I117" i="204"/>
  <c r="Q117" i="204" s="1"/>
  <c r="N116" i="204"/>
  <c r="I116" i="204"/>
  <c r="Q116" i="204" s="1"/>
  <c r="N115" i="204"/>
  <c r="I115" i="204"/>
  <c r="Q115" i="204" s="1"/>
  <c r="N114" i="204"/>
  <c r="I114" i="204"/>
  <c r="Q114" i="204" s="1"/>
  <c r="N113" i="204"/>
  <c r="I113" i="204"/>
  <c r="N112" i="204"/>
  <c r="I112" i="204"/>
  <c r="Q112" i="204" s="1"/>
  <c r="N111" i="204"/>
  <c r="I111" i="204"/>
  <c r="Q111" i="204" s="1"/>
  <c r="N110" i="204"/>
  <c r="I110" i="204"/>
  <c r="Q110" i="204" s="1"/>
  <c r="N109" i="204"/>
  <c r="I109" i="204"/>
  <c r="Q109" i="204" s="1"/>
  <c r="N108" i="204"/>
  <c r="I108" i="204"/>
  <c r="Q108" i="204" s="1"/>
  <c r="N107" i="204"/>
  <c r="I107" i="204"/>
  <c r="N106" i="204"/>
  <c r="I106" i="204"/>
  <c r="Q106" i="204" s="1"/>
  <c r="N105" i="204"/>
  <c r="I105" i="204"/>
  <c r="Q105" i="204" s="1"/>
  <c r="N104" i="204"/>
  <c r="I104" i="204"/>
  <c r="Q104" i="204" s="1"/>
  <c r="N103" i="204"/>
  <c r="I103" i="204"/>
  <c r="Q103" i="204" s="1"/>
  <c r="N102" i="204"/>
  <c r="I102" i="204"/>
  <c r="Q102" i="204" s="1"/>
  <c r="N101" i="204"/>
  <c r="I101" i="204"/>
  <c r="N100" i="204"/>
  <c r="I100" i="204"/>
  <c r="Q100" i="204" s="1"/>
  <c r="N99" i="204"/>
  <c r="I99" i="204"/>
  <c r="Q99" i="204" s="1"/>
  <c r="N98" i="204"/>
  <c r="I98" i="204"/>
  <c r="Q98" i="204" s="1"/>
  <c r="N97" i="204"/>
  <c r="I97" i="204"/>
  <c r="Q97" i="204" s="1"/>
  <c r="N96" i="204"/>
  <c r="I96" i="204"/>
  <c r="Q96" i="204" s="1"/>
  <c r="N95" i="204"/>
  <c r="I95" i="204"/>
  <c r="N94" i="204"/>
  <c r="I94" i="204"/>
  <c r="Q94" i="204" s="1"/>
  <c r="N93" i="204"/>
  <c r="I93" i="204"/>
  <c r="Q93" i="204" s="1"/>
  <c r="N92" i="204"/>
  <c r="I92" i="204"/>
  <c r="Q92" i="204" s="1"/>
  <c r="N91" i="204"/>
  <c r="I91" i="204"/>
  <c r="Q91" i="204" s="1"/>
  <c r="N90" i="204"/>
  <c r="I90" i="204"/>
  <c r="Q90" i="204" s="1"/>
  <c r="N89" i="204"/>
  <c r="I89" i="204"/>
  <c r="N88" i="204"/>
  <c r="I88" i="204"/>
  <c r="Q88" i="204" s="1"/>
  <c r="N87" i="204"/>
  <c r="I87" i="204"/>
  <c r="Q87" i="204" s="1"/>
  <c r="N86" i="204"/>
  <c r="I86" i="204"/>
  <c r="Q86" i="204" s="1"/>
  <c r="N85" i="204"/>
  <c r="I85" i="204"/>
  <c r="Q85" i="204" s="1"/>
  <c r="N84" i="204"/>
  <c r="I84" i="204"/>
  <c r="Q84" i="204" s="1"/>
  <c r="N83" i="204"/>
  <c r="I83" i="204"/>
  <c r="N82" i="204"/>
  <c r="I82" i="204"/>
  <c r="Q82" i="204" s="1"/>
  <c r="N81" i="204"/>
  <c r="I81" i="204"/>
  <c r="Q81" i="204" s="1"/>
  <c r="N80" i="204"/>
  <c r="I80" i="204"/>
  <c r="Q80" i="204" s="1"/>
  <c r="N79" i="204"/>
  <c r="I79" i="204"/>
  <c r="Q79" i="204" s="1"/>
  <c r="N78" i="204"/>
  <c r="I78" i="204"/>
  <c r="Q78" i="204" s="1"/>
  <c r="N77" i="204"/>
  <c r="I77" i="204"/>
  <c r="N76" i="204"/>
  <c r="I76" i="204"/>
  <c r="Q76" i="204" s="1"/>
  <c r="N75" i="204"/>
  <c r="I75" i="204"/>
  <c r="Q75" i="204" s="1"/>
  <c r="N74" i="204"/>
  <c r="I74" i="204"/>
  <c r="Q74" i="204" s="1"/>
  <c r="N73" i="204"/>
  <c r="I73" i="204"/>
  <c r="Q73" i="204" s="1"/>
  <c r="N72" i="204"/>
  <c r="I72" i="204"/>
  <c r="Q72" i="204" s="1"/>
  <c r="N71" i="204"/>
  <c r="I71" i="204"/>
  <c r="N70" i="204"/>
  <c r="I70" i="204"/>
  <c r="Q70" i="204" s="1"/>
  <c r="N69" i="204"/>
  <c r="I69" i="204"/>
  <c r="Q69" i="204" s="1"/>
  <c r="N68" i="204"/>
  <c r="I68" i="204"/>
  <c r="Q68" i="204" s="1"/>
  <c r="N67" i="204"/>
  <c r="I67" i="204"/>
  <c r="Q67" i="204" s="1"/>
  <c r="N66" i="204"/>
  <c r="I66" i="204"/>
  <c r="Q66" i="204" s="1"/>
  <c r="N65" i="204"/>
  <c r="I65" i="204"/>
  <c r="N64" i="204"/>
  <c r="I64" i="204"/>
  <c r="Q64" i="204" s="1"/>
  <c r="N63" i="204"/>
  <c r="I63" i="204"/>
  <c r="Q63" i="204" s="1"/>
  <c r="N62" i="204"/>
  <c r="I62" i="204"/>
  <c r="Q62" i="204" s="1"/>
  <c r="N61" i="204"/>
  <c r="I61" i="204"/>
  <c r="Q61" i="204" s="1"/>
  <c r="N60" i="204"/>
  <c r="I60" i="204"/>
  <c r="Q60" i="204" s="1"/>
  <c r="N59" i="204"/>
  <c r="I59" i="204"/>
  <c r="N58" i="204"/>
  <c r="I58" i="204"/>
  <c r="Q58" i="204" s="1"/>
  <c r="N57" i="204"/>
  <c r="I57" i="204"/>
  <c r="Q57" i="204" s="1"/>
  <c r="N56" i="204"/>
  <c r="I56" i="204"/>
  <c r="Q56" i="204" s="1"/>
  <c r="N55" i="204"/>
  <c r="I55" i="204"/>
  <c r="Q55" i="204" s="1"/>
  <c r="N54" i="204"/>
  <c r="I54" i="204"/>
  <c r="Q54" i="204" s="1"/>
  <c r="N53" i="204"/>
  <c r="I53" i="204"/>
  <c r="N52" i="204"/>
  <c r="I52" i="204"/>
  <c r="Q52" i="204" s="1"/>
  <c r="N51" i="204"/>
  <c r="I51" i="204"/>
  <c r="Q51" i="204" s="1"/>
  <c r="N50" i="204"/>
  <c r="I50" i="204"/>
  <c r="Q50" i="204" s="1"/>
  <c r="N49" i="204"/>
  <c r="I49" i="204"/>
  <c r="Q49" i="204" s="1"/>
  <c r="N48" i="204"/>
  <c r="I48" i="204"/>
  <c r="Q48" i="204" s="1"/>
  <c r="N47" i="204"/>
  <c r="I47" i="204"/>
  <c r="N46" i="204"/>
  <c r="I46" i="204"/>
  <c r="Q46" i="204" s="1"/>
  <c r="N45" i="204"/>
  <c r="I45" i="204"/>
  <c r="Q45" i="204" s="1"/>
  <c r="N44" i="204"/>
  <c r="I44" i="204"/>
  <c r="Q44" i="204" s="1"/>
  <c r="N43" i="204"/>
  <c r="I43" i="204"/>
  <c r="Q43" i="204" s="1"/>
  <c r="N42" i="204"/>
  <c r="I42" i="204"/>
  <c r="Q42" i="204" s="1"/>
  <c r="N41" i="204"/>
  <c r="I41" i="204"/>
  <c r="N40" i="204"/>
  <c r="I40" i="204"/>
  <c r="Q40" i="204" s="1"/>
  <c r="N39" i="204"/>
  <c r="I39" i="204"/>
  <c r="Q39" i="204" s="1"/>
  <c r="N38" i="204"/>
  <c r="I38" i="204"/>
  <c r="Q38" i="204" s="1"/>
  <c r="N37" i="204"/>
  <c r="I37" i="204"/>
  <c r="Q37" i="204" s="1"/>
  <c r="N36" i="204"/>
  <c r="I36" i="204"/>
  <c r="Q36" i="204" s="1"/>
  <c r="N35" i="204"/>
  <c r="I35" i="204"/>
  <c r="N34" i="204"/>
  <c r="I34" i="204"/>
  <c r="Q34" i="204" s="1"/>
  <c r="N33" i="204"/>
  <c r="I33" i="204"/>
  <c r="Q33" i="204" s="1"/>
  <c r="N32" i="204"/>
  <c r="I32" i="204"/>
  <c r="Q32" i="204" s="1"/>
  <c r="N31" i="204"/>
  <c r="I31" i="204"/>
  <c r="Q31" i="204" s="1"/>
  <c r="N30" i="204"/>
  <c r="I30" i="204"/>
  <c r="Q30" i="204" s="1"/>
  <c r="N29" i="204"/>
  <c r="I29" i="204"/>
  <c r="N28" i="204"/>
  <c r="I28" i="204"/>
  <c r="Q28" i="204" s="1"/>
  <c r="N27" i="204"/>
  <c r="I27" i="204"/>
  <c r="Q27" i="204" s="1"/>
  <c r="N26" i="204"/>
  <c r="I26" i="204"/>
  <c r="Q26" i="204" s="1"/>
  <c r="N25" i="204"/>
  <c r="I25" i="204"/>
  <c r="Q25" i="204" s="1"/>
  <c r="N24" i="204"/>
  <c r="I24" i="204"/>
  <c r="Q24" i="204" s="1"/>
  <c r="N23" i="204"/>
  <c r="I23" i="204"/>
  <c r="N22" i="204"/>
  <c r="I22" i="204"/>
  <c r="Q22" i="204" s="1"/>
  <c r="N21" i="204"/>
  <c r="I21" i="204"/>
  <c r="Q21" i="204" s="1"/>
  <c r="N20" i="204"/>
  <c r="I20" i="204"/>
  <c r="Q20" i="204" s="1"/>
  <c r="N19" i="204"/>
  <c r="I19" i="204"/>
  <c r="Q19" i="204" s="1"/>
  <c r="N18" i="204"/>
  <c r="I18" i="204"/>
  <c r="Q18" i="204" s="1"/>
  <c r="N17" i="204"/>
  <c r="I17" i="204"/>
  <c r="N16" i="204"/>
  <c r="I16" i="204"/>
  <c r="Q16" i="204" s="1"/>
  <c r="N15" i="204"/>
  <c r="I15" i="204"/>
  <c r="Q15" i="204" s="1"/>
  <c r="N14" i="204"/>
  <c r="I14" i="204"/>
  <c r="Q14" i="204" s="1"/>
  <c r="N13" i="204"/>
  <c r="I13" i="204"/>
  <c r="Q13" i="204" s="1"/>
  <c r="N12" i="204"/>
  <c r="I12" i="204"/>
  <c r="Q12" i="204" s="1"/>
  <c r="N11" i="204"/>
  <c r="I11" i="204"/>
  <c r="N10" i="204"/>
  <c r="I10" i="204"/>
  <c r="Q10" i="204" s="1"/>
  <c r="N9" i="204"/>
  <c r="I9" i="204"/>
  <c r="Q9" i="204" s="1"/>
  <c r="N8" i="204"/>
  <c r="I8" i="204"/>
  <c r="Q8" i="204" s="1"/>
  <c r="N7" i="204"/>
  <c r="I7" i="204"/>
  <c r="Q7" i="204" s="1"/>
  <c r="N6" i="204"/>
  <c r="I6" i="204"/>
  <c r="Q6" i="204" s="1"/>
  <c r="A6" i="204"/>
  <c r="A7" i="204" s="1"/>
  <c r="A8" i="204" s="1"/>
  <c r="A9" i="204" s="1"/>
  <c r="A10" i="204" s="1"/>
  <c r="A11" i="204" s="1"/>
  <c r="A12" i="204" s="1"/>
  <c r="A13" i="204" s="1"/>
  <c r="A14" i="204" s="1"/>
  <c r="A15" i="204" s="1"/>
  <c r="A16" i="204" s="1"/>
  <c r="A17" i="204" s="1"/>
  <c r="A18" i="204" s="1"/>
  <c r="A19" i="204" s="1"/>
  <c r="A20" i="204" s="1"/>
  <c r="A21" i="204" s="1"/>
  <c r="A22" i="204" s="1"/>
  <c r="A23" i="204" s="1"/>
  <c r="A24" i="204" s="1"/>
  <c r="A25" i="204" s="1"/>
  <c r="A26" i="204" s="1"/>
  <c r="A27" i="204" s="1"/>
  <c r="A28" i="204" s="1"/>
  <c r="A29" i="204" s="1"/>
  <c r="A30" i="204" s="1"/>
  <c r="A31" i="204" s="1"/>
  <c r="A32" i="204" s="1"/>
  <c r="A33" i="204" s="1"/>
  <c r="A34" i="204" s="1"/>
  <c r="A35" i="204" s="1"/>
  <c r="A36" i="204" s="1"/>
  <c r="A37" i="204" s="1"/>
  <c r="A38" i="204" s="1"/>
  <c r="A39" i="204" s="1"/>
  <c r="A40" i="204" s="1"/>
  <c r="A41" i="204" s="1"/>
  <c r="A42" i="204" s="1"/>
  <c r="A43" i="204" s="1"/>
  <c r="A44" i="204" s="1"/>
  <c r="A45" i="204" s="1"/>
  <c r="A46" i="204" s="1"/>
  <c r="A47" i="204" s="1"/>
  <c r="A48" i="204" s="1"/>
  <c r="A49" i="204" s="1"/>
  <c r="A50" i="204" s="1"/>
  <c r="A51" i="204" s="1"/>
  <c r="A52" i="204" s="1"/>
  <c r="A53" i="204" s="1"/>
  <c r="A54" i="204" s="1"/>
  <c r="A55" i="204" s="1"/>
  <c r="A56" i="204" s="1"/>
  <c r="A57" i="204" s="1"/>
  <c r="A58" i="204" s="1"/>
  <c r="A59" i="204" s="1"/>
  <c r="A60" i="204" s="1"/>
  <c r="A61" i="204" s="1"/>
  <c r="A62" i="204" s="1"/>
  <c r="A63" i="204" s="1"/>
  <c r="A64" i="204" s="1"/>
  <c r="A65" i="204" s="1"/>
  <c r="A66" i="204" s="1"/>
  <c r="A67" i="204" s="1"/>
  <c r="A68" i="204" s="1"/>
  <c r="A69" i="204" s="1"/>
  <c r="A70" i="204" s="1"/>
  <c r="A71" i="204" s="1"/>
  <c r="A72" i="204" s="1"/>
  <c r="A73" i="204" s="1"/>
  <c r="A74" i="204" s="1"/>
  <c r="A75" i="204" s="1"/>
  <c r="A76" i="204" s="1"/>
  <c r="A77" i="204" s="1"/>
  <c r="A78" i="204" s="1"/>
  <c r="A79" i="204" s="1"/>
  <c r="A80" i="204" s="1"/>
  <c r="A81" i="204" s="1"/>
  <c r="A82" i="204" s="1"/>
  <c r="A83" i="204" s="1"/>
  <c r="A84" i="204" s="1"/>
  <c r="A85" i="204" s="1"/>
  <c r="A86" i="204" s="1"/>
  <c r="A87" i="204" s="1"/>
  <c r="A88" i="204" s="1"/>
  <c r="A89" i="204" s="1"/>
  <c r="A90" i="204" s="1"/>
  <c r="A91" i="204" s="1"/>
  <c r="A92" i="204" s="1"/>
  <c r="A93" i="204" s="1"/>
  <c r="A94" i="204" s="1"/>
  <c r="A95" i="204" s="1"/>
  <c r="A96" i="204" s="1"/>
  <c r="A97" i="204" s="1"/>
  <c r="A98" i="204" s="1"/>
  <c r="A99" i="204" s="1"/>
  <c r="A100" i="204" s="1"/>
  <c r="A101" i="204" s="1"/>
  <c r="A102" i="204" s="1"/>
  <c r="A103" i="204" s="1"/>
  <c r="A104" i="204" s="1"/>
  <c r="A105" i="204" s="1"/>
  <c r="A106" i="204" s="1"/>
  <c r="A107" i="204" s="1"/>
  <c r="A108" i="204" s="1"/>
  <c r="A109" i="204" s="1"/>
  <c r="A110" i="204" s="1"/>
  <c r="A111" i="204" s="1"/>
  <c r="A112" i="204" s="1"/>
  <c r="A113" i="204" s="1"/>
  <c r="A114" i="204" s="1"/>
  <c r="A115" i="204" s="1"/>
  <c r="A116" i="204" s="1"/>
  <c r="A117" i="204" s="1"/>
  <c r="A118" i="204" s="1"/>
  <c r="A119" i="204" s="1"/>
  <c r="A120" i="204" s="1"/>
  <c r="A121" i="204" s="1"/>
  <c r="A122" i="204" s="1"/>
  <c r="A123" i="204" s="1"/>
  <c r="A124" i="204" s="1"/>
  <c r="A125" i="204" s="1"/>
  <c r="A126" i="204" s="1"/>
  <c r="A127" i="204" s="1"/>
  <c r="A128" i="204" s="1"/>
  <c r="A129" i="204" s="1"/>
  <c r="A130" i="204" s="1"/>
  <c r="A131" i="204" s="1"/>
  <c r="A132" i="204" s="1"/>
  <c r="A133" i="204" s="1"/>
  <c r="A134" i="204" s="1"/>
  <c r="A135" i="204" s="1"/>
  <c r="A136" i="204" s="1"/>
  <c r="A137" i="204" s="1"/>
  <c r="A138" i="204" s="1"/>
  <c r="A139" i="204" s="1"/>
  <c r="A140" i="204" s="1"/>
  <c r="A141" i="204" s="1"/>
  <c r="A142" i="204" s="1"/>
  <c r="A143" i="204" s="1"/>
  <c r="A144" i="204" s="1"/>
  <c r="A145" i="204" s="1"/>
  <c r="A146" i="204" s="1"/>
  <c r="A147" i="204" s="1"/>
  <c r="A148" i="204" s="1"/>
  <c r="A149" i="204" s="1"/>
  <c r="A150" i="204" s="1"/>
  <c r="A151" i="204" s="1"/>
  <c r="A152" i="204" s="1"/>
  <c r="A153" i="204" s="1"/>
  <c r="A154" i="204" s="1"/>
  <c r="A155" i="204" s="1"/>
  <c r="A156" i="204" s="1"/>
  <c r="A157" i="204" s="1"/>
  <c r="A158" i="204" s="1"/>
  <c r="A159" i="204" s="1"/>
  <c r="A160" i="204" s="1"/>
  <c r="A161" i="204" s="1"/>
  <c r="A162" i="204" s="1"/>
  <c r="A163" i="204" s="1"/>
  <c r="A164" i="204" s="1"/>
  <c r="A165" i="204" s="1"/>
  <c r="A166" i="204" s="1"/>
  <c r="A167" i="204" s="1"/>
  <c r="A168" i="204" s="1"/>
  <c r="A169" i="204" s="1"/>
  <c r="A170" i="204" s="1"/>
  <c r="A171" i="204" s="1"/>
  <c r="A172" i="204" s="1"/>
  <c r="A173" i="204" s="1"/>
  <c r="A174" i="204" s="1"/>
  <c r="A175" i="204" s="1"/>
  <c r="A176" i="204" s="1"/>
  <c r="A177" i="204" s="1"/>
  <c r="A178" i="204" s="1"/>
  <c r="A179" i="204" s="1"/>
  <c r="A180" i="204" s="1"/>
  <c r="A181" i="204" s="1"/>
  <c r="A182" i="204" s="1"/>
  <c r="A183" i="204" s="1"/>
  <c r="A184" i="204" s="1"/>
  <c r="A185" i="204" s="1"/>
  <c r="A186" i="204" s="1"/>
  <c r="A187" i="204" s="1"/>
  <c r="A188" i="204" s="1"/>
  <c r="A189" i="204" s="1"/>
  <c r="A190" i="204" s="1"/>
  <c r="A191" i="204" s="1"/>
  <c r="A192" i="204" s="1"/>
  <c r="A193" i="204" s="1"/>
  <c r="A194" i="204" s="1"/>
  <c r="A195" i="204" s="1"/>
  <c r="A196" i="204" s="1"/>
  <c r="A197" i="204" s="1"/>
  <c r="A198" i="204" s="1"/>
  <c r="A199" i="204" s="1"/>
  <c r="A200" i="204" s="1"/>
  <c r="A201" i="204" s="1"/>
  <c r="A202" i="204" s="1"/>
  <c r="A203" i="204" s="1"/>
  <c r="A204" i="204" s="1"/>
  <c r="N5" i="204"/>
  <c r="I5" i="204"/>
  <c r="Q5" i="204" s="1"/>
  <c r="I175" i="203"/>
  <c r="N173" i="203"/>
  <c r="I173" i="203"/>
  <c r="N172" i="203"/>
  <c r="I172" i="203"/>
  <c r="N171" i="203"/>
  <c r="I171" i="203"/>
  <c r="N170" i="203"/>
  <c r="I170" i="203"/>
  <c r="N169" i="203"/>
  <c r="I169" i="203"/>
  <c r="N168" i="203"/>
  <c r="I168" i="203"/>
  <c r="N167" i="203"/>
  <c r="I167" i="203"/>
  <c r="N166" i="203"/>
  <c r="I166" i="203"/>
  <c r="N165" i="203"/>
  <c r="I165" i="203"/>
  <c r="N164" i="203"/>
  <c r="I164" i="203"/>
  <c r="N163" i="203"/>
  <c r="I163" i="203"/>
  <c r="N162" i="203"/>
  <c r="I162" i="203"/>
  <c r="N161" i="203"/>
  <c r="I161" i="203"/>
  <c r="N160" i="203"/>
  <c r="I160" i="203"/>
  <c r="N159" i="203"/>
  <c r="I159" i="203"/>
  <c r="N158" i="203"/>
  <c r="I158" i="203"/>
  <c r="N157" i="203"/>
  <c r="I157" i="203"/>
  <c r="N156" i="203"/>
  <c r="I156" i="203"/>
  <c r="N155" i="203"/>
  <c r="I155" i="203"/>
  <c r="N154" i="203"/>
  <c r="I154" i="203"/>
  <c r="N153" i="203"/>
  <c r="I153" i="203"/>
  <c r="N152" i="203"/>
  <c r="I152" i="203"/>
  <c r="N151" i="203"/>
  <c r="I151" i="203"/>
  <c r="N150" i="203"/>
  <c r="I150" i="203"/>
  <c r="N149" i="203"/>
  <c r="I149" i="203"/>
  <c r="N148" i="203"/>
  <c r="I148" i="203"/>
  <c r="N147" i="203"/>
  <c r="I147" i="203"/>
  <c r="N146" i="203"/>
  <c r="I146" i="203"/>
  <c r="N145" i="203"/>
  <c r="I145" i="203"/>
  <c r="N144" i="203"/>
  <c r="I144" i="203"/>
  <c r="N143" i="203"/>
  <c r="I143" i="203"/>
  <c r="I142" i="203"/>
  <c r="I141" i="203"/>
  <c r="I140" i="203"/>
  <c r="N7" i="203"/>
  <c r="I7" i="203"/>
  <c r="N6" i="203"/>
  <c r="I6" i="203"/>
  <c r="A6" i="203"/>
  <c r="A7" i="203" s="1"/>
  <c r="A8" i="203" s="1"/>
  <c r="A9" i="203" s="1"/>
  <c r="A10" i="203" s="1"/>
  <c r="A11" i="203" s="1"/>
  <c r="A12" i="203" s="1"/>
  <c r="A13" i="203" s="1"/>
  <c r="A14" i="203" s="1"/>
  <c r="A15" i="203" s="1"/>
  <c r="A16" i="203" s="1"/>
  <c r="A17" i="203" s="1"/>
  <c r="A18" i="203" s="1"/>
  <c r="A19" i="203" s="1"/>
  <c r="A20" i="203" s="1"/>
  <c r="A21" i="203" s="1"/>
  <c r="A22" i="203" s="1"/>
  <c r="A23" i="203" s="1"/>
  <c r="A24" i="203" s="1"/>
  <c r="A25" i="203" s="1"/>
  <c r="A26" i="203" s="1"/>
  <c r="A27" i="203" s="1"/>
  <c r="A28" i="203" s="1"/>
  <c r="A29" i="203" s="1"/>
  <c r="A30" i="203" s="1"/>
  <c r="A31" i="203" s="1"/>
  <c r="A32" i="203" s="1"/>
  <c r="A33" i="203" s="1"/>
  <c r="A34" i="203" s="1"/>
  <c r="A35" i="203" s="1"/>
  <c r="A36" i="203" s="1"/>
  <c r="A37" i="203" s="1"/>
  <c r="A38" i="203" s="1"/>
  <c r="A39" i="203" s="1"/>
  <c r="A40" i="203" s="1"/>
  <c r="A41" i="203" s="1"/>
  <c r="A42" i="203" s="1"/>
  <c r="A43" i="203" s="1"/>
  <c r="A44" i="203" s="1"/>
  <c r="A45" i="203" s="1"/>
  <c r="A46" i="203" s="1"/>
  <c r="A47" i="203" s="1"/>
  <c r="A48" i="203" s="1"/>
  <c r="A49" i="203" s="1"/>
  <c r="A50" i="203" s="1"/>
  <c r="A51" i="203" s="1"/>
  <c r="A52" i="203" s="1"/>
  <c r="A53" i="203" s="1"/>
  <c r="A54" i="203" s="1"/>
  <c r="A55" i="203" s="1"/>
  <c r="A56" i="203" s="1"/>
  <c r="A57" i="203" s="1"/>
  <c r="A58" i="203" s="1"/>
  <c r="A59" i="203" s="1"/>
  <c r="A60" i="203" s="1"/>
  <c r="A61" i="203" s="1"/>
  <c r="A62" i="203" s="1"/>
  <c r="A63" i="203" s="1"/>
  <c r="A64" i="203" s="1"/>
  <c r="A65" i="203" s="1"/>
  <c r="A66" i="203" s="1"/>
  <c r="A67" i="203" s="1"/>
  <c r="A68" i="203" s="1"/>
  <c r="A69" i="203" s="1"/>
  <c r="A70" i="203" s="1"/>
  <c r="A71" i="203" s="1"/>
  <c r="A72" i="203" s="1"/>
  <c r="A73" i="203" s="1"/>
  <c r="A74" i="203" s="1"/>
  <c r="A75" i="203" s="1"/>
  <c r="A76" i="203" s="1"/>
  <c r="A77" i="203" s="1"/>
  <c r="A78" i="203" s="1"/>
  <c r="A79" i="203" s="1"/>
  <c r="A80" i="203" s="1"/>
  <c r="A81" i="203" s="1"/>
  <c r="A82" i="203" s="1"/>
  <c r="A83" i="203" s="1"/>
  <c r="A84" i="203" s="1"/>
  <c r="A85" i="203" s="1"/>
  <c r="A86" i="203" s="1"/>
  <c r="A87" i="203" s="1"/>
  <c r="A88" i="203" s="1"/>
  <c r="A89" i="203" s="1"/>
  <c r="A90" i="203" s="1"/>
  <c r="A91" i="203" s="1"/>
  <c r="A92" i="203" s="1"/>
  <c r="A93" i="203" s="1"/>
  <c r="A94" i="203" s="1"/>
  <c r="A95" i="203" s="1"/>
  <c r="A96" i="203" s="1"/>
  <c r="A97" i="203" s="1"/>
  <c r="A98" i="203" s="1"/>
  <c r="A99" i="203" s="1"/>
  <c r="A100" i="203" s="1"/>
  <c r="A101" i="203" s="1"/>
  <c r="A102" i="203" s="1"/>
  <c r="A103" i="203" s="1"/>
  <c r="A104" i="203" s="1"/>
  <c r="A105" i="203" s="1"/>
  <c r="A106" i="203" s="1"/>
  <c r="A107" i="203" s="1"/>
  <c r="A108" i="203" s="1"/>
  <c r="A109" i="203" s="1"/>
  <c r="A110" i="203" s="1"/>
  <c r="A111" i="203" s="1"/>
  <c r="A112" i="203" s="1"/>
  <c r="A113" i="203" s="1"/>
  <c r="A114" i="203" s="1"/>
  <c r="A115" i="203" s="1"/>
  <c r="A116" i="203" s="1"/>
  <c r="A117" i="203" s="1"/>
  <c r="A118" i="203" s="1"/>
  <c r="A119" i="203" s="1"/>
  <c r="A120" i="203" s="1"/>
  <c r="A121" i="203" s="1"/>
  <c r="A122" i="203" s="1"/>
  <c r="A123" i="203" s="1"/>
  <c r="A124" i="203" s="1"/>
  <c r="A125" i="203" s="1"/>
  <c r="A126" i="203" s="1"/>
  <c r="A127" i="203" s="1"/>
  <c r="A128" i="203" s="1"/>
  <c r="A129" i="203" s="1"/>
  <c r="A130" i="203" s="1"/>
  <c r="A131" i="203" s="1"/>
  <c r="A132" i="203" s="1"/>
  <c r="A133" i="203" s="1"/>
  <c r="A134" i="203" s="1"/>
  <c r="A135" i="203" s="1"/>
  <c r="A136" i="203" s="1"/>
  <c r="A137" i="203" s="1"/>
  <c r="A138" i="203" s="1"/>
  <c r="A139" i="203" s="1"/>
  <c r="A140" i="203" s="1"/>
  <c r="A141" i="203" s="1"/>
  <c r="A142" i="203" s="1"/>
  <c r="A143" i="203" s="1"/>
  <c r="A144" i="203" s="1"/>
  <c r="A145" i="203" s="1"/>
  <c r="A146" i="203" s="1"/>
  <c r="A147" i="203" s="1"/>
  <c r="A148" i="203" s="1"/>
  <c r="A149" i="203" s="1"/>
  <c r="A150" i="203" s="1"/>
  <c r="A151" i="203" s="1"/>
  <c r="A152" i="203" s="1"/>
  <c r="A153" i="203" s="1"/>
  <c r="A154" i="203" s="1"/>
  <c r="A155" i="203" s="1"/>
  <c r="A156" i="203" s="1"/>
  <c r="A157" i="203" s="1"/>
  <c r="A158" i="203" s="1"/>
  <c r="A159" i="203" s="1"/>
  <c r="A160" i="203" s="1"/>
  <c r="A161" i="203" s="1"/>
  <c r="A162" i="203" s="1"/>
  <c r="A163" i="203" s="1"/>
  <c r="A164" i="203" s="1"/>
  <c r="A165" i="203" s="1"/>
  <c r="A166" i="203" s="1"/>
  <c r="A167" i="203" s="1"/>
  <c r="A168" i="203" s="1"/>
  <c r="A169" i="203" s="1"/>
  <c r="A170" i="203" s="1"/>
  <c r="A171" i="203" s="1"/>
  <c r="A172" i="203" s="1"/>
  <c r="A173" i="203" s="1"/>
  <c r="A174" i="203" s="1"/>
  <c r="A175" i="203" s="1"/>
  <c r="N5" i="203"/>
  <c r="I5" i="203"/>
  <c r="Q11" i="204" l="1"/>
  <c r="Q17" i="204"/>
  <c r="Q23" i="204"/>
  <c r="Q29" i="204"/>
  <c r="Q35" i="204"/>
  <c r="Q41" i="204"/>
  <c r="Q47" i="204"/>
  <c r="Q53" i="204"/>
  <c r="Q59" i="204"/>
  <c r="Q65" i="204"/>
  <c r="Q71" i="204"/>
  <c r="Q77" i="204"/>
  <c r="Q83" i="204"/>
  <c r="Q89" i="204"/>
  <c r="Q95" i="204"/>
  <c r="Q101" i="204"/>
  <c r="Q107" i="204"/>
  <c r="Q113" i="204"/>
  <c r="Q119" i="204"/>
  <c r="Q125" i="204"/>
  <c r="Q131" i="204"/>
  <c r="Q137" i="204"/>
  <c r="Q143" i="204"/>
  <c r="Q149" i="204"/>
  <c r="Q155" i="204"/>
  <c r="Q161" i="204"/>
  <c r="Q167" i="204"/>
  <c r="Q173" i="204"/>
  <c r="Q179" i="204"/>
  <c r="Q185" i="204"/>
  <c r="Q191" i="204"/>
  <c r="Q197" i="204"/>
  <c r="Q203" i="204"/>
  <c r="Q7" i="203"/>
  <c r="Q141" i="203"/>
  <c r="Q145" i="203"/>
  <c r="Q149" i="203"/>
  <c r="Q153" i="203"/>
  <c r="Q157" i="203"/>
  <c r="Q161" i="203"/>
  <c r="Q165" i="203"/>
  <c r="Q169" i="203"/>
  <c r="Q173" i="203"/>
  <c r="Q139" i="203"/>
  <c r="Q143" i="203"/>
  <c r="Q147" i="203"/>
  <c r="Q151" i="203"/>
  <c r="Q155" i="203"/>
  <c r="Q159" i="203"/>
  <c r="Q163" i="203"/>
  <c r="Q167" i="203"/>
  <c r="Q171" i="203"/>
  <c r="Q5" i="203"/>
  <c r="Q6" i="203"/>
  <c r="Q140" i="203"/>
  <c r="Q144" i="203"/>
  <c r="Q148" i="203"/>
  <c r="Q152" i="203"/>
  <c r="Q156" i="203"/>
  <c r="Q160" i="203"/>
  <c r="Q164" i="203"/>
  <c r="Q168" i="203"/>
  <c r="Q172" i="203"/>
  <c r="Q138" i="203"/>
  <c r="Q142" i="203"/>
  <c r="Q146" i="203"/>
  <c r="Q150" i="203"/>
  <c r="Q154" i="203"/>
  <c r="Q158" i="203"/>
  <c r="Q162" i="203"/>
  <c r="Q166" i="203"/>
  <c r="Q170" i="203"/>
  <c r="Q175" i="203"/>
  <c r="N177" i="203"/>
  <c r="N206" i="204"/>
  <c r="I206" i="204"/>
  <c r="Q206" i="204" s="1"/>
  <c r="H206" i="204"/>
  <c r="I177" i="203"/>
  <c r="H177" i="203"/>
  <c r="Q177" i="203" l="1"/>
  <c r="Q178" i="203" s="1"/>
  <c r="Q207" i="204"/>
  <c r="A6" i="229" l="1"/>
  <c r="A7" i="229"/>
  <c r="A8" i="229"/>
  <c r="A9" i="229" s="1"/>
  <c r="A10" i="229" s="1"/>
  <c r="A11" i="229" s="1"/>
  <c r="A12" i="229" s="1"/>
  <c r="A13" i="229" s="1"/>
  <c r="A14" i="229" s="1"/>
  <c r="A15" i="229" s="1"/>
  <c r="A16" i="229" s="1"/>
  <c r="A17" i="229" s="1"/>
  <c r="A18" i="229" s="1"/>
  <c r="A19" i="229" s="1"/>
  <c r="A20" i="229" s="1"/>
  <c r="A21" i="229" s="1"/>
  <c r="A22" i="229" s="1"/>
  <c r="A23" i="229" s="1"/>
  <c r="A24" i="229" s="1"/>
  <c r="A25" i="229" s="1"/>
  <c r="A26" i="229" s="1"/>
  <c r="A27" i="229" s="1"/>
  <c r="A28" i="229" s="1"/>
  <c r="A29" i="229" s="1"/>
  <c r="A30" i="229" s="1"/>
  <c r="A31" i="229" s="1"/>
  <c r="A32" i="229" s="1"/>
  <c r="A33" i="229" s="1"/>
  <c r="A34" i="229" s="1"/>
  <c r="A35" i="229" s="1"/>
  <c r="A36" i="229" s="1"/>
  <c r="A37" i="229" s="1"/>
  <c r="A38" i="229" s="1"/>
  <c r="A39" i="229" s="1"/>
  <c r="A40" i="229" s="1"/>
  <c r="A41" i="229" s="1"/>
</calcChain>
</file>

<file path=xl/sharedStrings.xml><?xml version="1.0" encoding="utf-8"?>
<sst xmlns="http://schemas.openxmlformats.org/spreadsheetml/2006/main" count="344" uniqueCount="133">
  <si>
    <t>No</t>
  </si>
  <si>
    <t>Ticket No</t>
  </si>
  <si>
    <t>Unit ID</t>
  </si>
  <si>
    <t>Date Out</t>
  </si>
  <si>
    <t>Time Out</t>
  </si>
  <si>
    <t>Shipper</t>
  </si>
  <si>
    <t>Gross</t>
  </si>
  <si>
    <t>Tare</t>
  </si>
  <si>
    <t>Netto</t>
  </si>
  <si>
    <t>Total</t>
  </si>
  <si>
    <t>Diperiksa dan disetujui oleh :</t>
  </si>
  <si>
    <t>Dibuat oleh :</t>
  </si>
  <si>
    <t>Deviasi</t>
  </si>
  <si>
    <t>TIMBANGAN MERGE (KG)</t>
  </si>
  <si>
    <t>ID Slip
Timbangan</t>
  </si>
  <si>
    <t>MRG</t>
  </si>
  <si>
    <t>Syarfiatul Uzma</t>
  </si>
  <si>
    <t>Staff Engineering</t>
  </si>
  <si>
    <t>TGL :</t>
  </si>
  <si>
    <t>Syella Wu</t>
  </si>
  <si>
    <t>Finance &amp; Accounting</t>
  </si>
  <si>
    <t>REKAPITULASI COAL HAULING DARI PT. MERGE MINING INDUSTRI KE PELABUHAN</t>
  </si>
  <si>
    <t>PT Talenta Bumi</t>
  </si>
  <si>
    <t>PT Merge Mining Industri</t>
  </si>
  <si>
    <t>PJM154</t>
  </si>
  <si>
    <t>PJM114</t>
  </si>
  <si>
    <t>PJM153</t>
  </si>
  <si>
    <t>PJM005</t>
  </si>
  <si>
    <t>PJM070</t>
  </si>
  <si>
    <t>PJM031</t>
  </si>
  <si>
    <t>PJM003</t>
  </si>
  <si>
    <t>PJM108</t>
  </si>
  <si>
    <t>PJM109</t>
  </si>
  <si>
    <t>PJM019</t>
  </si>
  <si>
    <t>PJM014</t>
  </si>
  <si>
    <t>PJM105</t>
  </si>
  <si>
    <t>PJM032</t>
  </si>
  <si>
    <t>PJM086</t>
  </si>
  <si>
    <t>PJM043</t>
  </si>
  <si>
    <t>PJM107</t>
  </si>
  <si>
    <t>PJM115</t>
  </si>
  <si>
    <t>PJM007</t>
  </si>
  <si>
    <t>PJM058</t>
  </si>
  <si>
    <t>PJM027</t>
  </si>
  <si>
    <t>MMI</t>
  </si>
  <si>
    <t>14:43</t>
  </si>
  <si>
    <t>14:44</t>
  </si>
  <si>
    <t>14:45</t>
  </si>
  <si>
    <t>16:12</t>
  </si>
  <si>
    <t>19:11</t>
  </si>
  <si>
    <t>19:12</t>
  </si>
  <si>
    <t>PJM152</t>
  </si>
  <si>
    <t>13:37</t>
  </si>
  <si>
    <t>13:46</t>
  </si>
  <si>
    <t>13:47</t>
  </si>
  <si>
    <t>14:09</t>
  </si>
  <si>
    <t>15:56</t>
  </si>
  <si>
    <t>16:01</t>
  </si>
  <si>
    <t>12:44</t>
  </si>
  <si>
    <t>PJM124</t>
  </si>
  <si>
    <t>14:19</t>
  </si>
  <si>
    <t>14:15</t>
  </si>
  <si>
    <t>13:01</t>
  </si>
  <si>
    <t>14:17</t>
  </si>
  <si>
    <t>14:55</t>
  </si>
  <si>
    <t>15:52</t>
  </si>
  <si>
    <t>15:59</t>
  </si>
  <si>
    <t>16:00</t>
  </si>
  <si>
    <t>PJM113</t>
  </si>
  <si>
    <t>PJM063</t>
  </si>
  <si>
    <t>12:39</t>
  </si>
  <si>
    <t>13:35</t>
  </si>
  <si>
    <t>14:35</t>
  </si>
  <si>
    <t>15:10</t>
  </si>
  <si>
    <t>16:02</t>
  </si>
  <si>
    <t>PJM135</t>
  </si>
  <si>
    <t>14:39</t>
  </si>
  <si>
    <t>14:14</t>
  </si>
  <si>
    <t>14:18</t>
  </si>
  <si>
    <t>PJM142</t>
  </si>
  <si>
    <t>PJM137</t>
  </si>
  <si>
    <t>PJM138</t>
  </si>
  <si>
    <t>PJM144</t>
  </si>
  <si>
    <t>PJM143</t>
  </si>
  <si>
    <t>PJM140</t>
  </si>
  <si>
    <t>PJM141</t>
  </si>
  <si>
    <t>PJM148</t>
  </si>
  <si>
    <t>PJM136</t>
  </si>
  <si>
    <t>PJM150</t>
  </si>
  <si>
    <t>TB02-26/05/26/00067</t>
  </si>
  <si>
    <t>TB02-26/05/26/00068</t>
  </si>
  <si>
    <t>TB02-26/05/26/00070</t>
  </si>
  <si>
    <t>TB02-26/05/26/00071</t>
  </si>
  <si>
    <t>TB02-26/05/26/00072</t>
  </si>
  <si>
    <t>TB02-26/05/26/00075</t>
  </si>
  <si>
    <t>TB02-26/05/26/00080</t>
  </si>
  <si>
    <t>TB02-26/05/26/00081</t>
  </si>
  <si>
    <t>TB02-26/05/26/00085</t>
  </si>
  <si>
    <t>TB02-26/05/26/00086</t>
  </si>
  <si>
    <t>TB02-26/05/26/00087</t>
  </si>
  <si>
    <t>PJM151</t>
  </si>
  <si>
    <t>TB02-26/05/26/00088</t>
  </si>
  <si>
    <t>TB02-26/05/26/00093</t>
  </si>
  <si>
    <t>TB02-26/05/26/00094</t>
  </si>
  <si>
    <t>TB02-26/05/26/00095</t>
  </si>
  <si>
    <t>TB02-26/05/26/00096</t>
  </si>
  <si>
    <t>TB02-26/05/26/00097</t>
  </si>
  <si>
    <t>TB02-26/05/26/00098</t>
  </si>
  <si>
    <t>TB02-26/05/26/00099</t>
  </si>
  <si>
    <t>TB02-26/05/26/00107</t>
  </si>
  <si>
    <t>TB02-26/05/26/00108</t>
  </si>
  <si>
    <t>TB02-26/05/26/00109</t>
  </si>
  <si>
    <t>TB02-26/05/26/00110</t>
  </si>
  <si>
    <t>TB02-26/05/26/00111</t>
  </si>
  <si>
    <t>TB02-26/05/26/00112</t>
  </si>
  <si>
    <t>TB02-26/05/26/00116</t>
  </si>
  <si>
    <t>PJM149</t>
  </si>
  <si>
    <t>TB02-26/05/26/00123</t>
  </si>
  <si>
    <t>TB02-26/05/26/00124</t>
  </si>
  <si>
    <t>TB02-26/05/26/00128</t>
  </si>
  <si>
    <t>TB02-26/05/26/00130</t>
  </si>
  <si>
    <t>TB02-26/05/26/00131</t>
  </si>
  <si>
    <t>TB02-26/05/26/00132</t>
  </si>
  <si>
    <t>TB02-26/05/26/00133</t>
  </si>
  <si>
    <t>TB02-26/05/26/00134</t>
  </si>
  <si>
    <t>TB02-26/05/26/00137</t>
  </si>
  <si>
    <t>TB02-26/05/26/00145</t>
  </si>
  <si>
    <t>TB02-26/05/26/00146</t>
  </si>
  <si>
    <t>12:27</t>
  </si>
  <si>
    <t>12:35</t>
  </si>
  <si>
    <t>12:43</t>
  </si>
  <si>
    <t>12:49</t>
  </si>
  <si>
    <t>14:10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</si>
</sst>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5" formatCode="_(* #,##0.00_);_(* \(#,##0.00\);_(* &quot;-&quot;??_);_(@_)"/>
    <numFmt numFmtId="166" formatCode="[$-F400]h:mm:ss\ AM/PM"/>
    <numFmt numFmtId="167" formatCode="#,##0_ ;\-#,##0\ "/>
    <numFmt numFmtId="169" formatCode="#,##0.000"/>
  </numFmts>
  <fonts count="15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  <charset val="204"/>
    </font>
    <font>
      <b/>
      <u/>
      <sz val="9"/>
      <name val="Arial"/>
      <family val="2"/>
      <charset val="204"/>
    </font>
    <font>
      <sz val="8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color theme="1"/>
      <name val="Arial"/>
      <family val="2"/>
    </font>
    <font>
      <sz val="8"/>
      <color theme="1"/>
      <name val="Arial"/>
      <family val="2"/>
      <charset val="204"/>
    </font>
    <font>
      <b/>
      <sz val="14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theme="0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1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9" fontId="8" fillId="0" borderId="0" applyFont="0" applyFill="0" applyBorder="0" applyAlignment="0" applyProtection="0"/>
  </cellStyleXfs>
  <cellXfs count="53">
    <xf numFmtId="0" fontId="0" fillId="0" borderId="0" xfId="0"/>
    <xf numFmtId="0" fontId="1" fillId="2" borderId="0" xfId="3" applyFill="1"/>
    <xf numFmtId="0" fontId="1" fillId="2" borderId="1" xfId="3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1" fillId="2" borderId="0" xfId="3" applyFill="1" applyAlignment="1">
      <alignment horizontal="center" vertical="center"/>
    </xf>
    <xf numFmtId="0" fontId="4" fillId="2" borderId="0" xfId="3" applyFont="1" applyFill="1" applyAlignment="1">
      <alignment vertical="center"/>
    </xf>
    <xf numFmtId="0" fontId="4" fillId="2" borderId="0" xfId="3" applyFont="1" applyFill="1"/>
    <xf numFmtId="3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4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left" vertical="center"/>
    </xf>
    <xf numFmtId="0" fontId="13" fillId="2" borderId="3" xfId="3" applyFont="1" applyFill="1" applyBorder="1" applyAlignment="1">
      <alignment horizontal="left" vertical="center"/>
    </xf>
    <xf numFmtId="0" fontId="13" fillId="2" borderId="3" xfId="3" applyFont="1" applyFill="1" applyBorder="1" applyAlignment="1">
      <alignment vertical="center"/>
    </xf>
    <xf numFmtId="0" fontId="3" fillId="2" borderId="5" xfId="3" applyFont="1" applyFill="1" applyBorder="1" applyAlignment="1">
      <alignment horizontal="center" vertical="center"/>
    </xf>
    <xf numFmtId="0" fontId="3" fillId="2" borderId="6" xfId="3" applyFont="1" applyFill="1" applyBorder="1" applyAlignment="1">
      <alignment horizontal="center" vertical="center"/>
    </xf>
    <xf numFmtId="0" fontId="3" fillId="2" borderId="7" xfId="3" applyFont="1" applyFill="1" applyBorder="1" applyAlignment="1">
      <alignment horizontal="left" vertical="center"/>
    </xf>
    <xf numFmtId="169" fontId="3" fillId="3" borderId="1" xfId="3" applyNumberFormat="1" applyFont="1" applyFill="1" applyBorder="1" applyAlignment="1">
      <alignment horizontal="center" vertical="center"/>
    </xf>
    <xf numFmtId="169" fontId="3" fillId="4" borderId="1" xfId="3" applyNumberFormat="1" applyFont="1" applyFill="1" applyBorder="1" applyAlignment="1">
      <alignment horizontal="center" vertical="center"/>
    </xf>
    <xf numFmtId="0" fontId="1" fillId="2" borderId="0" xfId="3" applyFill="1" applyAlignment="1">
      <alignment horizontal="center"/>
    </xf>
    <xf numFmtId="0" fontId="3" fillId="2" borderId="0" xfId="3" applyFont="1" applyFill="1" applyAlignment="1">
      <alignment horizontal="center" vertical="center"/>
    </xf>
    <xf numFmtId="3" fontId="3" fillId="2" borderId="0" xfId="3" applyNumberFormat="1" applyFont="1" applyFill="1" applyAlignment="1">
      <alignment horizontal="center" vertical="center"/>
    </xf>
    <xf numFmtId="3" fontId="10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4" fontId="11" fillId="2" borderId="0" xfId="0" applyNumberFormat="1" applyFont="1" applyFill="1" applyAlignment="1">
      <alignment horizontal="center" vertical="center"/>
    </xf>
    <xf numFmtId="166" fontId="11" fillId="2" borderId="0" xfId="0" applyNumberFormat="1" applyFont="1" applyFill="1" applyAlignment="1">
      <alignment horizontal="center" vertical="center"/>
    </xf>
    <xf numFmtId="3" fontId="10" fillId="2" borderId="8" xfId="0" applyNumberFormat="1" applyFont="1" applyFill="1" applyBorder="1" applyAlignment="1">
      <alignment horizontal="center" vertical="center"/>
    </xf>
    <xf numFmtId="167" fontId="6" fillId="2" borderId="0" xfId="1" applyNumberFormat="1" applyFont="1" applyFill="1" applyBorder="1" applyAlignment="1">
      <alignment horizontal="center" vertical="center"/>
    </xf>
    <xf numFmtId="167" fontId="6" fillId="2" borderId="8" xfId="1" applyNumberFormat="1" applyFont="1" applyFill="1" applyBorder="1" applyAlignment="1">
      <alignment horizontal="center" vertical="center"/>
    </xf>
    <xf numFmtId="167" fontId="1" fillId="2" borderId="8" xfId="1" applyNumberFormat="1" applyFont="1" applyFill="1" applyBorder="1" applyAlignment="1">
      <alignment horizontal="center" vertical="center"/>
    </xf>
    <xf numFmtId="0" fontId="2" fillId="2" borderId="1" xfId="5" applyFont="1" applyFill="1" applyBorder="1" applyAlignment="1">
      <alignment horizontal="center" vertical="center" wrapText="1"/>
    </xf>
    <xf numFmtId="0" fontId="4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/>
    </xf>
    <xf numFmtId="3" fontId="1" fillId="2" borderId="0" xfId="3" applyNumberFormat="1" applyFill="1" applyAlignment="1">
      <alignment horizontal="center" vertical="center"/>
    </xf>
    <xf numFmtId="0" fontId="14" fillId="2" borderId="4" xfId="3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0" fontId="1" fillId="2" borderId="0" xfId="6" applyNumberFormat="1" applyFont="1" applyFill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/>
    </xf>
    <xf numFmtId="0" fontId="7" fillId="2" borderId="0" xfId="3" applyFont="1" applyFill="1" applyAlignment="1">
      <alignment horizontal="center" vertical="center"/>
    </xf>
    <xf numFmtId="0" fontId="3" fillId="2" borderId="9" xfId="3" applyFont="1" applyFill="1" applyBorder="1" applyAlignment="1">
      <alignment horizontal="left" vertical="center"/>
    </xf>
    <xf numFmtId="0" fontId="3" fillId="2" borderId="0" xfId="3" applyFont="1" applyFill="1" applyAlignment="1">
      <alignment horizontal="left" vertical="center"/>
    </xf>
    <xf numFmtId="0" fontId="3" fillId="2" borderId="10" xfId="3" applyFont="1" applyFill="1" applyBorder="1" applyAlignment="1">
      <alignment horizontal="left" vertical="center"/>
    </xf>
    <xf numFmtId="0" fontId="7" fillId="2" borderId="5" xfId="3" applyFont="1" applyFill="1" applyBorder="1" applyAlignment="1">
      <alignment horizontal="center" vertical="center"/>
    </xf>
  </cellXfs>
  <cellStyles count="7">
    <cellStyle name="Comma [0]" xfId="1" builtinId="6"/>
    <cellStyle name="Comma 2" xfId="2" xr:uid="{00000000-0005-0000-0000-000001000000}"/>
    <cellStyle name="Normal" xfId="0" builtinId="0"/>
    <cellStyle name="Normal 2" xfId="3" xr:uid="{00000000-0005-0000-0000-000003000000}"/>
    <cellStyle name="Normal 2 2" xfId="5" xr:uid="{00000000-0005-0000-0000-000004000000}"/>
    <cellStyle name="Normal 3" xfId="4" xr:uid="{00000000-0005-0000-0000-000005000000}"/>
    <cellStyle name="Percent" xfId="6" builtinId="5"/>
  </cellStyles>
  <dxfs count="529"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</dxfs>
  <tableStyles count="0" defaultTableStyle="TableStyleMedium9" defaultPivotStyle="PivotStyleLight16"/>
  <colors>
    <mruColors>
      <color rgb="FFFF0066"/>
      <color rgb="FFFFCCFF"/>
      <color rgb="FFFFFFCC"/>
      <color rgb="FFFF99FF"/>
      <color rgb="FF66CCFF"/>
      <color rgb="FF99CC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D740-7046-4C58-BD9F-6A6E15827CDD}">
  <sheetPr codeName="Sheet4"/>
  <dimension ref="A1:Q227"/>
  <sheetViews>
    <sheetView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5.140625" style="1" bestFit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8"/>
      <c r="M1" s="48"/>
      <c r="N1" s="48"/>
    </row>
    <row r="2" spans="1:17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  <c r="K2" s="48" t="s">
        <v>13</v>
      </c>
      <c r="L2" s="48"/>
      <c r="M2" s="48"/>
      <c r="N2" s="48"/>
    </row>
    <row r="3" spans="1:17" ht="16.5" customHeight="1" x14ac:dyDescent="0.2">
      <c r="A3" s="23" t="s">
        <v>18</v>
      </c>
      <c r="B3" s="43">
        <v>46143</v>
      </c>
      <c r="C3" s="21"/>
      <c r="D3" s="21"/>
      <c r="E3" s="21"/>
      <c r="F3" s="21"/>
      <c r="G3" s="21"/>
      <c r="H3" s="21"/>
      <c r="I3" s="22"/>
      <c r="L3" s="52"/>
      <c r="M3" s="52"/>
      <c r="N3" s="52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175" si="1">G6-H6</f>
        <v>0</v>
      </c>
      <c r="K6" s="2"/>
      <c r="L6" s="14"/>
      <c r="M6" s="14"/>
      <c r="N6" s="15">
        <f t="shared" ref="N6:N175" si="2">L6-M6</f>
        <v>0</v>
      </c>
      <c r="O6" s="41">
        <f t="shared" ref="O6:O175" si="3">G6-L6</f>
        <v>0</v>
      </c>
      <c r="P6" s="41">
        <f t="shared" ref="P6:P175" si="4">H6-M6</f>
        <v>0</v>
      </c>
      <c r="Q6" s="41">
        <f t="shared" ref="Q6:Q175" si="5">I6-N6</f>
        <v>0</v>
      </c>
    </row>
    <row r="7" spans="1:17" s="7" customFormat="1" ht="15" customHeight="1" x14ac:dyDescent="0.25">
      <c r="A7" s="2">
        <f t="shared" ref="A7:A175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ref="O7:O70" si="7">G7-L7</f>
        <v>0</v>
      </c>
      <c r="P7" s="41">
        <f t="shared" ref="P7:P70" si="8">H7-M7</f>
        <v>0</v>
      </c>
      <c r="Q7" s="41">
        <f t="shared" ref="Q7:Q70" si="9">I7-N7</f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7"/>
        <v>0</v>
      </c>
      <c r="P8" s="41">
        <f t="shared" si="8"/>
        <v>0</v>
      </c>
      <c r="Q8" s="41">
        <f t="shared" si="9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7"/>
        <v>0</v>
      </c>
      <c r="P9" s="41">
        <f t="shared" si="8"/>
        <v>0</v>
      </c>
      <c r="Q9" s="41">
        <f t="shared" si="9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7"/>
        <v>0</v>
      </c>
      <c r="P10" s="41">
        <f t="shared" si="8"/>
        <v>0</v>
      </c>
      <c r="Q10" s="41">
        <f t="shared" si="9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7"/>
        <v>0</v>
      </c>
      <c r="P11" s="41">
        <f t="shared" si="8"/>
        <v>0</v>
      </c>
      <c r="Q11" s="41">
        <f t="shared" si="9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7"/>
        <v>0</v>
      </c>
      <c r="P12" s="41">
        <f t="shared" si="8"/>
        <v>0</v>
      </c>
      <c r="Q12" s="41">
        <f t="shared" si="9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7"/>
        <v>0</v>
      </c>
      <c r="P13" s="41">
        <f t="shared" si="8"/>
        <v>0</v>
      </c>
      <c r="Q13" s="41">
        <f t="shared" si="9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7"/>
        <v>0</v>
      </c>
      <c r="P14" s="41">
        <f t="shared" si="8"/>
        <v>0</v>
      </c>
      <c r="Q14" s="41">
        <f t="shared" si="9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7"/>
        <v>0</v>
      </c>
      <c r="P15" s="41">
        <f t="shared" si="8"/>
        <v>0</v>
      </c>
      <c r="Q15" s="41">
        <f t="shared" si="9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7"/>
        <v>0</v>
      </c>
      <c r="P16" s="41">
        <f t="shared" si="8"/>
        <v>0</v>
      </c>
      <c r="Q16" s="41">
        <f t="shared" si="9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7"/>
        <v>0</v>
      </c>
      <c r="P17" s="41">
        <f t="shared" si="8"/>
        <v>0</v>
      </c>
      <c r="Q17" s="41">
        <f t="shared" si="9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7"/>
        <v>0</v>
      </c>
      <c r="P18" s="41">
        <f t="shared" si="8"/>
        <v>0</v>
      </c>
      <c r="Q18" s="41">
        <f t="shared" si="9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7"/>
        <v>0</v>
      </c>
      <c r="P19" s="41">
        <f t="shared" si="8"/>
        <v>0</v>
      </c>
      <c r="Q19" s="41">
        <f t="shared" si="9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7"/>
        <v>0</v>
      </c>
      <c r="P20" s="41">
        <f t="shared" si="8"/>
        <v>0</v>
      </c>
      <c r="Q20" s="41">
        <f t="shared" si="9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7"/>
        <v>0</v>
      </c>
      <c r="P21" s="41">
        <f t="shared" si="8"/>
        <v>0</v>
      </c>
      <c r="Q21" s="41">
        <f t="shared" si="9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7"/>
        <v>0</v>
      </c>
      <c r="P22" s="41">
        <f t="shared" si="8"/>
        <v>0</v>
      </c>
      <c r="Q22" s="41">
        <f t="shared" si="9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7"/>
        <v>0</v>
      </c>
      <c r="P23" s="41">
        <f t="shared" si="8"/>
        <v>0</v>
      </c>
      <c r="Q23" s="41">
        <f t="shared" si="9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7"/>
        <v>0</v>
      </c>
      <c r="P24" s="41">
        <f t="shared" si="8"/>
        <v>0</v>
      </c>
      <c r="Q24" s="41">
        <f t="shared" si="9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7"/>
        <v>0</v>
      </c>
      <c r="P25" s="41">
        <f t="shared" si="8"/>
        <v>0</v>
      </c>
      <c r="Q25" s="41">
        <f t="shared" si="9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7"/>
        <v>0</v>
      </c>
      <c r="P26" s="41">
        <f t="shared" si="8"/>
        <v>0</v>
      </c>
      <c r="Q26" s="41">
        <f t="shared" si="9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7"/>
        <v>0</v>
      </c>
      <c r="P27" s="41">
        <f t="shared" si="8"/>
        <v>0</v>
      </c>
      <c r="Q27" s="41">
        <f t="shared" si="9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7"/>
        <v>0</v>
      </c>
      <c r="P28" s="41">
        <f t="shared" si="8"/>
        <v>0</v>
      </c>
      <c r="Q28" s="41">
        <f t="shared" si="9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7"/>
        <v>0</v>
      </c>
      <c r="P29" s="41">
        <f t="shared" si="8"/>
        <v>0</v>
      </c>
      <c r="Q29" s="41">
        <f t="shared" si="9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7"/>
        <v>0</v>
      </c>
      <c r="P30" s="41">
        <f t="shared" si="8"/>
        <v>0</v>
      </c>
      <c r="Q30" s="41">
        <f t="shared" si="9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7"/>
        <v>0</v>
      </c>
      <c r="P31" s="41">
        <f t="shared" si="8"/>
        <v>0</v>
      </c>
      <c r="Q31" s="41">
        <f t="shared" si="9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7"/>
        <v>0</v>
      </c>
      <c r="P32" s="41">
        <f t="shared" si="8"/>
        <v>0</v>
      </c>
      <c r="Q32" s="41">
        <f t="shared" si="9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7"/>
        <v>0</v>
      </c>
      <c r="P33" s="41">
        <f t="shared" si="8"/>
        <v>0</v>
      </c>
      <c r="Q33" s="41">
        <f t="shared" si="9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7"/>
        <v>0</v>
      </c>
      <c r="P34" s="41">
        <f t="shared" si="8"/>
        <v>0</v>
      </c>
      <c r="Q34" s="41">
        <f t="shared" si="9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7"/>
        <v>0</v>
      </c>
      <c r="P35" s="41">
        <f t="shared" si="8"/>
        <v>0</v>
      </c>
      <c r="Q35" s="41">
        <f t="shared" si="9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7"/>
        <v>0</v>
      </c>
      <c r="P36" s="41">
        <f t="shared" si="8"/>
        <v>0</v>
      </c>
      <c r="Q36" s="41">
        <f t="shared" si="9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7"/>
        <v>0</v>
      </c>
      <c r="P37" s="41">
        <f t="shared" si="8"/>
        <v>0</v>
      </c>
      <c r="Q37" s="41">
        <f t="shared" si="9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7"/>
        <v>0</v>
      </c>
      <c r="P38" s="41">
        <f t="shared" si="8"/>
        <v>0</v>
      </c>
      <c r="Q38" s="41">
        <f t="shared" si="9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7"/>
        <v>0</v>
      </c>
      <c r="P39" s="41">
        <f t="shared" si="8"/>
        <v>0</v>
      </c>
      <c r="Q39" s="41">
        <f t="shared" si="9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7"/>
        <v>0</v>
      </c>
      <c r="P40" s="41">
        <f t="shared" si="8"/>
        <v>0</v>
      </c>
      <c r="Q40" s="41">
        <f t="shared" si="9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7"/>
        <v>0</v>
      </c>
      <c r="P41" s="41">
        <f t="shared" si="8"/>
        <v>0</v>
      </c>
      <c r="Q41" s="41">
        <f t="shared" si="9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7"/>
        <v>0</v>
      </c>
      <c r="P42" s="41">
        <f t="shared" si="8"/>
        <v>0</v>
      </c>
      <c r="Q42" s="41">
        <f t="shared" si="9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7"/>
        <v>0</v>
      </c>
      <c r="P43" s="41">
        <f t="shared" si="8"/>
        <v>0</v>
      </c>
      <c r="Q43" s="41">
        <f t="shared" si="9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7"/>
        <v>0</v>
      </c>
      <c r="P44" s="41">
        <f t="shared" si="8"/>
        <v>0</v>
      </c>
      <c r="Q44" s="41">
        <f t="shared" si="9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7"/>
        <v>0</v>
      </c>
      <c r="P45" s="41">
        <f t="shared" si="8"/>
        <v>0</v>
      </c>
      <c r="Q45" s="41">
        <f t="shared" si="9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7"/>
        <v>0</v>
      </c>
      <c r="P46" s="41">
        <f t="shared" si="8"/>
        <v>0</v>
      </c>
      <c r="Q46" s="41">
        <f t="shared" si="9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7"/>
        <v>0</v>
      </c>
      <c r="P47" s="41">
        <f t="shared" si="8"/>
        <v>0</v>
      </c>
      <c r="Q47" s="41">
        <f t="shared" si="9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7"/>
        <v>0</v>
      </c>
      <c r="P48" s="41">
        <f t="shared" si="8"/>
        <v>0</v>
      </c>
      <c r="Q48" s="41">
        <f t="shared" si="9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7"/>
        <v>0</v>
      </c>
      <c r="P49" s="41">
        <f t="shared" si="8"/>
        <v>0</v>
      </c>
      <c r="Q49" s="41">
        <f t="shared" si="9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7"/>
        <v>0</v>
      </c>
      <c r="P50" s="41">
        <f t="shared" si="8"/>
        <v>0</v>
      </c>
      <c r="Q50" s="41">
        <f t="shared" si="9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7"/>
        <v>0</v>
      </c>
      <c r="P51" s="41">
        <f t="shared" si="8"/>
        <v>0</v>
      </c>
      <c r="Q51" s="41">
        <f t="shared" si="9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7"/>
        <v>0</v>
      </c>
      <c r="P52" s="41">
        <f t="shared" si="8"/>
        <v>0</v>
      </c>
      <c r="Q52" s="41">
        <f t="shared" si="9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7"/>
        <v>0</v>
      </c>
      <c r="P53" s="41">
        <f t="shared" si="8"/>
        <v>0</v>
      </c>
      <c r="Q53" s="41">
        <f t="shared" si="9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7"/>
        <v>0</v>
      </c>
      <c r="P54" s="41">
        <f t="shared" si="8"/>
        <v>0</v>
      </c>
      <c r="Q54" s="41">
        <f t="shared" si="9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7"/>
        <v>0</v>
      </c>
      <c r="P55" s="41">
        <f t="shared" si="8"/>
        <v>0</v>
      </c>
      <c r="Q55" s="41">
        <f t="shared" si="9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7"/>
        <v>0</v>
      </c>
      <c r="P56" s="41">
        <f t="shared" si="8"/>
        <v>0</v>
      </c>
      <c r="Q56" s="41">
        <f t="shared" si="9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7"/>
        <v>0</v>
      </c>
      <c r="P57" s="41">
        <f t="shared" si="8"/>
        <v>0</v>
      </c>
      <c r="Q57" s="41">
        <f t="shared" si="9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7"/>
        <v>0</v>
      </c>
      <c r="P58" s="41">
        <f t="shared" si="8"/>
        <v>0</v>
      </c>
      <c r="Q58" s="41">
        <f t="shared" si="9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7"/>
        <v>0</v>
      </c>
      <c r="P59" s="41">
        <f t="shared" si="8"/>
        <v>0</v>
      </c>
      <c r="Q59" s="41">
        <f t="shared" si="9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7"/>
        <v>0</v>
      </c>
      <c r="P60" s="41">
        <f t="shared" si="8"/>
        <v>0</v>
      </c>
      <c r="Q60" s="41">
        <f t="shared" si="9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7"/>
        <v>0</v>
      </c>
      <c r="P61" s="41">
        <f t="shared" si="8"/>
        <v>0</v>
      </c>
      <c r="Q61" s="41">
        <f t="shared" si="9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7"/>
        <v>0</v>
      </c>
      <c r="P62" s="41">
        <f t="shared" si="8"/>
        <v>0</v>
      </c>
      <c r="Q62" s="41">
        <f t="shared" si="9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7"/>
        <v>0</v>
      </c>
      <c r="P63" s="41">
        <f t="shared" si="8"/>
        <v>0</v>
      </c>
      <c r="Q63" s="41">
        <f t="shared" si="9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7"/>
        <v>0</v>
      </c>
      <c r="P64" s="41">
        <f t="shared" si="8"/>
        <v>0</v>
      </c>
      <c r="Q64" s="41">
        <f t="shared" si="9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7"/>
        <v>0</v>
      </c>
      <c r="P65" s="41">
        <f t="shared" si="8"/>
        <v>0</v>
      </c>
      <c r="Q65" s="41">
        <f t="shared" si="9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7"/>
        <v>0</v>
      </c>
      <c r="P66" s="41">
        <f t="shared" si="8"/>
        <v>0</v>
      </c>
      <c r="Q66" s="41">
        <f t="shared" si="9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7"/>
        <v>0</v>
      </c>
      <c r="P67" s="41">
        <f t="shared" si="8"/>
        <v>0</v>
      </c>
      <c r="Q67" s="41">
        <f t="shared" si="9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7"/>
        <v>0</v>
      </c>
      <c r="P68" s="41">
        <f t="shared" si="8"/>
        <v>0</v>
      </c>
      <c r="Q68" s="41">
        <f t="shared" si="9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7"/>
        <v>0</v>
      </c>
      <c r="P69" s="41">
        <f t="shared" si="8"/>
        <v>0</v>
      </c>
      <c r="Q69" s="41">
        <f t="shared" si="9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si="7"/>
        <v>0</v>
      </c>
      <c r="P70" s="41">
        <f t="shared" si="8"/>
        <v>0</v>
      </c>
      <c r="Q70" s="41">
        <f t="shared" si="9"/>
        <v>0</v>
      </c>
    </row>
    <row r="71" spans="1:17" s="7" customFormat="1" ht="15" customHeight="1" x14ac:dyDescent="0.25">
      <c r="A71" s="2">
        <f t="shared" si="6"/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ref="O71:O134" si="10">G71-L71</f>
        <v>0</v>
      </c>
      <c r="P71" s="41">
        <f t="shared" ref="P71:P134" si="11">H71-M71</f>
        <v>0</v>
      </c>
      <c r="Q71" s="41">
        <f t="shared" ref="Q71:Q134" si="12">I71-N71</f>
        <v>0</v>
      </c>
    </row>
    <row r="72" spans="1:17" s="7" customFormat="1" ht="15" customHeight="1" x14ac:dyDescent="0.25">
      <c r="A72" s="2">
        <f t="shared" si="6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10"/>
        <v>0</v>
      </c>
      <c r="P72" s="41">
        <f t="shared" si="11"/>
        <v>0</v>
      </c>
      <c r="Q72" s="41">
        <f t="shared" si="12"/>
        <v>0</v>
      </c>
    </row>
    <row r="73" spans="1:17" s="7" customFormat="1" ht="15" customHeight="1" x14ac:dyDescent="0.25">
      <c r="A73" s="2">
        <f t="shared" si="6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10"/>
        <v>0</v>
      </c>
      <c r="P73" s="41">
        <f t="shared" si="11"/>
        <v>0</v>
      </c>
      <c r="Q73" s="41">
        <f t="shared" si="12"/>
        <v>0</v>
      </c>
    </row>
    <row r="74" spans="1:17" s="7" customFormat="1" ht="15" customHeight="1" x14ac:dyDescent="0.25">
      <c r="A74" s="2">
        <f t="shared" si="6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10"/>
        <v>0</v>
      </c>
      <c r="P74" s="41">
        <f t="shared" si="11"/>
        <v>0</v>
      </c>
      <c r="Q74" s="41">
        <f t="shared" si="12"/>
        <v>0</v>
      </c>
    </row>
    <row r="75" spans="1:17" s="7" customFormat="1" ht="15" customHeight="1" x14ac:dyDescent="0.25">
      <c r="A75" s="2">
        <f t="shared" si="6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10"/>
        <v>0</v>
      </c>
      <c r="P75" s="41">
        <f t="shared" si="11"/>
        <v>0</v>
      </c>
      <c r="Q75" s="41">
        <f t="shared" si="12"/>
        <v>0</v>
      </c>
    </row>
    <row r="76" spans="1:17" s="7" customFormat="1" ht="15" customHeight="1" x14ac:dyDescent="0.25">
      <c r="A76" s="2">
        <f t="shared" si="6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10"/>
        <v>0</v>
      </c>
      <c r="P76" s="41">
        <f t="shared" si="11"/>
        <v>0</v>
      </c>
      <c r="Q76" s="41">
        <f t="shared" si="12"/>
        <v>0</v>
      </c>
    </row>
    <row r="77" spans="1:17" s="7" customFormat="1" ht="15" customHeight="1" x14ac:dyDescent="0.25">
      <c r="A77" s="2">
        <f t="shared" si="6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10"/>
        <v>0</v>
      </c>
      <c r="P77" s="41">
        <f t="shared" si="11"/>
        <v>0</v>
      </c>
      <c r="Q77" s="41">
        <f t="shared" si="12"/>
        <v>0</v>
      </c>
    </row>
    <row r="78" spans="1:17" s="7" customFormat="1" ht="15" customHeight="1" x14ac:dyDescent="0.25">
      <c r="A78" s="2">
        <f t="shared" si="6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10"/>
        <v>0</v>
      </c>
      <c r="P78" s="41">
        <f t="shared" si="11"/>
        <v>0</v>
      </c>
      <c r="Q78" s="41">
        <f t="shared" si="12"/>
        <v>0</v>
      </c>
    </row>
    <row r="79" spans="1:17" s="7" customFormat="1" ht="15" customHeight="1" x14ac:dyDescent="0.25">
      <c r="A79" s="2">
        <f t="shared" si="6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10"/>
        <v>0</v>
      </c>
      <c r="P79" s="41">
        <f t="shared" si="11"/>
        <v>0</v>
      </c>
      <c r="Q79" s="41">
        <f t="shared" si="12"/>
        <v>0</v>
      </c>
    </row>
    <row r="80" spans="1:17" s="7" customFormat="1" ht="15" customHeight="1" x14ac:dyDescent="0.25">
      <c r="A80" s="2">
        <f t="shared" si="6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10"/>
        <v>0</v>
      </c>
      <c r="P80" s="41">
        <f t="shared" si="11"/>
        <v>0</v>
      </c>
      <c r="Q80" s="41">
        <f t="shared" si="12"/>
        <v>0</v>
      </c>
    </row>
    <row r="81" spans="1:17" s="7" customFormat="1" ht="15" customHeight="1" x14ac:dyDescent="0.25">
      <c r="A81" s="2">
        <f t="shared" si="6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10"/>
        <v>0</v>
      </c>
      <c r="P81" s="41">
        <f t="shared" si="11"/>
        <v>0</v>
      </c>
      <c r="Q81" s="41">
        <f t="shared" si="12"/>
        <v>0</v>
      </c>
    </row>
    <row r="82" spans="1:17" s="7" customFormat="1" ht="15" customHeight="1" x14ac:dyDescent="0.25">
      <c r="A82" s="2">
        <f t="shared" si="6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10"/>
        <v>0</v>
      </c>
      <c r="P82" s="41">
        <f t="shared" si="11"/>
        <v>0</v>
      </c>
      <c r="Q82" s="41">
        <f t="shared" si="12"/>
        <v>0</v>
      </c>
    </row>
    <row r="83" spans="1:17" s="7" customFormat="1" ht="15" customHeight="1" x14ac:dyDescent="0.25">
      <c r="A83" s="2">
        <f t="shared" si="6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10"/>
        <v>0</v>
      </c>
      <c r="P83" s="41">
        <f t="shared" si="11"/>
        <v>0</v>
      </c>
      <c r="Q83" s="41">
        <f t="shared" si="12"/>
        <v>0</v>
      </c>
    </row>
    <row r="84" spans="1:17" s="7" customFormat="1" ht="15" customHeight="1" x14ac:dyDescent="0.25">
      <c r="A84" s="2">
        <f t="shared" si="6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10"/>
        <v>0</v>
      </c>
      <c r="P84" s="41">
        <f t="shared" si="11"/>
        <v>0</v>
      </c>
      <c r="Q84" s="41">
        <f t="shared" si="12"/>
        <v>0</v>
      </c>
    </row>
    <row r="85" spans="1:17" s="7" customFormat="1" ht="15" customHeight="1" x14ac:dyDescent="0.25">
      <c r="A85" s="2">
        <f t="shared" si="6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10"/>
        <v>0</v>
      </c>
      <c r="P85" s="41">
        <f t="shared" si="11"/>
        <v>0</v>
      </c>
      <c r="Q85" s="41">
        <f t="shared" si="12"/>
        <v>0</v>
      </c>
    </row>
    <row r="86" spans="1:17" s="7" customFormat="1" ht="15" customHeight="1" x14ac:dyDescent="0.25">
      <c r="A86" s="2">
        <f t="shared" si="6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10"/>
        <v>0</v>
      </c>
      <c r="P86" s="41">
        <f t="shared" si="11"/>
        <v>0</v>
      </c>
      <c r="Q86" s="41">
        <f t="shared" si="12"/>
        <v>0</v>
      </c>
    </row>
    <row r="87" spans="1:17" s="7" customFormat="1" ht="15" customHeight="1" x14ac:dyDescent="0.25">
      <c r="A87" s="2">
        <f t="shared" si="6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10"/>
        <v>0</v>
      </c>
      <c r="P87" s="41">
        <f t="shared" si="11"/>
        <v>0</v>
      </c>
      <c r="Q87" s="41">
        <f t="shared" si="12"/>
        <v>0</v>
      </c>
    </row>
    <row r="88" spans="1:17" s="7" customFormat="1" ht="15" customHeight="1" x14ac:dyDescent="0.25">
      <c r="A88" s="2">
        <f t="shared" si="6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10"/>
        <v>0</v>
      </c>
      <c r="P88" s="41">
        <f t="shared" si="11"/>
        <v>0</v>
      </c>
      <c r="Q88" s="41">
        <f t="shared" si="12"/>
        <v>0</v>
      </c>
    </row>
    <row r="89" spans="1:17" s="7" customFormat="1" ht="15" customHeight="1" x14ac:dyDescent="0.25">
      <c r="A89" s="2">
        <f t="shared" si="6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10"/>
        <v>0</v>
      </c>
      <c r="P89" s="41">
        <f t="shared" si="11"/>
        <v>0</v>
      </c>
      <c r="Q89" s="41">
        <f t="shared" si="12"/>
        <v>0</v>
      </c>
    </row>
    <row r="90" spans="1:17" s="7" customFormat="1" ht="15" customHeight="1" x14ac:dyDescent="0.25">
      <c r="A90" s="2">
        <f t="shared" si="6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10"/>
        <v>0</v>
      </c>
      <c r="P90" s="41">
        <f t="shared" si="11"/>
        <v>0</v>
      </c>
      <c r="Q90" s="41">
        <f t="shared" si="12"/>
        <v>0</v>
      </c>
    </row>
    <row r="91" spans="1:17" s="7" customFormat="1" ht="15" customHeight="1" x14ac:dyDescent="0.25">
      <c r="A91" s="2">
        <f t="shared" si="6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10"/>
        <v>0</v>
      </c>
      <c r="P91" s="41">
        <f t="shared" si="11"/>
        <v>0</v>
      </c>
      <c r="Q91" s="41">
        <f t="shared" si="12"/>
        <v>0</v>
      </c>
    </row>
    <row r="92" spans="1:17" s="7" customFormat="1" ht="15" customHeight="1" x14ac:dyDescent="0.25">
      <c r="A92" s="2">
        <f t="shared" si="6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10"/>
        <v>0</v>
      </c>
      <c r="P92" s="41">
        <f t="shared" si="11"/>
        <v>0</v>
      </c>
      <c r="Q92" s="41">
        <f t="shared" si="12"/>
        <v>0</v>
      </c>
    </row>
    <row r="93" spans="1:17" s="7" customFormat="1" ht="15" customHeight="1" x14ac:dyDescent="0.25">
      <c r="A93" s="2">
        <f t="shared" si="6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10"/>
        <v>0</v>
      </c>
      <c r="P93" s="41">
        <f t="shared" si="11"/>
        <v>0</v>
      </c>
      <c r="Q93" s="41">
        <f t="shared" si="12"/>
        <v>0</v>
      </c>
    </row>
    <row r="94" spans="1:17" s="7" customFormat="1" ht="15" customHeight="1" x14ac:dyDescent="0.25">
      <c r="A94" s="2">
        <f t="shared" si="6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10"/>
        <v>0</v>
      </c>
      <c r="P94" s="41">
        <f t="shared" si="11"/>
        <v>0</v>
      </c>
      <c r="Q94" s="41">
        <f t="shared" si="12"/>
        <v>0</v>
      </c>
    </row>
    <row r="95" spans="1:17" s="7" customFormat="1" ht="15" customHeight="1" x14ac:dyDescent="0.25">
      <c r="A95" s="2">
        <f t="shared" si="6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10"/>
        <v>0</v>
      </c>
      <c r="P95" s="41">
        <f t="shared" si="11"/>
        <v>0</v>
      </c>
      <c r="Q95" s="41">
        <f t="shared" si="12"/>
        <v>0</v>
      </c>
    </row>
    <row r="96" spans="1:17" s="7" customFormat="1" ht="15" customHeight="1" x14ac:dyDescent="0.25">
      <c r="A96" s="2">
        <f t="shared" si="6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10"/>
        <v>0</v>
      </c>
      <c r="P96" s="41">
        <f t="shared" si="11"/>
        <v>0</v>
      </c>
      <c r="Q96" s="41">
        <f t="shared" si="12"/>
        <v>0</v>
      </c>
    </row>
    <row r="97" spans="1:17" s="7" customFormat="1" ht="15" customHeight="1" x14ac:dyDescent="0.25">
      <c r="A97" s="2">
        <f t="shared" si="6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10"/>
        <v>0</v>
      </c>
      <c r="P97" s="41">
        <f t="shared" si="11"/>
        <v>0</v>
      </c>
      <c r="Q97" s="41">
        <f t="shared" si="12"/>
        <v>0</v>
      </c>
    </row>
    <row r="98" spans="1:17" s="7" customFormat="1" ht="15" customHeight="1" x14ac:dyDescent="0.25">
      <c r="A98" s="2">
        <f t="shared" si="6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10"/>
        <v>0</v>
      </c>
      <c r="P98" s="41">
        <f t="shared" si="11"/>
        <v>0</v>
      </c>
      <c r="Q98" s="41">
        <f t="shared" si="12"/>
        <v>0</v>
      </c>
    </row>
    <row r="99" spans="1:17" s="7" customFormat="1" ht="15" customHeight="1" x14ac:dyDescent="0.25">
      <c r="A99" s="2">
        <f t="shared" si="6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10"/>
        <v>0</v>
      </c>
      <c r="P99" s="41">
        <f t="shared" si="11"/>
        <v>0</v>
      </c>
      <c r="Q99" s="41">
        <f t="shared" si="12"/>
        <v>0</v>
      </c>
    </row>
    <row r="100" spans="1:17" s="7" customFormat="1" ht="15" customHeight="1" x14ac:dyDescent="0.25">
      <c r="A100" s="2">
        <f t="shared" si="6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10"/>
        <v>0</v>
      </c>
      <c r="P100" s="41">
        <f t="shared" si="11"/>
        <v>0</v>
      </c>
      <c r="Q100" s="41">
        <f t="shared" si="12"/>
        <v>0</v>
      </c>
    </row>
    <row r="101" spans="1:17" s="7" customFormat="1" ht="15" customHeight="1" x14ac:dyDescent="0.25">
      <c r="A101" s="2">
        <f t="shared" si="6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10"/>
        <v>0</v>
      </c>
      <c r="P101" s="41">
        <f t="shared" si="11"/>
        <v>0</v>
      </c>
      <c r="Q101" s="41">
        <f t="shared" si="12"/>
        <v>0</v>
      </c>
    </row>
    <row r="102" spans="1:17" s="7" customFormat="1" ht="15" customHeight="1" x14ac:dyDescent="0.25">
      <c r="A102" s="2">
        <f t="shared" si="6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10"/>
        <v>0</v>
      </c>
      <c r="P102" s="41">
        <f t="shared" si="11"/>
        <v>0</v>
      </c>
      <c r="Q102" s="41">
        <f t="shared" si="12"/>
        <v>0</v>
      </c>
    </row>
    <row r="103" spans="1:17" s="7" customFormat="1" ht="15" customHeight="1" x14ac:dyDescent="0.25">
      <c r="A103" s="2">
        <f t="shared" si="6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10"/>
        <v>0</v>
      </c>
      <c r="P103" s="41">
        <f t="shared" si="11"/>
        <v>0</v>
      </c>
      <c r="Q103" s="41">
        <f t="shared" si="12"/>
        <v>0</v>
      </c>
    </row>
    <row r="104" spans="1:17" s="7" customFormat="1" ht="15" customHeight="1" x14ac:dyDescent="0.25">
      <c r="A104" s="2">
        <f t="shared" si="6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10"/>
        <v>0</v>
      </c>
      <c r="P104" s="41">
        <f t="shared" si="11"/>
        <v>0</v>
      </c>
      <c r="Q104" s="41">
        <f t="shared" si="12"/>
        <v>0</v>
      </c>
    </row>
    <row r="105" spans="1:17" s="7" customFormat="1" ht="15" customHeight="1" x14ac:dyDescent="0.25">
      <c r="A105" s="2">
        <f t="shared" si="6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10"/>
        <v>0</v>
      </c>
      <c r="P105" s="41">
        <f t="shared" si="11"/>
        <v>0</v>
      </c>
      <c r="Q105" s="41">
        <f t="shared" si="12"/>
        <v>0</v>
      </c>
    </row>
    <row r="106" spans="1:17" s="7" customFormat="1" ht="15" customHeight="1" x14ac:dyDescent="0.25">
      <c r="A106" s="2">
        <f t="shared" si="6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10"/>
        <v>0</v>
      </c>
      <c r="P106" s="41">
        <f t="shared" si="11"/>
        <v>0</v>
      </c>
      <c r="Q106" s="41">
        <f t="shared" si="12"/>
        <v>0</v>
      </c>
    </row>
    <row r="107" spans="1:17" s="7" customFormat="1" ht="15" customHeight="1" x14ac:dyDescent="0.25">
      <c r="A107" s="2">
        <f t="shared" si="6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10"/>
        <v>0</v>
      </c>
      <c r="P107" s="41">
        <f t="shared" si="11"/>
        <v>0</v>
      </c>
      <c r="Q107" s="41">
        <f t="shared" si="12"/>
        <v>0</v>
      </c>
    </row>
    <row r="108" spans="1:17" s="7" customFormat="1" ht="15" customHeight="1" x14ac:dyDescent="0.25">
      <c r="A108" s="2">
        <f t="shared" si="6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10"/>
        <v>0</v>
      </c>
      <c r="P108" s="41">
        <f t="shared" si="11"/>
        <v>0</v>
      </c>
      <c r="Q108" s="41">
        <f t="shared" si="12"/>
        <v>0</v>
      </c>
    </row>
    <row r="109" spans="1:17" s="7" customFormat="1" ht="15" customHeight="1" x14ac:dyDescent="0.25">
      <c r="A109" s="2">
        <f t="shared" si="6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10"/>
        <v>0</v>
      </c>
      <c r="P109" s="41">
        <f t="shared" si="11"/>
        <v>0</v>
      </c>
      <c r="Q109" s="41">
        <f t="shared" si="12"/>
        <v>0</v>
      </c>
    </row>
    <row r="110" spans="1:17" s="7" customFormat="1" ht="15" customHeight="1" x14ac:dyDescent="0.25">
      <c r="A110" s="2">
        <f t="shared" si="6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10"/>
        <v>0</v>
      </c>
      <c r="P110" s="41">
        <f t="shared" si="11"/>
        <v>0</v>
      </c>
      <c r="Q110" s="41">
        <f t="shared" si="12"/>
        <v>0</v>
      </c>
    </row>
    <row r="111" spans="1:17" s="7" customFormat="1" ht="15" customHeight="1" x14ac:dyDescent="0.25">
      <c r="A111" s="2">
        <f t="shared" si="6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10"/>
        <v>0</v>
      </c>
      <c r="P111" s="41">
        <f t="shared" si="11"/>
        <v>0</v>
      </c>
      <c r="Q111" s="41">
        <f t="shared" si="12"/>
        <v>0</v>
      </c>
    </row>
    <row r="112" spans="1:17" s="7" customFormat="1" ht="15" customHeight="1" x14ac:dyDescent="0.25">
      <c r="A112" s="2">
        <f t="shared" si="6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10"/>
        <v>0</v>
      </c>
      <c r="P112" s="41">
        <f t="shared" si="11"/>
        <v>0</v>
      </c>
      <c r="Q112" s="41">
        <f t="shared" si="12"/>
        <v>0</v>
      </c>
    </row>
    <row r="113" spans="1:17" s="7" customFormat="1" ht="15" customHeight="1" x14ac:dyDescent="0.25">
      <c r="A113" s="2">
        <f t="shared" si="6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10"/>
        <v>0</v>
      </c>
      <c r="P113" s="41">
        <f t="shared" si="11"/>
        <v>0</v>
      </c>
      <c r="Q113" s="41">
        <f t="shared" si="12"/>
        <v>0</v>
      </c>
    </row>
    <row r="114" spans="1:17" s="7" customFormat="1" ht="15" customHeight="1" x14ac:dyDescent="0.25">
      <c r="A114" s="2">
        <f t="shared" si="6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10"/>
        <v>0</v>
      </c>
      <c r="P114" s="41">
        <f t="shared" si="11"/>
        <v>0</v>
      </c>
      <c r="Q114" s="41">
        <f t="shared" si="12"/>
        <v>0</v>
      </c>
    </row>
    <row r="115" spans="1:17" s="7" customFormat="1" ht="15" customHeight="1" x14ac:dyDescent="0.25">
      <c r="A115" s="2">
        <f t="shared" si="6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10"/>
        <v>0</v>
      </c>
      <c r="P115" s="41">
        <f t="shared" si="11"/>
        <v>0</v>
      </c>
      <c r="Q115" s="41">
        <f t="shared" si="12"/>
        <v>0</v>
      </c>
    </row>
    <row r="116" spans="1:17" s="7" customFormat="1" ht="15" customHeight="1" x14ac:dyDescent="0.25">
      <c r="A116" s="2">
        <f t="shared" si="6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10"/>
        <v>0</v>
      </c>
      <c r="P116" s="41">
        <f t="shared" si="11"/>
        <v>0</v>
      </c>
      <c r="Q116" s="41">
        <f t="shared" si="12"/>
        <v>0</v>
      </c>
    </row>
    <row r="117" spans="1:17" s="7" customFormat="1" ht="15" customHeight="1" x14ac:dyDescent="0.25">
      <c r="A117" s="2">
        <f t="shared" si="6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10"/>
        <v>0</v>
      </c>
      <c r="P117" s="41">
        <f t="shared" si="11"/>
        <v>0</v>
      </c>
      <c r="Q117" s="41">
        <f t="shared" si="12"/>
        <v>0</v>
      </c>
    </row>
    <row r="118" spans="1:17" s="7" customFormat="1" ht="15" customHeight="1" x14ac:dyDescent="0.25">
      <c r="A118" s="2">
        <f t="shared" si="6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10"/>
        <v>0</v>
      </c>
      <c r="P118" s="41">
        <f t="shared" si="11"/>
        <v>0</v>
      </c>
      <c r="Q118" s="41">
        <f t="shared" si="12"/>
        <v>0</v>
      </c>
    </row>
    <row r="119" spans="1:17" s="7" customFormat="1" ht="15" customHeight="1" x14ac:dyDescent="0.25">
      <c r="A119" s="2">
        <f t="shared" si="6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10"/>
        <v>0</v>
      </c>
      <c r="P119" s="41">
        <f t="shared" si="11"/>
        <v>0</v>
      </c>
      <c r="Q119" s="41">
        <f t="shared" si="12"/>
        <v>0</v>
      </c>
    </row>
    <row r="120" spans="1:17" s="7" customFormat="1" ht="15" customHeight="1" x14ac:dyDescent="0.25">
      <c r="A120" s="2">
        <f t="shared" si="6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10"/>
        <v>0</v>
      </c>
      <c r="P120" s="41">
        <f t="shared" si="11"/>
        <v>0</v>
      </c>
      <c r="Q120" s="41">
        <f t="shared" si="12"/>
        <v>0</v>
      </c>
    </row>
    <row r="121" spans="1:17" s="7" customFormat="1" ht="15" customHeight="1" x14ac:dyDescent="0.25">
      <c r="A121" s="2">
        <f t="shared" si="6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10"/>
        <v>0</v>
      </c>
      <c r="P121" s="41">
        <f t="shared" si="11"/>
        <v>0</v>
      </c>
      <c r="Q121" s="41">
        <f t="shared" si="12"/>
        <v>0</v>
      </c>
    </row>
    <row r="122" spans="1:17" s="7" customFormat="1" ht="15" customHeight="1" x14ac:dyDescent="0.25">
      <c r="A122" s="2">
        <f t="shared" si="6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10"/>
        <v>0</v>
      </c>
      <c r="P122" s="41">
        <f t="shared" si="11"/>
        <v>0</v>
      </c>
      <c r="Q122" s="41">
        <f t="shared" si="12"/>
        <v>0</v>
      </c>
    </row>
    <row r="123" spans="1:17" s="7" customFormat="1" ht="15" customHeight="1" x14ac:dyDescent="0.25">
      <c r="A123" s="2">
        <f t="shared" si="6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10"/>
        <v>0</v>
      </c>
      <c r="P123" s="41">
        <f t="shared" si="11"/>
        <v>0</v>
      </c>
      <c r="Q123" s="41">
        <f t="shared" si="12"/>
        <v>0</v>
      </c>
    </row>
    <row r="124" spans="1:17" s="7" customFormat="1" ht="15" customHeight="1" x14ac:dyDescent="0.25">
      <c r="A124" s="2">
        <f t="shared" si="6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10"/>
        <v>0</v>
      </c>
      <c r="P124" s="41">
        <f t="shared" si="11"/>
        <v>0</v>
      </c>
      <c r="Q124" s="41">
        <f t="shared" si="12"/>
        <v>0</v>
      </c>
    </row>
    <row r="125" spans="1:17" s="7" customFormat="1" ht="15" customHeight="1" x14ac:dyDescent="0.25">
      <c r="A125" s="2">
        <f t="shared" si="6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10"/>
        <v>0</v>
      </c>
      <c r="P125" s="41">
        <f t="shared" si="11"/>
        <v>0</v>
      </c>
      <c r="Q125" s="41">
        <f t="shared" si="12"/>
        <v>0</v>
      </c>
    </row>
    <row r="126" spans="1:17" s="7" customFormat="1" ht="15" customHeight="1" x14ac:dyDescent="0.25">
      <c r="A126" s="2">
        <f t="shared" si="6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10"/>
        <v>0</v>
      </c>
      <c r="P126" s="41">
        <f t="shared" si="11"/>
        <v>0</v>
      </c>
      <c r="Q126" s="41">
        <f t="shared" si="12"/>
        <v>0</v>
      </c>
    </row>
    <row r="127" spans="1:17" s="7" customFormat="1" ht="15" customHeight="1" x14ac:dyDescent="0.25">
      <c r="A127" s="2">
        <f t="shared" si="6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10"/>
        <v>0</v>
      </c>
      <c r="P127" s="41">
        <f t="shared" si="11"/>
        <v>0</v>
      </c>
      <c r="Q127" s="41">
        <f t="shared" si="12"/>
        <v>0</v>
      </c>
    </row>
    <row r="128" spans="1:17" s="7" customFormat="1" ht="15" customHeight="1" x14ac:dyDescent="0.25">
      <c r="A128" s="2">
        <f t="shared" si="6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10"/>
        <v>0</v>
      </c>
      <c r="P128" s="41">
        <f t="shared" si="11"/>
        <v>0</v>
      </c>
      <c r="Q128" s="41">
        <f t="shared" si="12"/>
        <v>0</v>
      </c>
    </row>
    <row r="129" spans="1:17" s="7" customFormat="1" ht="15" customHeight="1" x14ac:dyDescent="0.25">
      <c r="A129" s="2">
        <f t="shared" si="6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10"/>
        <v>0</v>
      </c>
      <c r="P129" s="41">
        <f t="shared" si="11"/>
        <v>0</v>
      </c>
      <c r="Q129" s="41">
        <f t="shared" si="12"/>
        <v>0</v>
      </c>
    </row>
    <row r="130" spans="1:17" s="7" customFormat="1" ht="15" customHeight="1" x14ac:dyDescent="0.25">
      <c r="A130" s="2">
        <f t="shared" si="6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10"/>
        <v>0</v>
      </c>
      <c r="P130" s="41">
        <f t="shared" si="11"/>
        <v>0</v>
      </c>
      <c r="Q130" s="41">
        <f t="shared" si="12"/>
        <v>0</v>
      </c>
    </row>
    <row r="131" spans="1:17" s="7" customFormat="1" ht="15" customHeight="1" x14ac:dyDescent="0.25">
      <c r="A131" s="2">
        <f t="shared" si="6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10"/>
        <v>0</v>
      </c>
      <c r="P131" s="41">
        <f t="shared" si="11"/>
        <v>0</v>
      </c>
      <c r="Q131" s="41">
        <f t="shared" si="12"/>
        <v>0</v>
      </c>
    </row>
    <row r="132" spans="1:17" s="7" customFormat="1" ht="15" customHeight="1" x14ac:dyDescent="0.25">
      <c r="A132" s="2">
        <f t="shared" si="6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10"/>
        <v>0</v>
      </c>
      <c r="P132" s="41">
        <f t="shared" si="11"/>
        <v>0</v>
      </c>
      <c r="Q132" s="41">
        <f t="shared" si="12"/>
        <v>0</v>
      </c>
    </row>
    <row r="133" spans="1:17" s="7" customFormat="1" ht="15" customHeight="1" x14ac:dyDescent="0.25">
      <c r="A133" s="2">
        <f t="shared" si="6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10"/>
        <v>0</v>
      </c>
      <c r="P133" s="41">
        <f t="shared" si="11"/>
        <v>0</v>
      </c>
      <c r="Q133" s="41">
        <f t="shared" si="12"/>
        <v>0</v>
      </c>
    </row>
    <row r="134" spans="1:17" s="7" customFormat="1" ht="15" customHeight="1" x14ac:dyDescent="0.25">
      <c r="A134" s="2">
        <f t="shared" si="6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si="10"/>
        <v>0</v>
      </c>
      <c r="P134" s="41">
        <f t="shared" si="11"/>
        <v>0</v>
      </c>
      <c r="Q134" s="41">
        <f t="shared" si="12"/>
        <v>0</v>
      </c>
    </row>
    <row r="135" spans="1:17" s="7" customFormat="1" ht="15" customHeight="1" x14ac:dyDescent="0.25">
      <c r="A135" s="2">
        <f t="shared" si="6"/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ref="O135:O137" si="13">G135-L135</f>
        <v>0</v>
      </c>
      <c r="P135" s="41">
        <f t="shared" ref="P135:P137" si="14">H135-M135</f>
        <v>0</v>
      </c>
      <c r="Q135" s="41">
        <f t="shared" ref="Q135:Q137" si="15">I135-N135</f>
        <v>0</v>
      </c>
    </row>
    <row r="136" spans="1:17" s="7" customFormat="1" ht="15" customHeight="1" x14ac:dyDescent="0.25">
      <c r="A136" s="2">
        <f t="shared" si="6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3"/>
        <v>0</v>
      </c>
      <c r="P136" s="41">
        <f t="shared" si="14"/>
        <v>0</v>
      </c>
      <c r="Q136" s="41">
        <f t="shared" si="15"/>
        <v>0</v>
      </c>
    </row>
    <row r="137" spans="1:17" s="7" customFormat="1" ht="15" customHeight="1" x14ac:dyDescent="0.25">
      <c r="A137" s="2">
        <f t="shared" si="6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3"/>
        <v>0</v>
      </c>
      <c r="P137" s="41">
        <f t="shared" si="14"/>
        <v>0</v>
      </c>
      <c r="Q137" s="41">
        <f t="shared" si="15"/>
        <v>0</v>
      </c>
    </row>
    <row r="138" spans="1:17" s="7" customFormat="1" ht="15" customHeight="1" x14ac:dyDescent="0.25">
      <c r="A138" s="2">
        <f t="shared" si="6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3"/>
        <v>0</v>
      </c>
      <c r="P138" s="41">
        <f t="shared" si="4"/>
        <v>0</v>
      </c>
      <c r="Q138" s="41">
        <f t="shared" si="5"/>
        <v>0</v>
      </c>
    </row>
    <row r="139" spans="1:17" s="7" customFormat="1" ht="15" customHeight="1" x14ac:dyDescent="0.25">
      <c r="A139" s="2">
        <f t="shared" si="6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3"/>
        <v>0</v>
      </c>
      <c r="P139" s="41">
        <f t="shared" si="4"/>
        <v>0</v>
      </c>
      <c r="Q139" s="41">
        <f t="shared" si="5"/>
        <v>0</v>
      </c>
    </row>
    <row r="140" spans="1:17" s="7" customFormat="1" ht="15" customHeight="1" x14ac:dyDescent="0.25">
      <c r="A140" s="2">
        <f t="shared" si="6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3"/>
        <v>0</v>
      </c>
      <c r="P140" s="41">
        <f t="shared" si="4"/>
        <v>0</v>
      </c>
      <c r="Q140" s="41">
        <f t="shared" si="5"/>
        <v>0</v>
      </c>
    </row>
    <row r="141" spans="1:17" s="7" customFormat="1" ht="15" customHeight="1" x14ac:dyDescent="0.25">
      <c r="A141" s="2">
        <f t="shared" si="6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3"/>
        <v>0</v>
      </c>
      <c r="P141" s="41">
        <f t="shared" si="4"/>
        <v>0</v>
      </c>
      <c r="Q141" s="41">
        <f t="shared" si="5"/>
        <v>0</v>
      </c>
    </row>
    <row r="142" spans="1:17" s="7" customFormat="1" ht="15" customHeight="1" x14ac:dyDescent="0.25">
      <c r="A142" s="2">
        <f t="shared" si="6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3"/>
        <v>0</v>
      </c>
      <c r="P142" s="41">
        <f t="shared" si="4"/>
        <v>0</v>
      </c>
      <c r="Q142" s="41">
        <f t="shared" si="5"/>
        <v>0</v>
      </c>
    </row>
    <row r="143" spans="1:17" s="7" customFormat="1" ht="15" customHeight="1" x14ac:dyDescent="0.25">
      <c r="A143" s="2">
        <f t="shared" si="6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3"/>
        <v>0</v>
      </c>
      <c r="P143" s="41">
        <f t="shared" si="4"/>
        <v>0</v>
      </c>
      <c r="Q143" s="41">
        <f t="shared" si="5"/>
        <v>0</v>
      </c>
    </row>
    <row r="144" spans="1:17" s="7" customFormat="1" ht="15" customHeight="1" x14ac:dyDescent="0.25">
      <c r="A144" s="2">
        <f t="shared" si="6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3"/>
        <v>0</v>
      </c>
      <c r="P144" s="41">
        <f t="shared" si="4"/>
        <v>0</v>
      </c>
      <c r="Q144" s="41">
        <f t="shared" si="5"/>
        <v>0</v>
      </c>
    </row>
    <row r="145" spans="1:17" s="7" customFormat="1" ht="15" customHeight="1" x14ac:dyDescent="0.25">
      <c r="A145" s="2">
        <f t="shared" si="6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3"/>
        <v>0</v>
      </c>
      <c r="P145" s="41">
        <f t="shared" si="4"/>
        <v>0</v>
      </c>
      <c r="Q145" s="41">
        <f t="shared" si="5"/>
        <v>0</v>
      </c>
    </row>
    <row r="146" spans="1:17" s="7" customFormat="1" ht="15" customHeight="1" x14ac:dyDescent="0.25">
      <c r="A146" s="2">
        <f t="shared" si="6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3"/>
        <v>0</v>
      </c>
      <c r="P146" s="41">
        <f t="shared" si="4"/>
        <v>0</v>
      </c>
      <c r="Q146" s="41">
        <f t="shared" si="5"/>
        <v>0</v>
      </c>
    </row>
    <row r="147" spans="1:17" s="7" customFormat="1" ht="15" customHeight="1" x14ac:dyDescent="0.25">
      <c r="A147" s="2">
        <f t="shared" si="6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3"/>
        <v>0</v>
      </c>
      <c r="P147" s="41">
        <f t="shared" si="4"/>
        <v>0</v>
      </c>
      <c r="Q147" s="41">
        <f t="shared" si="5"/>
        <v>0</v>
      </c>
    </row>
    <row r="148" spans="1:17" s="7" customFormat="1" ht="15" customHeight="1" x14ac:dyDescent="0.25">
      <c r="A148" s="2">
        <f t="shared" si="6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3"/>
        <v>0</v>
      </c>
      <c r="P148" s="41">
        <f t="shared" si="4"/>
        <v>0</v>
      </c>
      <c r="Q148" s="41">
        <f t="shared" si="5"/>
        <v>0</v>
      </c>
    </row>
    <row r="149" spans="1:17" s="7" customFormat="1" ht="15" customHeight="1" x14ac:dyDescent="0.25">
      <c r="A149" s="2">
        <f t="shared" si="6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3"/>
        <v>0</v>
      </c>
      <c r="P149" s="41">
        <f t="shared" si="4"/>
        <v>0</v>
      </c>
      <c r="Q149" s="41">
        <f t="shared" si="5"/>
        <v>0</v>
      </c>
    </row>
    <row r="150" spans="1:17" s="7" customFormat="1" ht="15" customHeight="1" x14ac:dyDescent="0.25">
      <c r="A150" s="2">
        <f t="shared" si="6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3"/>
        <v>0</v>
      </c>
      <c r="P150" s="41">
        <f t="shared" si="4"/>
        <v>0</v>
      </c>
      <c r="Q150" s="41">
        <f t="shared" si="5"/>
        <v>0</v>
      </c>
    </row>
    <row r="151" spans="1:17" s="7" customFormat="1" ht="15" customHeight="1" x14ac:dyDescent="0.25">
      <c r="A151" s="2">
        <f t="shared" si="6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3"/>
        <v>0</v>
      </c>
      <c r="P151" s="41">
        <f t="shared" si="4"/>
        <v>0</v>
      </c>
      <c r="Q151" s="41">
        <f t="shared" si="5"/>
        <v>0</v>
      </c>
    </row>
    <row r="152" spans="1:17" s="7" customFormat="1" ht="15" customHeight="1" x14ac:dyDescent="0.25">
      <c r="A152" s="2">
        <f t="shared" si="6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3"/>
        <v>0</v>
      </c>
      <c r="P152" s="41">
        <f t="shared" si="4"/>
        <v>0</v>
      </c>
      <c r="Q152" s="41">
        <f t="shared" si="5"/>
        <v>0</v>
      </c>
    </row>
    <row r="153" spans="1:17" s="7" customFormat="1" ht="15" customHeight="1" x14ac:dyDescent="0.25">
      <c r="A153" s="2">
        <f t="shared" si="6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3"/>
        <v>0</v>
      </c>
      <c r="P153" s="41">
        <f t="shared" si="4"/>
        <v>0</v>
      </c>
      <c r="Q153" s="41">
        <f t="shared" si="5"/>
        <v>0</v>
      </c>
    </row>
    <row r="154" spans="1:17" s="7" customFormat="1" ht="15" customHeight="1" x14ac:dyDescent="0.25">
      <c r="A154" s="2">
        <f t="shared" si="6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3"/>
        <v>0</v>
      </c>
      <c r="P154" s="41">
        <f t="shared" si="4"/>
        <v>0</v>
      </c>
      <c r="Q154" s="41">
        <f t="shared" si="5"/>
        <v>0</v>
      </c>
    </row>
    <row r="155" spans="1:17" s="7" customFormat="1" ht="15" customHeight="1" x14ac:dyDescent="0.25">
      <c r="A155" s="2">
        <f t="shared" si="6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3"/>
        <v>0</v>
      </c>
      <c r="P155" s="41">
        <f t="shared" si="4"/>
        <v>0</v>
      </c>
      <c r="Q155" s="41">
        <f t="shared" si="5"/>
        <v>0</v>
      </c>
    </row>
    <row r="156" spans="1:17" s="7" customFormat="1" ht="15" customHeight="1" x14ac:dyDescent="0.25">
      <c r="A156" s="2">
        <f t="shared" si="6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3"/>
        <v>0</v>
      </c>
      <c r="P156" s="41">
        <f t="shared" si="4"/>
        <v>0</v>
      </c>
      <c r="Q156" s="41">
        <f t="shared" si="5"/>
        <v>0</v>
      </c>
    </row>
    <row r="157" spans="1:17" s="7" customFormat="1" ht="15" customHeight="1" x14ac:dyDescent="0.25">
      <c r="A157" s="2">
        <f t="shared" si="6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3"/>
        <v>0</v>
      </c>
      <c r="P157" s="41">
        <f t="shared" si="4"/>
        <v>0</v>
      </c>
      <c r="Q157" s="41">
        <f t="shared" si="5"/>
        <v>0</v>
      </c>
    </row>
    <row r="158" spans="1:17" s="7" customFormat="1" ht="15" customHeight="1" x14ac:dyDescent="0.25">
      <c r="A158" s="2">
        <f t="shared" si="6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3"/>
        <v>0</v>
      </c>
      <c r="P158" s="41">
        <f t="shared" si="4"/>
        <v>0</v>
      </c>
      <c r="Q158" s="41">
        <f t="shared" si="5"/>
        <v>0</v>
      </c>
    </row>
    <row r="159" spans="1:17" s="7" customFormat="1" ht="15" customHeight="1" x14ac:dyDescent="0.25">
      <c r="A159" s="2">
        <f t="shared" si="6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3"/>
        <v>0</v>
      </c>
      <c r="P159" s="41">
        <f t="shared" si="4"/>
        <v>0</v>
      </c>
      <c r="Q159" s="41">
        <f t="shared" si="5"/>
        <v>0</v>
      </c>
    </row>
    <row r="160" spans="1:17" s="7" customFormat="1" ht="15" customHeight="1" x14ac:dyDescent="0.25">
      <c r="A160" s="2">
        <f t="shared" si="6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3"/>
        <v>0</v>
      </c>
      <c r="P160" s="41">
        <f t="shared" si="4"/>
        <v>0</v>
      </c>
      <c r="Q160" s="41">
        <f t="shared" si="5"/>
        <v>0</v>
      </c>
    </row>
    <row r="161" spans="1:17" s="7" customFormat="1" ht="15" customHeight="1" x14ac:dyDescent="0.25">
      <c r="A161" s="2">
        <f t="shared" si="6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3"/>
        <v>0</v>
      </c>
      <c r="P161" s="41">
        <f t="shared" si="4"/>
        <v>0</v>
      </c>
      <c r="Q161" s="41">
        <f t="shared" si="5"/>
        <v>0</v>
      </c>
    </row>
    <row r="162" spans="1:17" s="7" customFormat="1" ht="15" customHeight="1" x14ac:dyDescent="0.25">
      <c r="A162" s="2">
        <f t="shared" si="6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3"/>
        <v>0</v>
      </c>
      <c r="P162" s="41">
        <f t="shared" si="4"/>
        <v>0</v>
      </c>
      <c r="Q162" s="41">
        <f t="shared" si="5"/>
        <v>0</v>
      </c>
    </row>
    <row r="163" spans="1:17" s="7" customFormat="1" ht="15" customHeight="1" x14ac:dyDescent="0.25">
      <c r="A163" s="2">
        <f t="shared" si="6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3"/>
        <v>0</v>
      </c>
      <c r="P163" s="41">
        <f t="shared" si="4"/>
        <v>0</v>
      </c>
      <c r="Q163" s="41">
        <f t="shared" si="5"/>
        <v>0</v>
      </c>
    </row>
    <row r="164" spans="1:17" s="7" customFormat="1" ht="15" customHeight="1" x14ac:dyDescent="0.25">
      <c r="A164" s="2">
        <f t="shared" si="6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3"/>
        <v>0</v>
      </c>
      <c r="P164" s="41">
        <f t="shared" si="4"/>
        <v>0</v>
      </c>
      <c r="Q164" s="41">
        <f t="shared" si="5"/>
        <v>0</v>
      </c>
    </row>
    <row r="165" spans="1:17" s="7" customFormat="1" ht="15" customHeight="1" x14ac:dyDescent="0.25">
      <c r="A165" s="2">
        <f t="shared" si="6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3"/>
        <v>0</v>
      </c>
      <c r="P165" s="41">
        <f t="shared" si="4"/>
        <v>0</v>
      </c>
      <c r="Q165" s="41">
        <f t="shared" si="5"/>
        <v>0</v>
      </c>
    </row>
    <row r="166" spans="1:17" s="7" customFormat="1" ht="15" customHeight="1" x14ac:dyDescent="0.25">
      <c r="A166" s="2">
        <f t="shared" si="6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3"/>
        <v>0</v>
      </c>
      <c r="P166" s="41">
        <f t="shared" si="4"/>
        <v>0</v>
      </c>
      <c r="Q166" s="41">
        <f t="shared" si="5"/>
        <v>0</v>
      </c>
    </row>
    <row r="167" spans="1:17" s="7" customFormat="1" ht="15" customHeight="1" x14ac:dyDescent="0.25">
      <c r="A167" s="2">
        <f t="shared" si="6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3"/>
        <v>0</v>
      </c>
      <c r="P167" s="41">
        <f t="shared" si="4"/>
        <v>0</v>
      </c>
      <c r="Q167" s="41">
        <f t="shared" si="5"/>
        <v>0</v>
      </c>
    </row>
    <row r="168" spans="1:17" s="7" customFormat="1" ht="15" customHeight="1" x14ac:dyDescent="0.25">
      <c r="A168" s="2">
        <f t="shared" si="6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3"/>
        <v>0</v>
      </c>
      <c r="P168" s="41">
        <f t="shared" si="4"/>
        <v>0</v>
      </c>
      <c r="Q168" s="41">
        <f t="shared" si="5"/>
        <v>0</v>
      </c>
    </row>
    <row r="169" spans="1:17" s="7" customFormat="1" ht="15" customHeight="1" x14ac:dyDescent="0.25">
      <c r="A169" s="2">
        <f t="shared" si="6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3"/>
        <v>0</v>
      </c>
      <c r="P169" s="41">
        <f t="shared" si="4"/>
        <v>0</v>
      </c>
      <c r="Q169" s="41">
        <f t="shared" si="5"/>
        <v>0</v>
      </c>
    </row>
    <row r="170" spans="1:17" s="7" customFormat="1" ht="15" customHeight="1" x14ac:dyDescent="0.25">
      <c r="A170" s="2">
        <f t="shared" si="6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3"/>
        <v>0</v>
      </c>
      <c r="P170" s="41">
        <f t="shared" si="4"/>
        <v>0</v>
      </c>
      <c r="Q170" s="41">
        <f t="shared" si="5"/>
        <v>0</v>
      </c>
    </row>
    <row r="171" spans="1:17" s="7" customFormat="1" ht="15" customHeight="1" x14ac:dyDescent="0.25">
      <c r="A171" s="2">
        <f t="shared" si="6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3"/>
        <v>0</v>
      </c>
      <c r="P171" s="41">
        <f t="shared" si="4"/>
        <v>0</v>
      </c>
      <c r="Q171" s="41">
        <f t="shared" si="5"/>
        <v>0</v>
      </c>
    </row>
    <row r="172" spans="1:17" s="7" customFormat="1" ht="15" customHeight="1" x14ac:dyDescent="0.25">
      <c r="A172" s="2">
        <f t="shared" si="6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3"/>
        <v>0</v>
      </c>
      <c r="P172" s="41">
        <f t="shared" si="4"/>
        <v>0</v>
      </c>
      <c r="Q172" s="41">
        <f t="shared" si="5"/>
        <v>0</v>
      </c>
    </row>
    <row r="173" spans="1:17" s="7" customFormat="1" ht="15" customHeight="1" x14ac:dyDescent="0.25">
      <c r="A173" s="2">
        <f t="shared" si="6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3"/>
        <v>0</v>
      </c>
      <c r="P173" s="41">
        <f t="shared" si="4"/>
        <v>0</v>
      </c>
      <c r="Q173" s="41">
        <f t="shared" si="5"/>
        <v>0</v>
      </c>
    </row>
    <row r="174" spans="1:17" s="7" customFormat="1" ht="15" customHeight="1" x14ac:dyDescent="0.25">
      <c r="A174" s="2">
        <f t="shared" si="6"/>
        <v>170</v>
      </c>
      <c r="B174" s="10"/>
      <c r="C174" s="11"/>
      <c r="D174" s="12"/>
      <c r="E174" s="13"/>
      <c r="F174" s="13"/>
      <c r="G174" s="10"/>
      <c r="H174" s="10"/>
      <c r="I174" s="10">
        <f t="shared" ref="I174" si="16">G174-H174</f>
        <v>0</v>
      </c>
      <c r="K174" s="2"/>
      <c r="L174" s="14"/>
      <c r="M174" s="14"/>
      <c r="N174" s="15">
        <f t="shared" si="2"/>
        <v>0</v>
      </c>
      <c r="O174" s="41">
        <f t="shared" ref="O174" si="17">G174-L174</f>
        <v>0</v>
      </c>
      <c r="P174" s="41">
        <f t="shared" ref="P174" si="18">H174-M174</f>
        <v>0</v>
      </c>
      <c r="Q174" s="41">
        <f t="shared" ref="Q174" si="19">I174-N174</f>
        <v>0</v>
      </c>
    </row>
    <row r="175" spans="1:17" s="7" customFormat="1" ht="15" customHeight="1" x14ac:dyDescent="0.25">
      <c r="A175" s="2">
        <f t="shared" si="6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3"/>
        <v>0</v>
      </c>
      <c r="P175" s="41">
        <f t="shared" si="4"/>
        <v>0</v>
      </c>
      <c r="Q175" s="41">
        <f t="shared" si="5"/>
        <v>0</v>
      </c>
    </row>
    <row r="176" spans="1:17" s="7" customFormat="1" ht="15" customHeight="1" x14ac:dyDescent="0.25">
      <c r="B176" s="29"/>
      <c r="C176" s="30"/>
      <c r="D176" s="31"/>
      <c r="E176" s="32"/>
      <c r="F176" s="32"/>
      <c r="G176" s="29"/>
      <c r="H176" s="33"/>
      <c r="I176" s="33"/>
      <c r="L176" s="34"/>
      <c r="M176" s="35"/>
      <c r="N176" s="36"/>
    </row>
    <row r="177" spans="1:17" s="7" customFormat="1" ht="15" customHeight="1" x14ac:dyDescent="0.25">
      <c r="G177" s="6" t="s">
        <v>9</v>
      </c>
      <c r="H177" s="6">
        <f>COUNTIF(I5:I175,"&gt;0")</f>
        <v>0</v>
      </c>
      <c r="I177" s="24">
        <f>SUM(I5:I175)/1000</f>
        <v>0</v>
      </c>
      <c r="M177" s="6" t="s">
        <v>9</v>
      </c>
      <c r="N177" s="24">
        <f>SUM(N5:N175)/1000</f>
        <v>0</v>
      </c>
      <c r="P177" s="17" t="s">
        <v>12</v>
      </c>
      <c r="Q177" s="25">
        <f>I177-N177</f>
        <v>0</v>
      </c>
    </row>
    <row r="178" spans="1:17" s="7" customFormat="1" ht="15" customHeight="1" x14ac:dyDescent="0.25">
      <c r="H178" s="27"/>
      <c r="I178" s="28"/>
      <c r="Q178" s="44" t="e">
        <f>Q177/N177</f>
        <v>#DIV/0!</v>
      </c>
    </row>
    <row r="179" spans="1:17" s="7" customFormat="1" ht="15" customHeight="1" x14ac:dyDescent="0.25"/>
    <row r="180" spans="1:17" s="7" customFormat="1" ht="15" customHeight="1" x14ac:dyDescent="0.25">
      <c r="A180" s="45" t="s">
        <v>11</v>
      </c>
      <c r="B180" s="45"/>
      <c r="C180" s="45"/>
      <c r="D180" s="38"/>
      <c r="E180" s="38"/>
      <c r="F180" s="38"/>
      <c r="G180" s="45" t="s">
        <v>10</v>
      </c>
      <c r="H180" s="45"/>
      <c r="I180" s="45"/>
    </row>
    <row r="181" spans="1:17" s="7" customFormat="1" ht="15" customHeight="1" x14ac:dyDescent="0.25">
      <c r="A181" s="45" t="s">
        <v>22</v>
      </c>
      <c r="B181" s="45"/>
      <c r="C181" s="45"/>
      <c r="D181" s="38"/>
      <c r="E181" s="38"/>
      <c r="F181" s="38"/>
      <c r="G181" s="45" t="s">
        <v>23</v>
      </c>
      <c r="H181" s="45"/>
      <c r="I181" s="45"/>
    </row>
    <row r="182" spans="1:17" s="7" customFormat="1" ht="15" customHeight="1" x14ac:dyDescent="0.25">
      <c r="A182" s="38"/>
      <c r="B182" s="38"/>
      <c r="C182" s="38"/>
      <c r="D182" s="38"/>
      <c r="E182" s="38"/>
      <c r="F182" s="38"/>
      <c r="G182" s="38"/>
      <c r="H182" s="38"/>
      <c r="I182" s="38"/>
    </row>
    <row r="183" spans="1:17" s="7" customFormat="1" ht="15" customHeight="1" x14ac:dyDescent="0.25">
      <c r="A183" s="8"/>
      <c r="B183" s="8"/>
      <c r="C183" s="38"/>
      <c r="D183" s="38"/>
      <c r="E183" s="38"/>
      <c r="F183" s="38"/>
      <c r="G183" s="38"/>
      <c r="H183" s="8"/>
      <c r="I183" s="8"/>
    </row>
    <row r="184" spans="1:17" ht="15" customHeight="1" x14ac:dyDescent="0.2">
      <c r="A184" s="9"/>
      <c r="B184" s="9"/>
      <c r="C184" s="9"/>
      <c r="D184" s="9"/>
      <c r="E184" s="9"/>
      <c r="F184" s="9"/>
      <c r="G184" s="9"/>
      <c r="H184" s="9"/>
      <c r="I184" s="9"/>
    </row>
    <row r="185" spans="1:17" ht="15" customHeight="1" x14ac:dyDescent="0.2">
      <c r="A185" s="9"/>
      <c r="B185" s="9"/>
      <c r="C185" s="9"/>
      <c r="D185" s="9"/>
      <c r="E185" s="9"/>
      <c r="F185" s="9"/>
      <c r="G185" s="9"/>
      <c r="H185" s="9"/>
      <c r="I185" s="9"/>
    </row>
    <row r="186" spans="1:17" ht="12.95" customHeight="1" x14ac:dyDescent="0.2">
      <c r="A186" s="46" t="s">
        <v>16</v>
      </c>
      <c r="B186" s="46"/>
      <c r="C186" s="46"/>
      <c r="D186" s="9"/>
      <c r="E186" s="9"/>
      <c r="F186" s="9"/>
      <c r="G186" s="39"/>
      <c r="H186" s="39" t="s">
        <v>19</v>
      </c>
      <c r="I186" s="26"/>
    </row>
    <row r="187" spans="1:17" ht="12.95" customHeight="1" x14ac:dyDescent="0.2">
      <c r="A187" s="47" t="s">
        <v>17</v>
      </c>
      <c r="B187" s="47"/>
      <c r="C187" s="47"/>
      <c r="D187" s="9"/>
      <c r="E187" s="9"/>
      <c r="F187" s="9"/>
      <c r="G187" s="40"/>
      <c r="H187" s="40" t="s">
        <v>20</v>
      </c>
      <c r="I187" s="26"/>
    </row>
    <row r="188" spans="1:17" ht="15" customHeight="1" x14ac:dyDescent="0.2"/>
    <row r="189" spans="1:17" ht="15" customHeight="1" x14ac:dyDescent="0.2"/>
    <row r="190" spans="1:17" ht="15" customHeight="1" x14ac:dyDescent="0.2"/>
    <row r="191" spans="1:17" ht="15" customHeight="1" x14ac:dyDescent="0.2"/>
    <row r="192" spans="1:17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11" ht="15" customHeight="1" x14ac:dyDescent="0.2"/>
    <row r="212" ht="15" customHeight="1" x14ac:dyDescent="0.2"/>
    <row r="218" ht="11.25" customHeight="1" x14ac:dyDescent="0.2"/>
    <row r="227" ht="11.25" customHeight="1" x14ac:dyDescent="0.2"/>
  </sheetData>
  <mergeCells count="10">
    <mergeCell ref="A181:C181"/>
    <mergeCell ref="G181:I181"/>
    <mergeCell ref="A186:C186"/>
    <mergeCell ref="A187:C187"/>
    <mergeCell ref="L1:N1"/>
    <mergeCell ref="A2:I2"/>
    <mergeCell ref="K2:N2"/>
    <mergeCell ref="L3:N3"/>
    <mergeCell ref="A180:C180"/>
    <mergeCell ref="G180:I180"/>
  </mergeCells>
  <conditionalFormatting sqref="B243">
    <cfRule type="expression" dxfId="528" priority="57" stopIfTrue="1">
      <formula>$A243="Visa"</formula>
    </cfRule>
  </conditionalFormatting>
  <conditionalFormatting sqref="B249">
    <cfRule type="expression" dxfId="527" priority="48" stopIfTrue="1">
      <formula>$A249="Visa"</formula>
    </cfRule>
  </conditionalFormatting>
  <conditionalFormatting sqref="B281">
    <cfRule type="expression" dxfId="526" priority="64" stopIfTrue="1">
      <formula>$A281="Visa"</formula>
    </cfRule>
  </conditionalFormatting>
  <conditionalFormatting sqref="C5:C149">
    <cfRule type="expression" dxfId="525" priority="73" stopIfTrue="1">
      <formula>$B5="Visa"</formula>
    </cfRule>
  </conditionalFormatting>
  <conditionalFormatting sqref="C5:C185">
    <cfRule type="expression" dxfId="524" priority="2" stopIfTrue="1">
      <formula>$B5="Visa"</formula>
    </cfRule>
    <cfRule type="expression" dxfId="523" priority="33" stopIfTrue="1">
      <formula>$B5="Visa"</formula>
    </cfRule>
    <cfRule type="expression" dxfId="522" priority="56" stopIfTrue="1">
      <formula>$B5="Visa"</formula>
    </cfRule>
    <cfRule type="expression" dxfId="521" priority="71" stopIfTrue="1">
      <formula>$B5="Visa"</formula>
    </cfRule>
  </conditionalFormatting>
  <conditionalFormatting sqref="C143:C145">
    <cfRule type="expression" dxfId="520" priority="70" stopIfTrue="1">
      <formula>$B142="Visa"</formula>
    </cfRule>
  </conditionalFormatting>
  <conditionalFormatting sqref="C143:C150">
    <cfRule type="expression" dxfId="519" priority="1" stopIfTrue="1">
      <formula>$B142="Visa"</formula>
    </cfRule>
    <cfRule type="expression" dxfId="518" priority="55" stopIfTrue="1">
      <formula>$B142="Visa"</formula>
    </cfRule>
  </conditionalFormatting>
  <conditionalFormatting sqref="C143:C173 C177:C185">
    <cfRule type="expression" dxfId="517" priority="72" stopIfTrue="1">
      <formula>$B142="Visa"</formula>
    </cfRule>
  </conditionalFormatting>
  <conditionalFormatting sqref="C147">
    <cfRule type="expression" dxfId="516" priority="29" stopIfTrue="1">
      <formula>$B145="Visa"</formula>
    </cfRule>
    <cfRule type="expression" dxfId="515" priority="69" stopIfTrue="1">
      <formula>$B145="Visa"</formula>
    </cfRule>
  </conditionalFormatting>
  <conditionalFormatting sqref="C151">
    <cfRule type="expression" dxfId="514" priority="7" stopIfTrue="1">
      <formula>#REF!="Visa"</formula>
    </cfRule>
  </conditionalFormatting>
  <conditionalFormatting sqref="C174:C175">
    <cfRule type="expression" dxfId="513" priority="270" stopIfTrue="1">
      <formula>$B172="Visa"</formula>
    </cfRule>
  </conditionalFormatting>
  <conditionalFormatting sqref="C176">
    <cfRule type="expression" dxfId="512" priority="268" stopIfTrue="1">
      <formula>#REF!="Visa"</formula>
    </cfRule>
  </conditionalFormatting>
  <conditionalFormatting sqref="C188:C189 C191:C192 C142:C150">
    <cfRule type="expression" dxfId="511" priority="9" stopIfTrue="1">
      <formula>$B141="Visa"</formula>
    </cfRule>
  </conditionalFormatting>
  <conditionalFormatting sqref="C188:C190">
    <cfRule type="expression" dxfId="510" priority="14" stopIfTrue="1">
      <formula>$B187="Visa"</formula>
    </cfRule>
    <cfRule type="expression" dxfId="509" priority="15" stopIfTrue="1">
      <formula>$B188="Visa"</formula>
    </cfRule>
  </conditionalFormatting>
  <conditionalFormatting sqref="C188:C191 C193:C194">
    <cfRule type="expression" dxfId="508" priority="5" stopIfTrue="1">
      <formula>$B187="Visa"</formula>
    </cfRule>
    <cfRule type="expression" dxfId="507" priority="12" stopIfTrue="1">
      <formula>$B187="Visa"</formula>
    </cfRule>
    <cfRule type="expression" dxfId="506" priority="18" stopIfTrue="1">
      <formula>$B187="Visa"</formula>
    </cfRule>
    <cfRule type="expression" dxfId="505" priority="35" stopIfTrue="1">
      <formula>$B187="Visa"</formula>
    </cfRule>
  </conditionalFormatting>
  <conditionalFormatting sqref="C188:C195">
    <cfRule type="expression" dxfId="504" priority="13" stopIfTrue="1">
      <formula>$B188="Visa"</formula>
    </cfRule>
  </conditionalFormatting>
  <conditionalFormatting sqref="C188:C196">
    <cfRule type="expression" dxfId="503" priority="40" stopIfTrue="1">
      <formula>$B187="Visa"</formula>
    </cfRule>
    <cfRule type="expression" dxfId="502" priority="41" stopIfTrue="1">
      <formula>$B188="Visa"</formula>
    </cfRule>
  </conditionalFormatting>
  <conditionalFormatting sqref="C188:C201 C203:C214">
    <cfRule type="expression" dxfId="501" priority="22" stopIfTrue="1">
      <formula>$B187="Visa"</formula>
    </cfRule>
  </conditionalFormatting>
  <conditionalFormatting sqref="C188:C203">
    <cfRule type="expression" dxfId="500" priority="36" stopIfTrue="1">
      <formula>$B188="Visa"</formula>
    </cfRule>
  </conditionalFormatting>
  <conditionalFormatting sqref="C188:C204 C206:C218 C220:C221">
    <cfRule type="expression" dxfId="499" priority="27" stopIfTrue="1">
      <formula>$B187="Visa"</formula>
    </cfRule>
  </conditionalFormatting>
  <conditionalFormatting sqref="C188:C204 C243:C244">
    <cfRule type="expression" dxfId="498" priority="52" stopIfTrue="1">
      <formula>$B187="Visa"</formula>
    </cfRule>
  </conditionalFormatting>
  <conditionalFormatting sqref="C188:C204">
    <cfRule type="expression" dxfId="497" priority="10" stopIfTrue="1">
      <formula>$B188="Visa"</formula>
    </cfRule>
    <cfRule type="expression" dxfId="496" priority="44" stopIfTrue="1">
      <formula>$B187="Visa"</formula>
    </cfRule>
    <cfRule type="expression" dxfId="495" priority="66" stopIfTrue="1">
      <formula>$B187="Visa"</formula>
    </cfRule>
  </conditionalFormatting>
  <conditionalFormatting sqref="C188:C205">
    <cfRule type="expression" dxfId="494" priority="60" stopIfTrue="1">
      <formula>$B187="Visa"</formula>
    </cfRule>
  </conditionalFormatting>
  <conditionalFormatting sqref="C188:C206">
    <cfRule type="expression" dxfId="493" priority="6" stopIfTrue="1">
      <formula>$B188="Visa"</formula>
    </cfRule>
  </conditionalFormatting>
  <conditionalFormatting sqref="C188:C215">
    <cfRule type="expression" dxfId="492" priority="23" stopIfTrue="1">
      <formula>$B188="Visa"</formula>
    </cfRule>
  </conditionalFormatting>
  <conditionalFormatting sqref="C188:C216">
    <cfRule type="expression" dxfId="491" priority="19" stopIfTrue="1">
      <formula>$B188="Visa"</formula>
    </cfRule>
  </conditionalFormatting>
  <conditionalFormatting sqref="C188:C228">
    <cfRule type="expression" dxfId="490" priority="38" stopIfTrue="1">
      <formula>$B187="Visa"</formula>
    </cfRule>
  </conditionalFormatting>
  <conditionalFormatting sqref="C188:C229">
    <cfRule type="expression" dxfId="489" priority="39" stopIfTrue="1">
      <formula>$B188="Visa"</formula>
    </cfRule>
  </conditionalFormatting>
  <conditionalFormatting sqref="C188:C230">
    <cfRule type="expression" dxfId="488" priority="46" stopIfTrue="1">
      <formula>$B187="Visa"</formula>
    </cfRule>
  </conditionalFormatting>
  <conditionalFormatting sqref="C188:C231">
    <cfRule type="expression" dxfId="487" priority="47" stopIfTrue="1">
      <formula>$B188="Visa"</formula>
    </cfRule>
  </conditionalFormatting>
  <conditionalFormatting sqref="C188:C233">
    <cfRule type="expression" dxfId="486" priority="28" stopIfTrue="1">
      <formula>$B188="Visa"</formula>
    </cfRule>
  </conditionalFormatting>
  <conditionalFormatting sqref="C188:C242">
    <cfRule type="expression" dxfId="485" priority="62" stopIfTrue="1">
      <formula>$B188="Visa"</formula>
    </cfRule>
  </conditionalFormatting>
  <conditionalFormatting sqref="C188:C248">
    <cfRule type="expression" dxfId="484" priority="54" stopIfTrue="1">
      <formula>$B188="Visa"</formula>
    </cfRule>
  </conditionalFormatting>
  <conditionalFormatting sqref="C188:C260">
    <cfRule type="expression" dxfId="483" priority="68" stopIfTrue="1">
      <formula>$B188="Visa"</formula>
    </cfRule>
  </conditionalFormatting>
  <conditionalFormatting sqref="C190">
    <cfRule type="expression" dxfId="482" priority="8" stopIfTrue="1">
      <formula>$B146="Visa"</formula>
    </cfRule>
  </conditionalFormatting>
  <conditionalFormatting sqref="C192">
    <cfRule type="expression" dxfId="481" priority="4" stopIfTrue="1">
      <formula>$B147="Visa"</formula>
    </cfRule>
    <cfRule type="expression" dxfId="480" priority="11" stopIfTrue="1">
      <formula>$B147="Visa"</formula>
    </cfRule>
    <cfRule type="expression" dxfId="479" priority="17" stopIfTrue="1">
      <formula>$B147="Visa"</formula>
    </cfRule>
    <cfRule type="expression" dxfId="478" priority="34" stopIfTrue="1">
      <formula>$B147="Visa"</formula>
    </cfRule>
  </conditionalFormatting>
  <conditionalFormatting sqref="C202">
    <cfRule type="expression" dxfId="477" priority="20" stopIfTrue="1">
      <formula>$B178="Visa"</formula>
    </cfRule>
  </conditionalFormatting>
  <conditionalFormatting sqref="C204:C220">
    <cfRule type="expression" dxfId="476" priority="31" stopIfTrue="1">
      <formula>$B204="Visa"</formula>
    </cfRule>
  </conditionalFormatting>
  <conditionalFormatting sqref="C205">
    <cfRule type="expression" dxfId="475" priority="25" stopIfTrue="1">
      <formula>$B177="Visa"</formula>
    </cfRule>
    <cfRule type="expression" dxfId="474" priority="43" stopIfTrue="1">
      <formula>$B177="Visa"</formula>
    </cfRule>
    <cfRule type="expression" dxfId="473" priority="50" stopIfTrue="1">
      <formula>$B177="Visa"</formula>
    </cfRule>
    <cfRule type="expression" dxfId="472" priority="65" stopIfTrue="1">
      <formula>$B177="Visa"</formula>
    </cfRule>
  </conditionalFormatting>
  <conditionalFormatting sqref="C205:C220">
    <cfRule type="expression" dxfId="471" priority="30" stopIfTrue="1">
      <formula>$B204="Visa"</formula>
    </cfRule>
  </conditionalFormatting>
  <conditionalFormatting sqref="C206">
    <cfRule type="expression" dxfId="470" priority="59" stopIfTrue="1">
      <formula>$B178="Visa"</formula>
    </cfRule>
  </conditionalFormatting>
  <conditionalFormatting sqref="C206:C229 C231:C241">
    <cfRule type="expression" dxfId="469" priority="53" stopIfTrue="1">
      <formula>$B205="Visa"</formula>
    </cfRule>
  </conditionalFormatting>
  <conditionalFormatting sqref="C206:C248 C250:C260">
    <cfRule type="expression" dxfId="468" priority="67" stopIfTrue="1">
      <formula>$B205="Visa"</formula>
    </cfRule>
  </conditionalFormatting>
  <conditionalFormatting sqref="C207">
    <cfRule type="expression" dxfId="467" priority="3" stopIfTrue="1">
      <formula>$B207="Visa"</formula>
    </cfRule>
  </conditionalFormatting>
  <conditionalFormatting sqref="C207:C230 C232:C242">
    <cfRule type="expression" dxfId="466" priority="61" stopIfTrue="1">
      <formula>$B206="Visa"</formula>
    </cfRule>
  </conditionalFormatting>
  <conditionalFormatting sqref="C212">
    <cfRule type="expression" dxfId="465" priority="45" stopIfTrue="1">
      <formula>$B183="Visa"</formula>
    </cfRule>
  </conditionalFormatting>
  <conditionalFormatting sqref="C215">
    <cfRule type="expression" dxfId="464" priority="21" stopIfTrue="1">
      <formula>$B147="Visa"</formula>
    </cfRule>
  </conditionalFormatting>
  <conditionalFormatting sqref="C216">
    <cfRule type="expression" dxfId="463" priority="16" stopIfTrue="1">
      <formula>$B216="Visa"</formula>
    </cfRule>
  </conditionalFormatting>
  <conditionalFormatting sqref="C219">
    <cfRule type="expression" dxfId="462" priority="26" stopIfTrue="1">
      <formula>$B147="Visa"</formula>
    </cfRule>
  </conditionalFormatting>
  <conditionalFormatting sqref="C229">
    <cfRule type="expression" dxfId="461" priority="37" stopIfTrue="1">
      <formula>$B151="Visa"</formula>
    </cfRule>
  </conditionalFormatting>
  <conditionalFormatting sqref="C230">
    <cfRule type="expression" dxfId="460" priority="49" stopIfTrue="1">
      <formula>$B206="Visa"</formula>
    </cfRule>
  </conditionalFormatting>
  <conditionalFormatting sqref="C231">
    <cfRule type="expression" dxfId="459" priority="42" stopIfTrue="1">
      <formula>$B230="Visa"</formula>
    </cfRule>
    <cfRule type="expression" dxfId="458" priority="58" stopIfTrue="1">
      <formula>$B207="Visa"</formula>
    </cfRule>
  </conditionalFormatting>
  <conditionalFormatting sqref="C234">
    <cfRule type="expression" dxfId="457" priority="24" stopIfTrue="1">
      <formula>$B234="Visa"</formula>
    </cfRule>
  </conditionalFormatting>
  <conditionalFormatting sqref="C242">
    <cfRule type="expression" dxfId="456" priority="51" stopIfTrue="1">
      <formula>$B147="Visa"</formula>
    </cfRule>
  </conditionalFormatting>
  <conditionalFormatting sqref="C249">
    <cfRule type="expression" dxfId="455" priority="63" stopIfTrue="1">
      <formula>$B216="Visa"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A0D0-A81A-465A-9029-AC81749610A6}">
  <sheetPr codeName="Sheet5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8"/>
      <c r="M1" s="48"/>
      <c r="N1" s="48"/>
    </row>
    <row r="2" spans="1:17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  <c r="K2" s="48" t="s">
        <v>13</v>
      </c>
      <c r="L2" s="48"/>
      <c r="M2" s="48"/>
      <c r="N2" s="48"/>
    </row>
    <row r="3" spans="1:17" ht="16.5" customHeight="1" x14ac:dyDescent="0.2">
      <c r="A3" s="23" t="s">
        <v>18</v>
      </c>
      <c r="B3" s="43">
        <f>'1'!B3+1</f>
        <v>46144</v>
      </c>
      <c r="C3" s="21"/>
      <c r="D3" s="21"/>
      <c r="E3" s="21"/>
      <c r="F3" s="21"/>
      <c r="G3" s="21"/>
      <c r="H3" s="21"/>
      <c r="I3" s="22"/>
      <c r="L3" s="52"/>
      <c r="M3" s="52"/>
      <c r="N3" s="52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5" t="s">
        <v>11</v>
      </c>
      <c r="B209" s="45"/>
      <c r="C209" s="45"/>
      <c r="D209" s="38"/>
      <c r="E209" s="38"/>
      <c r="F209" s="38"/>
      <c r="G209" s="45" t="s">
        <v>10</v>
      </c>
      <c r="H209" s="45"/>
      <c r="I209" s="45"/>
    </row>
    <row r="210" spans="1:9" s="7" customFormat="1" ht="15" customHeight="1" x14ac:dyDescent="0.25">
      <c r="A210" s="45" t="s">
        <v>22</v>
      </c>
      <c r="B210" s="45"/>
      <c r="C210" s="45"/>
      <c r="D210" s="38"/>
      <c r="E210" s="38"/>
      <c r="F210" s="38"/>
      <c r="G210" s="45" t="s">
        <v>23</v>
      </c>
      <c r="H210" s="45"/>
      <c r="I210" s="45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6" t="s">
        <v>16</v>
      </c>
      <c r="B215" s="46"/>
      <c r="C215" s="46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7" t="s">
        <v>17</v>
      </c>
      <c r="B216" s="47"/>
      <c r="C216" s="47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>
      <c r="H217" s="40"/>
    </row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454" priority="62" stopIfTrue="1">
      <formula>$A272="Visa"</formula>
    </cfRule>
  </conditionalFormatting>
  <conditionalFormatting sqref="B278">
    <cfRule type="expression" dxfId="453" priority="53" stopIfTrue="1">
      <formula>$A278="Visa"</formula>
    </cfRule>
  </conditionalFormatting>
  <conditionalFormatting sqref="B310">
    <cfRule type="expression" dxfId="452" priority="69" stopIfTrue="1">
      <formula>$A310="Visa"</formula>
    </cfRule>
  </conditionalFormatting>
  <conditionalFormatting sqref="C5:C15 C17:C208">
    <cfRule type="expression" dxfId="451" priority="76" stopIfTrue="1">
      <formula>$B5="Visa"</formula>
    </cfRule>
  </conditionalFormatting>
  <conditionalFormatting sqref="C5:C19">
    <cfRule type="expression" dxfId="450" priority="78" stopIfTrue="1">
      <formula>$B5="Visa"</formula>
    </cfRule>
  </conditionalFormatting>
  <conditionalFormatting sqref="C5:C208 C217:C233">
    <cfRule type="expression" dxfId="449" priority="15" stopIfTrue="1">
      <formula>$B5="Visa"</formula>
    </cfRule>
  </conditionalFormatting>
  <conditionalFormatting sqref="C5:C208">
    <cfRule type="expression" dxfId="448" priority="7" stopIfTrue="1">
      <formula>$B5="Visa"</formula>
    </cfRule>
    <cfRule type="expression" dxfId="447" priority="38" stopIfTrue="1">
      <formula>$B5="Visa"</formula>
    </cfRule>
    <cfRule type="expression" dxfId="446" priority="61" stopIfTrue="1">
      <formula>$B5="Visa"</formula>
    </cfRule>
  </conditionalFormatting>
  <conditionalFormatting sqref="C13:C15">
    <cfRule type="expression" dxfId="445" priority="37" stopIfTrue="1">
      <formula>$B12="Visa"</formula>
    </cfRule>
    <cfRule type="expression" dxfId="444" priority="75" stopIfTrue="1">
      <formula>$B12="Visa"</formula>
    </cfRule>
  </conditionalFormatting>
  <conditionalFormatting sqref="C13:C20">
    <cfRule type="expression" dxfId="443" priority="6" stopIfTrue="1">
      <formula>$B12="Visa"</formula>
    </cfRule>
    <cfRule type="expression" dxfId="442" priority="60" stopIfTrue="1">
      <formula>$B12="Visa"</formula>
    </cfRule>
  </conditionalFormatting>
  <conditionalFormatting sqref="C13:C201 C203:C208">
    <cfRule type="expression" dxfId="441" priority="77" stopIfTrue="1">
      <formula>$B12="Visa"</formula>
    </cfRule>
  </conditionalFormatting>
  <conditionalFormatting sqref="C17">
    <cfRule type="expression" dxfId="440" priority="34" stopIfTrue="1">
      <formula>$B15="Visa"</formula>
    </cfRule>
    <cfRule type="expression" dxfId="439" priority="74" stopIfTrue="1">
      <formula>$B15="Visa"</formula>
    </cfRule>
  </conditionalFormatting>
  <conditionalFormatting sqref="C21">
    <cfRule type="expression" dxfId="438" priority="12" stopIfTrue="1">
      <formula>#REF!="Visa"</formula>
    </cfRule>
  </conditionalFormatting>
  <conditionalFormatting sqref="C202">
    <cfRule type="expression" dxfId="437" priority="79" stopIfTrue="1">
      <formula>$B29="Visa"</formula>
    </cfRule>
  </conditionalFormatting>
  <conditionalFormatting sqref="C209:C214">
    <cfRule type="expression" dxfId="436" priority="1" stopIfTrue="1">
      <formula>$B209="Visa"</formula>
    </cfRule>
    <cfRule type="expression" dxfId="435" priority="5" stopIfTrue="1">
      <formula>$B208="Visa"</formula>
    </cfRule>
  </conditionalFormatting>
  <conditionalFormatting sqref="C217:C218 C220:C221 C12:C20">
    <cfRule type="expression" dxfId="434" priority="14" stopIfTrue="1">
      <formula>$B11="Visa"</formula>
    </cfRule>
  </conditionalFormatting>
  <conditionalFormatting sqref="C217:C219">
    <cfRule type="expression" dxfId="433" priority="19" stopIfTrue="1">
      <formula>$B216="Visa"</formula>
    </cfRule>
    <cfRule type="expression" dxfId="432" priority="20" stopIfTrue="1">
      <formula>$B217="Visa"</formula>
    </cfRule>
  </conditionalFormatting>
  <conditionalFormatting sqref="C217:C220 C222:C223">
    <cfRule type="expression" dxfId="431" priority="10" stopIfTrue="1">
      <formula>$B216="Visa"</formula>
    </cfRule>
    <cfRule type="expression" dxfId="430" priority="17" stopIfTrue="1">
      <formula>$B216="Visa"</formula>
    </cfRule>
    <cfRule type="expression" dxfId="429" priority="23" stopIfTrue="1">
      <formula>$B216="Visa"</formula>
    </cfRule>
    <cfRule type="expression" dxfId="428" priority="40" stopIfTrue="1">
      <formula>$B216="Visa"</formula>
    </cfRule>
  </conditionalFormatting>
  <conditionalFormatting sqref="C217:C224">
    <cfRule type="expression" dxfId="427" priority="18" stopIfTrue="1">
      <formula>$B217="Visa"</formula>
    </cfRule>
  </conditionalFormatting>
  <conditionalFormatting sqref="C217:C225">
    <cfRule type="expression" dxfId="426" priority="45" stopIfTrue="1">
      <formula>$B216="Visa"</formula>
    </cfRule>
    <cfRule type="expression" dxfId="425" priority="46" stopIfTrue="1">
      <formula>$B217="Visa"</formula>
    </cfRule>
  </conditionalFormatting>
  <conditionalFormatting sqref="C217:C230 C232:C243">
    <cfRule type="expression" dxfId="424" priority="27" stopIfTrue="1">
      <formula>$B216="Visa"</formula>
    </cfRule>
  </conditionalFormatting>
  <conditionalFormatting sqref="C217:C232">
    <cfRule type="expression" dxfId="423" priority="41" stopIfTrue="1">
      <formula>$B217="Visa"</formula>
    </cfRule>
  </conditionalFormatting>
  <conditionalFormatting sqref="C217:C233 C235:C247 C249:C250">
    <cfRule type="expression" dxfId="422" priority="32" stopIfTrue="1">
      <formula>$B216="Visa"</formula>
    </cfRule>
  </conditionalFormatting>
  <conditionalFormatting sqref="C217:C233 C272:C273">
    <cfRule type="expression" dxfId="421" priority="57" stopIfTrue="1">
      <formula>$B216="Visa"</formula>
    </cfRule>
  </conditionalFormatting>
  <conditionalFormatting sqref="C217:C233">
    <cfRule type="expression" dxfId="420" priority="49" stopIfTrue="1">
      <formula>$B216="Visa"</formula>
    </cfRule>
    <cfRule type="expression" dxfId="419" priority="71" stopIfTrue="1">
      <formula>$B216="Visa"</formula>
    </cfRule>
  </conditionalFormatting>
  <conditionalFormatting sqref="C217:C234">
    <cfRule type="expression" dxfId="418" priority="65" stopIfTrue="1">
      <formula>$B216="Visa"</formula>
    </cfRule>
  </conditionalFormatting>
  <conditionalFormatting sqref="C217:C235">
    <cfRule type="expression" dxfId="417" priority="11" stopIfTrue="1">
      <formula>$B217="Visa"</formula>
    </cfRule>
  </conditionalFormatting>
  <conditionalFormatting sqref="C217:C244">
    <cfRule type="expression" dxfId="416" priority="28" stopIfTrue="1">
      <formula>$B217="Visa"</formula>
    </cfRule>
  </conditionalFormatting>
  <conditionalFormatting sqref="C217:C245">
    <cfRule type="expression" dxfId="415" priority="24" stopIfTrue="1">
      <formula>$B217="Visa"</formula>
    </cfRule>
  </conditionalFormatting>
  <conditionalFormatting sqref="C217:C257">
    <cfRule type="expression" dxfId="414" priority="43" stopIfTrue="1">
      <formula>$B216="Visa"</formula>
    </cfRule>
  </conditionalFormatting>
  <conditionalFormatting sqref="C217:C258">
    <cfRule type="expression" dxfId="413" priority="44" stopIfTrue="1">
      <formula>$B217="Visa"</formula>
    </cfRule>
  </conditionalFormatting>
  <conditionalFormatting sqref="C217:C259">
    <cfRule type="expression" dxfId="412" priority="51" stopIfTrue="1">
      <formula>$B216="Visa"</formula>
    </cfRule>
  </conditionalFormatting>
  <conditionalFormatting sqref="C217:C260">
    <cfRule type="expression" dxfId="411" priority="52" stopIfTrue="1">
      <formula>$B217="Visa"</formula>
    </cfRule>
  </conditionalFormatting>
  <conditionalFormatting sqref="C217:C262">
    <cfRule type="expression" dxfId="410" priority="33" stopIfTrue="1">
      <formula>$B217="Visa"</formula>
    </cfRule>
  </conditionalFormatting>
  <conditionalFormatting sqref="C217:C271">
    <cfRule type="expression" dxfId="409" priority="67" stopIfTrue="1">
      <formula>$B217="Visa"</formula>
    </cfRule>
  </conditionalFormatting>
  <conditionalFormatting sqref="C217:C277">
    <cfRule type="expression" dxfId="408" priority="59" stopIfTrue="1">
      <formula>$B217="Visa"</formula>
    </cfRule>
  </conditionalFormatting>
  <conditionalFormatting sqref="C217:C289">
    <cfRule type="expression" dxfId="407" priority="73" stopIfTrue="1">
      <formula>$B217="Visa"</formula>
    </cfRule>
  </conditionalFormatting>
  <conditionalFormatting sqref="C219">
    <cfRule type="expression" dxfId="406" priority="13" stopIfTrue="1">
      <formula>$B16="Visa"</formula>
    </cfRule>
  </conditionalFormatting>
  <conditionalFormatting sqref="C221">
    <cfRule type="expression" dxfId="405" priority="9" stopIfTrue="1">
      <formula>$B17="Visa"</formula>
    </cfRule>
    <cfRule type="expression" dxfId="404" priority="16" stopIfTrue="1">
      <formula>$B17="Visa"</formula>
    </cfRule>
    <cfRule type="expression" dxfId="403" priority="22" stopIfTrue="1">
      <formula>$B17="Visa"</formula>
    </cfRule>
    <cfRule type="expression" dxfId="402" priority="39" stopIfTrue="1">
      <formula>$B17="Visa"</formula>
    </cfRule>
  </conditionalFormatting>
  <conditionalFormatting sqref="C231">
    <cfRule type="expression" dxfId="401" priority="25" stopIfTrue="1">
      <formula>$B207="Visa"</formula>
    </cfRule>
  </conditionalFormatting>
  <conditionalFormatting sqref="C233:C249">
    <cfRule type="expression" dxfId="400" priority="36" stopIfTrue="1">
      <formula>$B233="Visa"</formula>
    </cfRule>
  </conditionalFormatting>
  <conditionalFormatting sqref="C234">
    <cfRule type="expression" dxfId="399" priority="30" stopIfTrue="1">
      <formula>$B206="Visa"</formula>
    </cfRule>
    <cfRule type="expression" dxfId="398" priority="48" stopIfTrue="1">
      <formula>$B206="Visa"</formula>
    </cfRule>
    <cfRule type="expression" dxfId="397" priority="55" stopIfTrue="1">
      <formula>$B206="Visa"</formula>
    </cfRule>
    <cfRule type="expression" dxfId="396" priority="70" stopIfTrue="1">
      <formula>$B206="Visa"</formula>
    </cfRule>
  </conditionalFormatting>
  <conditionalFormatting sqref="C234:C249">
    <cfRule type="expression" dxfId="395" priority="35" stopIfTrue="1">
      <formula>$B233="Visa"</formula>
    </cfRule>
  </conditionalFormatting>
  <conditionalFormatting sqref="C235">
    <cfRule type="expression" dxfId="394" priority="64" stopIfTrue="1">
      <formula>$B207="Visa"</formula>
    </cfRule>
  </conditionalFormatting>
  <conditionalFormatting sqref="C235:C258 C260:C270">
    <cfRule type="expression" dxfId="393" priority="58" stopIfTrue="1">
      <formula>$B234="Visa"</formula>
    </cfRule>
  </conditionalFormatting>
  <conditionalFormatting sqref="C235:C277 C279:C289">
    <cfRule type="expression" dxfId="392" priority="72" stopIfTrue="1">
      <formula>$B234="Visa"</formula>
    </cfRule>
  </conditionalFormatting>
  <conditionalFormatting sqref="C236">
    <cfRule type="expression" dxfId="391" priority="8" stopIfTrue="1">
      <formula>$B236="Visa"</formula>
    </cfRule>
  </conditionalFormatting>
  <conditionalFormatting sqref="C236:C259 C261:C271">
    <cfRule type="expression" dxfId="390" priority="66" stopIfTrue="1">
      <formula>$B235="Visa"</formula>
    </cfRule>
  </conditionalFormatting>
  <conditionalFormatting sqref="C241">
    <cfRule type="expression" dxfId="389" priority="50" stopIfTrue="1">
      <formula>$B212="Visa"</formula>
    </cfRule>
  </conditionalFormatting>
  <conditionalFormatting sqref="C244">
    <cfRule type="expression" dxfId="388" priority="26" stopIfTrue="1">
      <formula>$B17="Visa"</formula>
    </cfRule>
  </conditionalFormatting>
  <conditionalFormatting sqref="C245">
    <cfRule type="expression" dxfId="387" priority="21" stopIfTrue="1">
      <formula>$B245="Visa"</formula>
    </cfRule>
  </conditionalFormatting>
  <conditionalFormatting sqref="C248">
    <cfRule type="expression" dxfId="386" priority="31" stopIfTrue="1">
      <formula>$B17="Visa"</formula>
    </cfRule>
  </conditionalFormatting>
  <conditionalFormatting sqref="C258">
    <cfRule type="expression" dxfId="385" priority="42" stopIfTrue="1">
      <formula>$B21="Visa"</formula>
    </cfRule>
  </conditionalFormatting>
  <conditionalFormatting sqref="C259">
    <cfRule type="expression" dxfId="384" priority="54" stopIfTrue="1">
      <formula>$B235="Visa"</formula>
    </cfRule>
  </conditionalFormatting>
  <conditionalFormatting sqref="C260">
    <cfRule type="expression" dxfId="383" priority="47" stopIfTrue="1">
      <formula>$B259="Visa"</formula>
    </cfRule>
    <cfRule type="expression" dxfId="382" priority="63" stopIfTrue="1">
      <formula>$B236="Visa"</formula>
    </cfRule>
  </conditionalFormatting>
  <conditionalFormatting sqref="C263">
    <cfRule type="expression" dxfId="381" priority="29" stopIfTrue="1">
      <formula>$B263="Visa"</formula>
    </cfRule>
  </conditionalFormatting>
  <conditionalFormatting sqref="C271">
    <cfRule type="expression" dxfId="380" priority="56" stopIfTrue="1">
      <formula>$B17="Visa"</formula>
    </cfRule>
  </conditionalFormatting>
  <conditionalFormatting sqref="C278">
    <cfRule type="expression" dxfId="379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95E4-1B8A-421A-A44A-7DDDB12E1F10}">
  <sheetPr codeName="Sheet6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8"/>
      <c r="M1" s="48"/>
      <c r="N1" s="48"/>
    </row>
    <row r="2" spans="1:17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  <c r="K2" s="48" t="s">
        <v>13</v>
      </c>
      <c r="L2" s="48"/>
      <c r="M2" s="48"/>
      <c r="N2" s="48"/>
    </row>
    <row r="3" spans="1:17" ht="16.5" customHeight="1" x14ac:dyDescent="0.2">
      <c r="A3" s="23" t="s">
        <v>18</v>
      </c>
      <c r="B3" s="43">
        <f>'2'!B3+1</f>
        <v>46145</v>
      </c>
      <c r="C3" s="21"/>
      <c r="D3" s="21"/>
      <c r="E3" s="21"/>
      <c r="F3" s="21"/>
      <c r="G3" s="21"/>
      <c r="H3" s="21"/>
      <c r="I3" s="22"/>
      <c r="L3" s="52"/>
      <c r="M3" s="52"/>
      <c r="N3" s="52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5" t="s">
        <v>11</v>
      </c>
      <c r="B209" s="45"/>
      <c r="C209" s="45"/>
      <c r="D209" s="38"/>
      <c r="E209" s="38"/>
      <c r="F209" s="38"/>
      <c r="G209" s="45" t="s">
        <v>10</v>
      </c>
      <c r="H209" s="45"/>
      <c r="I209" s="45"/>
    </row>
    <row r="210" spans="1:9" s="7" customFormat="1" ht="15" customHeight="1" x14ac:dyDescent="0.25">
      <c r="A210" s="45" t="s">
        <v>22</v>
      </c>
      <c r="B210" s="45"/>
      <c r="C210" s="45"/>
      <c r="D210" s="38"/>
      <c r="E210" s="38"/>
      <c r="F210" s="38"/>
      <c r="G210" s="45" t="s">
        <v>23</v>
      </c>
      <c r="H210" s="45"/>
      <c r="I210" s="45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6" t="s">
        <v>16</v>
      </c>
      <c r="B215" s="46"/>
      <c r="C215" s="46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7" t="s">
        <v>17</v>
      </c>
      <c r="B216" s="47"/>
      <c r="C216" s="47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378" priority="62" stopIfTrue="1">
      <formula>$A272="Visa"</formula>
    </cfRule>
  </conditionalFormatting>
  <conditionalFormatting sqref="B278">
    <cfRule type="expression" dxfId="377" priority="53" stopIfTrue="1">
      <formula>$A278="Visa"</formula>
    </cfRule>
  </conditionalFormatting>
  <conditionalFormatting sqref="B310">
    <cfRule type="expression" dxfId="376" priority="69" stopIfTrue="1">
      <formula>$A310="Visa"</formula>
    </cfRule>
  </conditionalFormatting>
  <conditionalFormatting sqref="C5:C15 C17:C208">
    <cfRule type="expression" dxfId="375" priority="76" stopIfTrue="1">
      <formula>$B5="Visa"</formula>
    </cfRule>
  </conditionalFormatting>
  <conditionalFormatting sqref="C5:C19">
    <cfRule type="expression" dxfId="374" priority="78" stopIfTrue="1">
      <formula>$B5="Visa"</formula>
    </cfRule>
  </conditionalFormatting>
  <conditionalFormatting sqref="C5:C208 C217:C233">
    <cfRule type="expression" dxfId="373" priority="15" stopIfTrue="1">
      <formula>$B5="Visa"</formula>
    </cfRule>
  </conditionalFormatting>
  <conditionalFormatting sqref="C5:C208">
    <cfRule type="expression" dxfId="372" priority="7" stopIfTrue="1">
      <formula>$B5="Visa"</formula>
    </cfRule>
    <cfRule type="expression" dxfId="371" priority="38" stopIfTrue="1">
      <formula>$B5="Visa"</formula>
    </cfRule>
    <cfRule type="expression" dxfId="370" priority="61" stopIfTrue="1">
      <formula>$B5="Visa"</formula>
    </cfRule>
  </conditionalFormatting>
  <conditionalFormatting sqref="C13:C15">
    <cfRule type="expression" dxfId="369" priority="37" stopIfTrue="1">
      <formula>$B12="Visa"</formula>
    </cfRule>
    <cfRule type="expression" dxfId="368" priority="75" stopIfTrue="1">
      <formula>$B12="Visa"</formula>
    </cfRule>
  </conditionalFormatting>
  <conditionalFormatting sqref="C13:C20">
    <cfRule type="expression" dxfId="367" priority="6" stopIfTrue="1">
      <formula>$B12="Visa"</formula>
    </cfRule>
    <cfRule type="expression" dxfId="366" priority="60" stopIfTrue="1">
      <formula>$B12="Visa"</formula>
    </cfRule>
  </conditionalFormatting>
  <conditionalFormatting sqref="C13:C201 C203:C208">
    <cfRule type="expression" dxfId="365" priority="77" stopIfTrue="1">
      <formula>$B12="Visa"</formula>
    </cfRule>
  </conditionalFormatting>
  <conditionalFormatting sqref="C17">
    <cfRule type="expression" dxfId="364" priority="34" stopIfTrue="1">
      <formula>$B15="Visa"</formula>
    </cfRule>
    <cfRule type="expression" dxfId="363" priority="74" stopIfTrue="1">
      <formula>$B15="Visa"</formula>
    </cfRule>
  </conditionalFormatting>
  <conditionalFormatting sqref="C21">
    <cfRule type="expression" dxfId="362" priority="12" stopIfTrue="1">
      <formula>#REF!="Visa"</formula>
    </cfRule>
  </conditionalFormatting>
  <conditionalFormatting sqref="C202">
    <cfRule type="expression" dxfId="361" priority="79" stopIfTrue="1">
      <formula>$B29="Visa"</formula>
    </cfRule>
  </conditionalFormatting>
  <conditionalFormatting sqref="C209:C214">
    <cfRule type="expression" dxfId="360" priority="1" stopIfTrue="1">
      <formula>$B209="Visa"</formula>
    </cfRule>
    <cfRule type="expression" dxfId="359" priority="5" stopIfTrue="1">
      <formula>$B208="Visa"</formula>
    </cfRule>
  </conditionalFormatting>
  <conditionalFormatting sqref="C217:C218 C220:C221 C12:C20">
    <cfRule type="expression" dxfId="358" priority="14" stopIfTrue="1">
      <formula>$B11="Visa"</formula>
    </cfRule>
  </conditionalFormatting>
  <conditionalFormatting sqref="C217:C219">
    <cfRule type="expression" dxfId="357" priority="19" stopIfTrue="1">
      <formula>$B216="Visa"</formula>
    </cfRule>
    <cfRule type="expression" dxfId="356" priority="20" stopIfTrue="1">
      <formula>$B217="Visa"</formula>
    </cfRule>
  </conditionalFormatting>
  <conditionalFormatting sqref="C217:C220 C222:C223">
    <cfRule type="expression" dxfId="355" priority="10" stopIfTrue="1">
      <formula>$B216="Visa"</formula>
    </cfRule>
    <cfRule type="expression" dxfId="354" priority="17" stopIfTrue="1">
      <formula>$B216="Visa"</formula>
    </cfRule>
    <cfRule type="expression" dxfId="353" priority="23" stopIfTrue="1">
      <formula>$B216="Visa"</formula>
    </cfRule>
    <cfRule type="expression" dxfId="352" priority="40" stopIfTrue="1">
      <formula>$B216="Visa"</formula>
    </cfRule>
  </conditionalFormatting>
  <conditionalFormatting sqref="C217:C224">
    <cfRule type="expression" dxfId="351" priority="18" stopIfTrue="1">
      <formula>$B217="Visa"</formula>
    </cfRule>
  </conditionalFormatting>
  <conditionalFormatting sqref="C217:C225">
    <cfRule type="expression" dxfId="350" priority="45" stopIfTrue="1">
      <formula>$B216="Visa"</formula>
    </cfRule>
    <cfRule type="expression" dxfId="349" priority="46" stopIfTrue="1">
      <formula>$B217="Visa"</formula>
    </cfRule>
  </conditionalFormatting>
  <conditionalFormatting sqref="C217:C230 C232:C243">
    <cfRule type="expression" dxfId="348" priority="27" stopIfTrue="1">
      <formula>$B216="Visa"</formula>
    </cfRule>
  </conditionalFormatting>
  <conditionalFormatting sqref="C217:C232">
    <cfRule type="expression" dxfId="347" priority="41" stopIfTrue="1">
      <formula>$B217="Visa"</formula>
    </cfRule>
  </conditionalFormatting>
  <conditionalFormatting sqref="C217:C233 C235:C247 C249:C250">
    <cfRule type="expression" dxfId="346" priority="32" stopIfTrue="1">
      <formula>$B216="Visa"</formula>
    </cfRule>
  </conditionalFormatting>
  <conditionalFormatting sqref="C217:C233 C272:C273">
    <cfRule type="expression" dxfId="345" priority="57" stopIfTrue="1">
      <formula>$B216="Visa"</formula>
    </cfRule>
  </conditionalFormatting>
  <conditionalFormatting sqref="C217:C233">
    <cfRule type="expression" dxfId="344" priority="49" stopIfTrue="1">
      <formula>$B216="Visa"</formula>
    </cfRule>
    <cfRule type="expression" dxfId="343" priority="71" stopIfTrue="1">
      <formula>$B216="Visa"</formula>
    </cfRule>
  </conditionalFormatting>
  <conditionalFormatting sqref="C217:C234">
    <cfRule type="expression" dxfId="342" priority="65" stopIfTrue="1">
      <formula>$B216="Visa"</formula>
    </cfRule>
  </conditionalFormatting>
  <conditionalFormatting sqref="C217:C235">
    <cfRule type="expression" dxfId="341" priority="11" stopIfTrue="1">
      <formula>$B217="Visa"</formula>
    </cfRule>
  </conditionalFormatting>
  <conditionalFormatting sqref="C217:C244">
    <cfRule type="expression" dxfId="340" priority="28" stopIfTrue="1">
      <formula>$B217="Visa"</formula>
    </cfRule>
  </conditionalFormatting>
  <conditionalFormatting sqref="C217:C245">
    <cfRule type="expression" dxfId="339" priority="24" stopIfTrue="1">
      <formula>$B217="Visa"</formula>
    </cfRule>
  </conditionalFormatting>
  <conditionalFormatting sqref="C217:C257">
    <cfRule type="expression" dxfId="338" priority="43" stopIfTrue="1">
      <formula>$B216="Visa"</formula>
    </cfRule>
  </conditionalFormatting>
  <conditionalFormatting sqref="C217:C258">
    <cfRule type="expression" dxfId="337" priority="44" stopIfTrue="1">
      <formula>$B217="Visa"</formula>
    </cfRule>
  </conditionalFormatting>
  <conditionalFormatting sqref="C217:C259">
    <cfRule type="expression" dxfId="336" priority="51" stopIfTrue="1">
      <formula>$B216="Visa"</formula>
    </cfRule>
  </conditionalFormatting>
  <conditionalFormatting sqref="C217:C260">
    <cfRule type="expression" dxfId="335" priority="52" stopIfTrue="1">
      <formula>$B217="Visa"</formula>
    </cfRule>
  </conditionalFormatting>
  <conditionalFormatting sqref="C217:C262">
    <cfRule type="expression" dxfId="334" priority="33" stopIfTrue="1">
      <formula>$B217="Visa"</formula>
    </cfRule>
  </conditionalFormatting>
  <conditionalFormatting sqref="C217:C271">
    <cfRule type="expression" dxfId="333" priority="67" stopIfTrue="1">
      <formula>$B217="Visa"</formula>
    </cfRule>
  </conditionalFormatting>
  <conditionalFormatting sqref="C217:C277">
    <cfRule type="expression" dxfId="332" priority="59" stopIfTrue="1">
      <formula>$B217="Visa"</formula>
    </cfRule>
  </conditionalFormatting>
  <conditionalFormatting sqref="C217:C289">
    <cfRule type="expression" dxfId="331" priority="73" stopIfTrue="1">
      <formula>$B217="Visa"</formula>
    </cfRule>
  </conditionalFormatting>
  <conditionalFormatting sqref="C219">
    <cfRule type="expression" dxfId="330" priority="13" stopIfTrue="1">
      <formula>$B16="Visa"</formula>
    </cfRule>
  </conditionalFormatting>
  <conditionalFormatting sqref="C221">
    <cfRule type="expression" dxfId="329" priority="9" stopIfTrue="1">
      <formula>$B17="Visa"</formula>
    </cfRule>
    <cfRule type="expression" dxfId="328" priority="16" stopIfTrue="1">
      <formula>$B17="Visa"</formula>
    </cfRule>
    <cfRule type="expression" dxfId="327" priority="22" stopIfTrue="1">
      <formula>$B17="Visa"</formula>
    </cfRule>
    <cfRule type="expression" dxfId="326" priority="39" stopIfTrue="1">
      <formula>$B17="Visa"</formula>
    </cfRule>
  </conditionalFormatting>
  <conditionalFormatting sqref="C231">
    <cfRule type="expression" dxfId="325" priority="25" stopIfTrue="1">
      <formula>$B207="Visa"</formula>
    </cfRule>
  </conditionalFormatting>
  <conditionalFormatting sqref="C233:C249">
    <cfRule type="expression" dxfId="324" priority="36" stopIfTrue="1">
      <formula>$B233="Visa"</formula>
    </cfRule>
  </conditionalFormatting>
  <conditionalFormatting sqref="C234">
    <cfRule type="expression" dxfId="323" priority="30" stopIfTrue="1">
      <formula>$B206="Visa"</formula>
    </cfRule>
    <cfRule type="expression" dxfId="322" priority="48" stopIfTrue="1">
      <formula>$B206="Visa"</formula>
    </cfRule>
    <cfRule type="expression" dxfId="321" priority="55" stopIfTrue="1">
      <formula>$B206="Visa"</formula>
    </cfRule>
    <cfRule type="expression" dxfId="320" priority="70" stopIfTrue="1">
      <formula>$B206="Visa"</formula>
    </cfRule>
  </conditionalFormatting>
  <conditionalFormatting sqref="C234:C249">
    <cfRule type="expression" dxfId="319" priority="35" stopIfTrue="1">
      <formula>$B233="Visa"</formula>
    </cfRule>
  </conditionalFormatting>
  <conditionalFormatting sqref="C235">
    <cfRule type="expression" dxfId="318" priority="64" stopIfTrue="1">
      <formula>$B207="Visa"</formula>
    </cfRule>
  </conditionalFormatting>
  <conditionalFormatting sqref="C235:C258 C260:C270">
    <cfRule type="expression" dxfId="317" priority="58" stopIfTrue="1">
      <formula>$B234="Visa"</formula>
    </cfRule>
  </conditionalFormatting>
  <conditionalFormatting sqref="C235:C277 C279:C289">
    <cfRule type="expression" dxfId="316" priority="72" stopIfTrue="1">
      <formula>$B234="Visa"</formula>
    </cfRule>
  </conditionalFormatting>
  <conditionalFormatting sqref="C236">
    <cfRule type="expression" dxfId="315" priority="8" stopIfTrue="1">
      <formula>$B236="Visa"</formula>
    </cfRule>
  </conditionalFormatting>
  <conditionalFormatting sqref="C236:C259 C261:C271">
    <cfRule type="expression" dxfId="314" priority="66" stopIfTrue="1">
      <formula>$B235="Visa"</formula>
    </cfRule>
  </conditionalFormatting>
  <conditionalFormatting sqref="C241">
    <cfRule type="expression" dxfId="313" priority="50" stopIfTrue="1">
      <formula>$B212="Visa"</formula>
    </cfRule>
  </conditionalFormatting>
  <conditionalFormatting sqref="C244">
    <cfRule type="expression" dxfId="312" priority="26" stopIfTrue="1">
      <formula>$B17="Visa"</formula>
    </cfRule>
  </conditionalFormatting>
  <conditionalFormatting sqref="C245">
    <cfRule type="expression" dxfId="311" priority="21" stopIfTrue="1">
      <formula>$B245="Visa"</formula>
    </cfRule>
  </conditionalFormatting>
  <conditionalFormatting sqref="C248">
    <cfRule type="expression" dxfId="310" priority="31" stopIfTrue="1">
      <formula>$B17="Visa"</formula>
    </cfRule>
  </conditionalFormatting>
  <conditionalFormatting sqref="C258">
    <cfRule type="expression" dxfId="309" priority="42" stopIfTrue="1">
      <formula>$B21="Visa"</formula>
    </cfRule>
  </conditionalFormatting>
  <conditionalFormatting sqref="C259">
    <cfRule type="expression" dxfId="308" priority="54" stopIfTrue="1">
      <formula>$B235="Visa"</formula>
    </cfRule>
  </conditionalFormatting>
  <conditionalFormatting sqref="C260">
    <cfRule type="expression" dxfId="307" priority="47" stopIfTrue="1">
      <formula>$B259="Visa"</formula>
    </cfRule>
    <cfRule type="expression" dxfId="306" priority="63" stopIfTrue="1">
      <formula>$B236="Visa"</formula>
    </cfRule>
  </conditionalFormatting>
  <conditionalFormatting sqref="C263">
    <cfRule type="expression" dxfId="305" priority="29" stopIfTrue="1">
      <formula>$B263="Visa"</formula>
    </cfRule>
  </conditionalFormatting>
  <conditionalFormatting sqref="C271">
    <cfRule type="expression" dxfId="304" priority="56" stopIfTrue="1">
      <formula>$B17="Visa"</formula>
    </cfRule>
  </conditionalFormatting>
  <conditionalFormatting sqref="C278">
    <cfRule type="expression" dxfId="303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563E-15C0-4F89-AB2C-6AC3D444473D}">
  <sheetPr codeName="Sheet7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8"/>
      <c r="M1" s="48"/>
      <c r="N1" s="48"/>
    </row>
    <row r="2" spans="1:17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  <c r="K2" s="48" t="s">
        <v>13</v>
      </c>
      <c r="L2" s="48"/>
      <c r="M2" s="48"/>
      <c r="N2" s="48"/>
    </row>
    <row r="3" spans="1:17" ht="16.5" customHeight="1" x14ac:dyDescent="0.2">
      <c r="A3" s="23" t="s">
        <v>18</v>
      </c>
      <c r="B3" s="43">
        <f>'3'!B3+1</f>
        <v>46146</v>
      </c>
      <c r="C3" s="21"/>
      <c r="D3" s="21"/>
      <c r="E3" s="21"/>
      <c r="F3" s="21"/>
      <c r="G3" s="21"/>
      <c r="H3" s="21"/>
      <c r="I3" s="22"/>
      <c r="L3" s="52"/>
      <c r="M3" s="52"/>
      <c r="N3" s="52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5" t="s">
        <v>11</v>
      </c>
      <c r="B209" s="45"/>
      <c r="C209" s="45"/>
      <c r="D209" s="38"/>
      <c r="E209" s="38"/>
      <c r="F209" s="38"/>
      <c r="G209" s="45" t="s">
        <v>10</v>
      </c>
      <c r="H209" s="45"/>
      <c r="I209" s="45"/>
    </row>
    <row r="210" spans="1:9" s="7" customFormat="1" ht="15" customHeight="1" x14ac:dyDescent="0.25">
      <c r="A210" s="45" t="s">
        <v>22</v>
      </c>
      <c r="B210" s="45"/>
      <c r="C210" s="45"/>
      <c r="D210" s="38"/>
      <c r="E210" s="38"/>
      <c r="F210" s="38"/>
      <c r="G210" s="45" t="s">
        <v>23</v>
      </c>
      <c r="H210" s="45"/>
      <c r="I210" s="45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6" t="s">
        <v>16</v>
      </c>
      <c r="B215" s="46"/>
      <c r="C215" s="46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7" t="s">
        <v>17</v>
      </c>
      <c r="B216" s="47"/>
      <c r="C216" s="47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302" priority="62" stopIfTrue="1">
      <formula>$A272="Visa"</formula>
    </cfRule>
  </conditionalFormatting>
  <conditionalFormatting sqref="B278">
    <cfRule type="expression" dxfId="301" priority="53" stopIfTrue="1">
      <formula>$A278="Visa"</formula>
    </cfRule>
  </conditionalFormatting>
  <conditionalFormatting sqref="B310">
    <cfRule type="expression" dxfId="300" priority="69" stopIfTrue="1">
      <formula>$A310="Visa"</formula>
    </cfRule>
  </conditionalFormatting>
  <conditionalFormatting sqref="C5:C15 C17:C208">
    <cfRule type="expression" dxfId="299" priority="76" stopIfTrue="1">
      <formula>$B5="Visa"</formula>
    </cfRule>
  </conditionalFormatting>
  <conditionalFormatting sqref="C5:C19">
    <cfRule type="expression" dxfId="298" priority="78" stopIfTrue="1">
      <formula>$B5="Visa"</formula>
    </cfRule>
  </conditionalFormatting>
  <conditionalFormatting sqref="C5:C208 C217:C233">
    <cfRule type="expression" dxfId="297" priority="15" stopIfTrue="1">
      <formula>$B5="Visa"</formula>
    </cfRule>
  </conditionalFormatting>
  <conditionalFormatting sqref="C5:C208">
    <cfRule type="expression" dxfId="296" priority="7" stopIfTrue="1">
      <formula>$B5="Visa"</formula>
    </cfRule>
    <cfRule type="expression" dxfId="295" priority="38" stopIfTrue="1">
      <formula>$B5="Visa"</formula>
    </cfRule>
    <cfRule type="expression" dxfId="294" priority="61" stopIfTrue="1">
      <formula>$B5="Visa"</formula>
    </cfRule>
  </conditionalFormatting>
  <conditionalFormatting sqref="C13:C15">
    <cfRule type="expression" dxfId="293" priority="37" stopIfTrue="1">
      <formula>$B12="Visa"</formula>
    </cfRule>
    <cfRule type="expression" dxfId="292" priority="75" stopIfTrue="1">
      <formula>$B12="Visa"</formula>
    </cfRule>
  </conditionalFormatting>
  <conditionalFormatting sqref="C13:C20">
    <cfRule type="expression" dxfId="291" priority="6" stopIfTrue="1">
      <formula>$B12="Visa"</formula>
    </cfRule>
    <cfRule type="expression" dxfId="290" priority="60" stopIfTrue="1">
      <formula>$B12="Visa"</formula>
    </cfRule>
  </conditionalFormatting>
  <conditionalFormatting sqref="C13:C201 C203:C208">
    <cfRule type="expression" dxfId="289" priority="77" stopIfTrue="1">
      <formula>$B12="Visa"</formula>
    </cfRule>
  </conditionalFormatting>
  <conditionalFormatting sqref="C17">
    <cfRule type="expression" dxfId="288" priority="34" stopIfTrue="1">
      <formula>$B15="Visa"</formula>
    </cfRule>
    <cfRule type="expression" dxfId="287" priority="74" stopIfTrue="1">
      <formula>$B15="Visa"</formula>
    </cfRule>
  </conditionalFormatting>
  <conditionalFormatting sqref="C21">
    <cfRule type="expression" dxfId="286" priority="12" stopIfTrue="1">
      <formula>#REF!="Visa"</formula>
    </cfRule>
  </conditionalFormatting>
  <conditionalFormatting sqref="C202">
    <cfRule type="expression" dxfId="285" priority="79" stopIfTrue="1">
      <formula>$B29="Visa"</formula>
    </cfRule>
  </conditionalFormatting>
  <conditionalFormatting sqref="C209:C214">
    <cfRule type="expression" dxfId="284" priority="1" stopIfTrue="1">
      <formula>$B209="Visa"</formula>
    </cfRule>
    <cfRule type="expression" dxfId="283" priority="5" stopIfTrue="1">
      <formula>$B208="Visa"</formula>
    </cfRule>
  </conditionalFormatting>
  <conditionalFormatting sqref="C217:C218 C220:C221 C12:C20">
    <cfRule type="expression" dxfId="282" priority="14" stopIfTrue="1">
      <formula>$B11="Visa"</formula>
    </cfRule>
  </conditionalFormatting>
  <conditionalFormatting sqref="C217:C219">
    <cfRule type="expression" dxfId="281" priority="19" stopIfTrue="1">
      <formula>$B216="Visa"</formula>
    </cfRule>
    <cfRule type="expression" dxfId="280" priority="20" stopIfTrue="1">
      <formula>$B217="Visa"</formula>
    </cfRule>
  </conditionalFormatting>
  <conditionalFormatting sqref="C217:C220 C222:C223">
    <cfRule type="expression" dxfId="279" priority="10" stopIfTrue="1">
      <formula>$B216="Visa"</formula>
    </cfRule>
    <cfRule type="expression" dxfId="278" priority="17" stopIfTrue="1">
      <formula>$B216="Visa"</formula>
    </cfRule>
    <cfRule type="expression" dxfId="277" priority="23" stopIfTrue="1">
      <formula>$B216="Visa"</formula>
    </cfRule>
    <cfRule type="expression" dxfId="276" priority="40" stopIfTrue="1">
      <formula>$B216="Visa"</formula>
    </cfRule>
  </conditionalFormatting>
  <conditionalFormatting sqref="C217:C224">
    <cfRule type="expression" dxfId="275" priority="18" stopIfTrue="1">
      <formula>$B217="Visa"</formula>
    </cfRule>
  </conditionalFormatting>
  <conditionalFormatting sqref="C217:C225">
    <cfRule type="expression" dxfId="274" priority="45" stopIfTrue="1">
      <formula>$B216="Visa"</formula>
    </cfRule>
    <cfRule type="expression" dxfId="273" priority="46" stopIfTrue="1">
      <formula>$B217="Visa"</formula>
    </cfRule>
  </conditionalFormatting>
  <conditionalFormatting sqref="C217:C230 C232:C243">
    <cfRule type="expression" dxfId="272" priority="27" stopIfTrue="1">
      <formula>$B216="Visa"</formula>
    </cfRule>
  </conditionalFormatting>
  <conditionalFormatting sqref="C217:C232">
    <cfRule type="expression" dxfId="271" priority="41" stopIfTrue="1">
      <formula>$B217="Visa"</formula>
    </cfRule>
  </conditionalFormatting>
  <conditionalFormatting sqref="C217:C233 C235:C247 C249:C250">
    <cfRule type="expression" dxfId="270" priority="32" stopIfTrue="1">
      <formula>$B216="Visa"</formula>
    </cfRule>
  </conditionalFormatting>
  <conditionalFormatting sqref="C217:C233 C272:C273">
    <cfRule type="expression" dxfId="269" priority="57" stopIfTrue="1">
      <formula>$B216="Visa"</formula>
    </cfRule>
  </conditionalFormatting>
  <conditionalFormatting sqref="C217:C233">
    <cfRule type="expression" dxfId="268" priority="49" stopIfTrue="1">
      <formula>$B216="Visa"</formula>
    </cfRule>
    <cfRule type="expression" dxfId="267" priority="71" stopIfTrue="1">
      <formula>$B216="Visa"</formula>
    </cfRule>
  </conditionalFormatting>
  <conditionalFormatting sqref="C217:C234">
    <cfRule type="expression" dxfId="266" priority="65" stopIfTrue="1">
      <formula>$B216="Visa"</formula>
    </cfRule>
  </conditionalFormatting>
  <conditionalFormatting sqref="C217:C235">
    <cfRule type="expression" dxfId="265" priority="11" stopIfTrue="1">
      <formula>$B217="Visa"</formula>
    </cfRule>
  </conditionalFormatting>
  <conditionalFormatting sqref="C217:C244">
    <cfRule type="expression" dxfId="264" priority="28" stopIfTrue="1">
      <formula>$B217="Visa"</formula>
    </cfRule>
  </conditionalFormatting>
  <conditionalFormatting sqref="C217:C245">
    <cfRule type="expression" dxfId="263" priority="24" stopIfTrue="1">
      <formula>$B217="Visa"</formula>
    </cfRule>
  </conditionalFormatting>
  <conditionalFormatting sqref="C217:C257">
    <cfRule type="expression" dxfId="262" priority="43" stopIfTrue="1">
      <formula>$B216="Visa"</formula>
    </cfRule>
  </conditionalFormatting>
  <conditionalFormatting sqref="C217:C258">
    <cfRule type="expression" dxfId="261" priority="44" stopIfTrue="1">
      <formula>$B217="Visa"</formula>
    </cfRule>
  </conditionalFormatting>
  <conditionalFormatting sqref="C217:C259">
    <cfRule type="expression" dxfId="260" priority="51" stopIfTrue="1">
      <formula>$B216="Visa"</formula>
    </cfRule>
  </conditionalFormatting>
  <conditionalFormatting sqref="C217:C260">
    <cfRule type="expression" dxfId="259" priority="52" stopIfTrue="1">
      <formula>$B217="Visa"</formula>
    </cfRule>
  </conditionalFormatting>
  <conditionalFormatting sqref="C217:C262">
    <cfRule type="expression" dxfId="258" priority="33" stopIfTrue="1">
      <formula>$B217="Visa"</formula>
    </cfRule>
  </conditionalFormatting>
  <conditionalFormatting sqref="C217:C271">
    <cfRule type="expression" dxfId="257" priority="67" stopIfTrue="1">
      <formula>$B217="Visa"</formula>
    </cfRule>
  </conditionalFormatting>
  <conditionalFormatting sqref="C217:C277">
    <cfRule type="expression" dxfId="256" priority="59" stopIfTrue="1">
      <formula>$B217="Visa"</formula>
    </cfRule>
  </conditionalFormatting>
  <conditionalFormatting sqref="C217:C289">
    <cfRule type="expression" dxfId="255" priority="73" stopIfTrue="1">
      <formula>$B217="Visa"</formula>
    </cfRule>
  </conditionalFormatting>
  <conditionalFormatting sqref="C219">
    <cfRule type="expression" dxfId="254" priority="13" stopIfTrue="1">
      <formula>$B16="Visa"</formula>
    </cfRule>
  </conditionalFormatting>
  <conditionalFormatting sqref="C221">
    <cfRule type="expression" dxfId="253" priority="9" stopIfTrue="1">
      <formula>$B17="Visa"</formula>
    </cfRule>
    <cfRule type="expression" dxfId="252" priority="16" stopIfTrue="1">
      <formula>$B17="Visa"</formula>
    </cfRule>
    <cfRule type="expression" dxfId="251" priority="22" stopIfTrue="1">
      <formula>$B17="Visa"</formula>
    </cfRule>
    <cfRule type="expression" dxfId="250" priority="39" stopIfTrue="1">
      <formula>$B17="Visa"</formula>
    </cfRule>
  </conditionalFormatting>
  <conditionalFormatting sqref="C231">
    <cfRule type="expression" dxfId="249" priority="25" stopIfTrue="1">
      <formula>$B207="Visa"</formula>
    </cfRule>
  </conditionalFormatting>
  <conditionalFormatting sqref="C233:C249">
    <cfRule type="expression" dxfId="248" priority="36" stopIfTrue="1">
      <formula>$B233="Visa"</formula>
    </cfRule>
  </conditionalFormatting>
  <conditionalFormatting sqref="C234">
    <cfRule type="expression" dxfId="247" priority="30" stopIfTrue="1">
      <formula>$B206="Visa"</formula>
    </cfRule>
    <cfRule type="expression" dxfId="246" priority="48" stopIfTrue="1">
      <formula>$B206="Visa"</formula>
    </cfRule>
    <cfRule type="expression" dxfId="245" priority="55" stopIfTrue="1">
      <formula>$B206="Visa"</formula>
    </cfRule>
    <cfRule type="expression" dxfId="244" priority="70" stopIfTrue="1">
      <formula>$B206="Visa"</formula>
    </cfRule>
  </conditionalFormatting>
  <conditionalFormatting sqref="C234:C249">
    <cfRule type="expression" dxfId="243" priority="35" stopIfTrue="1">
      <formula>$B233="Visa"</formula>
    </cfRule>
  </conditionalFormatting>
  <conditionalFormatting sqref="C235">
    <cfRule type="expression" dxfId="242" priority="64" stopIfTrue="1">
      <formula>$B207="Visa"</formula>
    </cfRule>
  </conditionalFormatting>
  <conditionalFormatting sqref="C235:C258 C260:C270">
    <cfRule type="expression" dxfId="241" priority="58" stopIfTrue="1">
      <formula>$B234="Visa"</formula>
    </cfRule>
  </conditionalFormatting>
  <conditionalFormatting sqref="C235:C277 C279:C289">
    <cfRule type="expression" dxfId="240" priority="72" stopIfTrue="1">
      <formula>$B234="Visa"</formula>
    </cfRule>
  </conditionalFormatting>
  <conditionalFormatting sqref="C236">
    <cfRule type="expression" dxfId="239" priority="8" stopIfTrue="1">
      <formula>$B236="Visa"</formula>
    </cfRule>
  </conditionalFormatting>
  <conditionalFormatting sqref="C236:C259 C261:C271">
    <cfRule type="expression" dxfId="238" priority="66" stopIfTrue="1">
      <formula>$B235="Visa"</formula>
    </cfRule>
  </conditionalFormatting>
  <conditionalFormatting sqref="C241">
    <cfRule type="expression" dxfId="237" priority="50" stopIfTrue="1">
      <formula>$B212="Visa"</formula>
    </cfRule>
  </conditionalFormatting>
  <conditionalFormatting sqref="C244">
    <cfRule type="expression" dxfId="236" priority="26" stopIfTrue="1">
      <formula>$B17="Visa"</formula>
    </cfRule>
  </conditionalFormatting>
  <conditionalFormatting sqref="C245">
    <cfRule type="expression" dxfId="235" priority="21" stopIfTrue="1">
      <formula>$B245="Visa"</formula>
    </cfRule>
  </conditionalFormatting>
  <conditionalFormatting sqref="C248">
    <cfRule type="expression" dxfId="234" priority="31" stopIfTrue="1">
      <formula>$B17="Visa"</formula>
    </cfRule>
  </conditionalFormatting>
  <conditionalFormatting sqref="C258">
    <cfRule type="expression" dxfId="233" priority="42" stopIfTrue="1">
      <formula>$B21="Visa"</formula>
    </cfRule>
  </conditionalFormatting>
  <conditionalFormatting sqref="C259">
    <cfRule type="expression" dxfId="232" priority="54" stopIfTrue="1">
      <formula>$B235="Visa"</formula>
    </cfRule>
  </conditionalFormatting>
  <conditionalFormatting sqref="C260">
    <cfRule type="expression" dxfId="231" priority="47" stopIfTrue="1">
      <formula>$B259="Visa"</formula>
    </cfRule>
    <cfRule type="expression" dxfId="230" priority="63" stopIfTrue="1">
      <formula>$B236="Visa"</formula>
    </cfRule>
  </conditionalFormatting>
  <conditionalFormatting sqref="C263">
    <cfRule type="expression" dxfId="229" priority="29" stopIfTrue="1">
      <formula>$B263="Visa"</formula>
    </cfRule>
  </conditionalFormatting>
  <conditionalFormatting sqref="C271">
    <cfRule type="expression" dxfId="228" priority="56" stopIfTrue="1">
      <formula>$B17="Visa"</formula>
    </cfRule>
  </conditionalFormatting>
  <conditionalFormatting sqref="C278">
    <cfRule type="expression" dxfId="227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40C1-C23F-4FBA-9E0F-EC8201C70844}">
  <sheetPr codeName="Sheet8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8"/>
      <c r="M1" s="48"/>
      <c r="N1" s="48"/>
    </row>
    <row r="2" spans="1:17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  <c r="K2" s="48" t="s">
        <v>13</v>
      </c>
      <c r="L2" s="48"/>
      <c r="M2" s="48"/>
      <c r="N2" s="48"/>
    </row>
    <row r="3" spans="1:17" ht="16.5" customHeight="1" x14ac:dyDescent="0.2">
      <c r="A3" s="23" t="s">
        <v>18</v>
      </c>
      <c r="B3" s="43">
        <f>'4'!B3+1</f>
        <v>46147</v>
      </c>
      <c r="C3" s="21"/>
      <c r="D3" s="21"/>
      <c r="E3" s="21"/>
      <c r="F3" s="21"/>
      <c r="G3" s="21"/>
      <c r="H3" s="21"/>
      <c r="I3" s="22"/>
      <c r="L3" s="52"/>
      <c r="M3" s="52"/>
      <c r="N3" s="52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5" t="s">
        <v>11</v>
      </c>
      <c r="B209" s="45"/>
      <c r="C209" s="45"/>
      <c r="D209" s="38"/>
      <c r="E209" s="38"/>
      <c r="F209" s="38"/>
      <c r="G209" s="45" t="s">
        <v>10</v>
      </c>
      <c r="H209" s="45"/>
      <c r="I209" s="45"/>
    </row>
    <row r="210" spans="1:9" s="7" customFormat="1" ht="15" customHeight="1" x14ac:dyDescent="0.25">
      <c r="A210" s="45" t="s">
        <v>22</v>
      </c>
      <c r="B210" s="45"/>
      <c r="C210" s="45"/>
      <c r="D210" s="38"/>
      <c r="E210" s="38"/>
      <c r="F210" s="38"/>
      <c r="G210" s="45" t="s">
        <v>23</v>
      </c>
      <c r="H210" s="45"/>
      <c r="I210" s="45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6" t="s">
        <v>16</v>
      </c>
      <c r="B215" s="46"/>
      <c r="C215" s="46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7" t="s">
        <v>17</v>
      </c>
      <c r="B216" s="47"/>
      <c r="C216" s="47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226" priority="62" stopIfTrue="1">
      <formula>$A272="Visa"</formula>
    </cfRule>
  </conditionalFormatting>
  <conditionalFormatting sqref="B278">
    <cfRule type="expression" dxfId="225" priority="53" stopIfTrue="1">
      <formula>$A278="Visa"</formula>
    </cfRule>
  </conditionalFormatting>
  <conditionalFormatting sqref="B310">
    <cfRule type="expression" dxfId="224" priority="69" stopIfTrue="1">
      <formula>$A310="Visa"</formula>
    </cfRule>
  </conditionalFormatting>
  <conditionalFormatting sqref="C5:C15 C17:C208">
    <cfRule type="expression" dxfId="223" priority="76" stopIfTrue="1">
      <formula>$B5="Visa"</formula>
    </cfRule>
  </conditionalFormatting>
  <conditionalFormatting sqref="C5:C19">
    <cfRule type="expression" dxfId="222" priority="78" stopIfTrue="1">
      <formula>$B5="Visa"</formula>
    </cfRule>
  </conditionalFormatting>
  <conditionalFormatting sqref="C5:C208 C217:C233">
    <cfRule type="expression" dxfId="221" priority="15" stopIfTrue="1">
      <formula>$B5="Visa"</formula>
    </cfRule>
  </conditionalFormatting>
  <conditionalFormatting sqref="C5:C208">
    <cfRule type="expression" dxfId="220" priority="7" stopIfTrue="1">
      <formula>$B5="Visa"</formula>
    </cfRule>
    <cfRule type="expression" dxfId="219" priority="38" stopIfTrue="1">
      <formula>$B5="Visa"</formula>
    </cfRule>
    <cfRule type="expression" dxfId="218" priority="61" stopIfTrue="1">
      <formula>$B5="Visa"</formula>
    </cfRule>
  </conditionalFormatting>
  <conditionalFormatting sqref="C13:C15">
    <cfRule type="expression" dxfId="217" priority="37" stopIfTrue="1">
      <formula>$B12="Visa"</formula>
    </cfRule>
    <cfRule type="expression" dxfId="216" priority="75" stopIfTrue="1">
      <formula>$B12="Visa"</formula>
    </cfRule>
  </conditionalFormatting>
  <conditionalFormatting sqref="C13:C20">
    <cfRule type="expression" dxfId="215" priority="6" stopIfTrue="1">
      <formula>$B12="Visa"</formula>
    </cfRule>
    <cfRule type="expression" dxfId="214" priority="60" stopIfTrue="1">
      <formula>$B12="Visa"</formula>
    </cfRule>
  </conditionalFormatting>
  <conditionalFormatting sqref="C13:C201 C203:C208">
    <cfRule type="expression" dxfId="213" priority="77" stopIfTrue="1">
      <formula>$B12="Visa"</formula>
    </cfRule>
  </conditionalFormatting>
  <conditionalFormatting sqref="C17">
    <cfRule type="expression" dxfId="212" priority="34" stopIfTrue="1">
      <formula>$B15="Visa"</formula>
    </cfRule>
    <cfRule type="expression" dxfId="211" priority="74" stopIfTrue="1">
      <formula>$B15="Visa"</formula>
    </cfRule>
  </conditionalFormatting>
  <conditionalFormatting sqref="C21">
    <cfRule type="expression" dxfId="210" priority="12" stopIfTrue="1">
      <formula>#REF!="Visa"</formula>
    </cfRule>
  </conditionalFormatting>
  <conditionalFormatting sqref="C202">
    <cfRule type="expression" dxfId="209" priority="79" stopIfTrue="1">
      <formula>$B29="Visa"</formula>
    </cfRule>
  </conditionalFormatting>
  <conditionalFormatting sqref="C209:C214">
    <cfRule type="expression" dxfId="208" priority="1" stopIfTrue="1">
      <formula>$B209="Visa"</formula>
    </cfRule>
    <cfRule type="expression" dxfId="207" priority="5" stopIfTrue="1">
      <formula>$B208="Visa"</formula>
    </cfRule>
  </conditionalFormatting>
  <conditionalFormatting sqref="C217:C218 C220:C221 C12:C20">
    <cfRule type="expression" dxfId="206" priority="14" stopIfTrue="1">
      <formula>$B11="Visa"</formula>
    </cfRule>
  </conditionalFormatting>
  <conditionalFormatting sqref="C217:C219">
    <cfRule type="expression" dxfId="205" priority="19" stopIfTrue="1">
      <formula>$B216="Visa"</formula>
    </cfRule>
    <cfRule type="expression" dxfId="204" priority="20" stopIfTrue="1">
      <formula>$B217="Visa"</formula>
    </cfRule>
  </conditionalFormatting>
  <conditionalFormatting sqref="C217:C220 C222:C223">
    <cfRule type="expression" dxfId="203" priority="10" stopIfTrue="1">
      <formula>$B216="Visa"</formula>
    </cfRule>
    <cfRule type="expression" dxfId="202" priority="17" stopIfTrue="1">
      <formula>$B216="Visa"</formula>
    </cfRule>
    <cfRule type="expression" dxfId="201" priority="23" stopIfTrue="1">
      <formula>$B216="Visa"</formula>
    </cfRule>
    <cfRule type="expression" dxfId="200" priority="40" stopIfTrue="1">
      <formula>$B216="Visa"</formula>
    </cfRule>
  </conditionalFormatting>
  <conditionalFormatting sqref="C217:C224">
    <cfRule type="expression" dxfId="199" priority="18" stopIfTrue="1">
      <formula>$B217="Visa"</formula>
    </cfRule>
  </conditionalFormatting>
  <conditionalFormatting sqref="C217:C225">
    <cfRule type="expression" dxfId="198" priority="45" stopIfTrue="1">
      <formula>$B216="Visa"</formula>
    </cfRule>
    <cfRule type="expression" dxfId="197" priority="46" stopIfTrue="1">
      <formula>$B217="Visa"</formula>
    </cfRule>
  </conditionalFormatting>
  <conditionalFormatting sqref="C217:C230 C232:C243">
    <cfRule type="expression" dxfId="196" priority="27" stopIfTrue="1">
      <formula>$B216="Visa"</formula>
    </cfRule>
  </conditionalFormatting>
  <conditionalFormatting sqref="C217:C232">
    <cfRule type="expression" dxfId="195" priority="41" stopIfTrue="1">
      <formula>$B217="Visa"</formula>
    </cfRule>
  </conditionalFormatting>
  <conditionalFormatting sqref="C217:C233 C235:C247 C249:C250">
    <cfRule type="expression" dxfId="194" priority="32" stopIfTrue="1">
      <formula>$B216="Visa"</formula>
    </cfRule>
  </conditionalFormatting>
  <conditionalFormatting sqref="C217:C233 C272:C273">
    <cfRule type="expression" dxfId="193" priority="57" stopIfTrue="1">
      <formula>$B216="Visa"</formula>
    </cfRule>
  </conditionalFormatting>
  <conditionalFormatting sqref="C217:C233">
    <cfRule type="expression" dxfId="192" priority="49" stopIfTrue="1">
      <formula>$B216="Visa"</formula>
    </cfRule>
    <cfRule type="expression" dxfId="191" priority="71" stopIfTrue="1">
      <formula>$B216="Visa"</formula>
    </cfRule>
  </conditionalFormatting>
  <conditionalFormatting sqref="C217:C234">
    <cfRule type="expression" dxfId="190" priority="65" stopIfTrue="1">
      <formula>$B216="Visa"</formula>
    </cfRule>
  </conditionalFormatting>
  <conditionalFormatting sqref="C217:C235">
    <cfRule type="expression" dxfId="189" priority="11" stopIfTrue="1">
      <formula>$B217="Visa"</formula>
    </cfRule>
  </conditionalFormatting>
  <conditionalFormatting sqref="C217:C244">
    <cfRule type="expression" dxfId="188" priority="28" stopIfTrue="1">
      <formula>$B217="Visa"</formula>
    </cfRule>
  </conditionalFormatting>
  <conditionalFormatting sqref="C217:C245">
    <cfRule type="expression" dxfId="187" priority="24" stopIfTrue="1">
      <formula>$B217="Visa"</formula>
    </cfRule>
  </conditionalFormatting>
  <conditionalFormatting sqref="C217:C257">
    <cfRule type="expression" dxfId="186" priority="43" stopIfTrue="1">
      <formula>$B216="Visa"</formula>
    </cfRule>
  </conditionalFormatting>
  <conditionalFormatting sqref="C217:C258">
    <cfRule type="expression" dxfId="185" priority="44" stopIfTrue="1">
      <formula>$B217="Visa"</formula>
    </cfRule>
  </conditionalFormatting>
  <conditionalFormatting sqref="C217:C259">
    <cfRule type="expression" dxfId="184" priority="51" stopIfTrue="1">
      <formula>$B216="Visa"</formula>
    </cfRule>
  </conditionalFormatting>
  <conditionalFormatting sqref="C217:C260">
    <cfRule type="expression" dxfId="183" priority="52" stopIfTrue="1">
      <formula>$B217="Visa"</formula>
    </cfRule>
  </conditionalFormatting>
  <conditionalFormatting sqref="C217:C262">
    <cfRule type="expression" dxfId="182" priority="33" stopIfTrue="1">
      <formula>$B217="Visa"</formula>
    </cfRule>
  </conditionalFormatting>
  <conditionalFormatting sqref="C217:C271">
    <cfRule type="expression" dxfId="181" priority="67" stopIfTrue="1">
      <formula>$B217="Visa"</formula>
    </cfRule>
  </conditionalFormatting>
  <conditionalFormatting sqref="C217:C277">
    <cfRule type="expression" dxfId="180" priority="59" stopIfTrue="1">
      <formula>$B217="Visa"</formula>
    </cfRule>
  </conditionalFormatting>
  <conditionalFormatting sqref="C217:C289">
    <cfRule type="expression" dxfId="179" priority="73" stopIfTrue="1">
      <formula>$B217="Visa"</formula>
    </cfRule>
  </conditionalFormatting>
  <conditionalFormatting sqref="C219">
    <cfRule type="expression" dxfId="178" priority="13" stopIfTrue="1">
      <formula>$B16="Visa"</formula>
    </cfRule>
  </conditionalFormatting>
  <conditionalFormatting sqref="C221">
    <cfRule type="expression" dxfId="177" priority="9" stopIfTrue="1">
      <formula>$B17="Visa"</formula>
    </cfRule>
    <cfRule type="expression" dxfId="176" priority="16" stopIfTrue="1">
      <formula>$B17="Visa"</formula>
    </cfRule>
    <cfRule type="expression" dxfId="175" priority="22" stopIfTrue="1">
      <formula>$B17="Visa"</formula>
    </cfRule>
    <cfRule type="expression" dxfId="174" priority="39" stopIfTrue="1">
      <formula>$B17="Visa"</formula>
    </cfRule>
  </conditionalFormatting>
  <conditionalFormatting sqref="C231">
    <cfRule type="expression" dxfId="173" priority="25" stopIfTrue="1">
      <formula>$B207="Visa"</formula>
    </cfRule>
  </conditionalFormatting>
  <conditionalFormatting sqref="C233:C249">
    <cfRule type="expression" dxfId="172" priority="36" stopIfTrue="1">
      <formula>$B233="Visa"</formula>
    </cfRule>
  </conditionalFormatting>
  <conditionalFormatting sqref="C234">
    <cfRule type="expression" dxfId="171" priority="30" stopIfTrue="1">
      <formula>$B206="Visa"</formula>
    </cfRule>
    <cfRule type="expression" dxfId="170" priority="48" stopIfTrue="1">
      <formula>$B206="Visa"</formula>
    </cfRule>
    <cfRule type="expression" dxfId="169" priority="55" stopIfTrue="1">
      <formula>$B206="Visa"</formula>
    </cfRule>
    <cfRule type="expression" dxfId="168" priority="70" stopIfTrue="1">
      <formula>$B206="Visa"</formula>
    </cfRule>
  </conditionalFormatting>
  <conditionalFormatting sqref="C234:C249">
    <cfRule type="expression" dxfId="167" priority="35" stopIfTrue="1">
      <formula>$B233="Visa"</formula>
    </cfRule>
  </conditionalFormatting>
  <conditionalFormatting sqref="C235">
    <cfRule type="expression" dxfId="166" priority="64" stopIfTrue="1">
      <formula>$B207="Visa"</formula>
    </cfRule>
  </conditionalFormatting>
  <conditionalFormatting sqref="C235:C258 C260:C270">
    <cfRule type="expression" dxfId="165" priority="58" stopIfTrue="1">
      <formula>$B234="Visa"</formula>
    </cfRule>
  </conditionalFormatting>
  <conditionalFormatting sqref="C235:C277 C279:C289">
    <cfRule type="expression" dxfId="164" priority="72" stopIfTrue="1">
      <formula>$B234="Visa"</formula>
    </cfRule>
  </conditionalFormatting>
  <conditionalFormatting sqref="C236">
    <cfRule type="expression" dxfId="163" priority="8" stopIfTrue="1">
      <formula>$B236="Visa"</formula>
    </cfRule>
  </conditionalFormatting>
  <conditionalFormatting sqref="C236:C259 C261:C271">
    <cfRule type="expression" dxfId="162" priority="66" stopIfTrue="1">
      <formula>$B235="Visa"</formula>
    </cfRule>
  </conditionalFormatting>
  <conditionalFormatting sqref="C241">
    <cfRule type="expression" dxfId="161" priority="50" stopIfTrue="1">
      <formula>$B212="Visa"</formula>
    </cfRule>
  </conditionalFormatting>
  <conditionalFormatting sqref="C244">
    <cfRule type="expression" dxfId="160" priority="26" stopIfTrue="1">
      <formula>$B17="Visa"</formula>
    </cfRule>
  </conditionalFormatting>
  <conditionalFormatting sqref="C245">
    <cfRule type="expression" dxfId="159" priority="21" stopIfTrue="1">
      <formula>$B245="Visa"</formula>
    </cfRule>
  </conditionalFormatting>
  <conditionalFormatting sqref="C248">
    <cfRule type="expression" dxfId="158" priority="31" stopIfTrue="1">
      <formula>$B17="Visa"</formula>
    </cfRule>
  </conditionalFormatting>
  <conditionalFormatting sqref="C258">
    <cfRule type="expression" dxfId="157" priority="42" stopIfTrue="1">
      <formula>$B21="Visa"</formula>
    </cfRule>
  </conditionalFormatting>
  <conditionalFormatting sqref="C259">
    <cfRule type="expression" dxfId="156" priority="54" stopIfTrue="1">
      <formula>$B235="Visa"</formula>
    </cfRule>
  </conditionalFormatting>
  <conditionalFormatting sqref="C260">
    <cfRule type="expression" dxfId="155" priority="47" stopIfTrue="1">
      <formula>$B259="Visa"</formula>
    </cfRule>
    <cfRule type="expression" dxfId="154" priority="63" stopIfTrue="1">
      <formula>$B236="Visa"</formula>
    </cfRule>
  </conditionalFormatting>
  <conditionalFormatting sqref="C263">
    <cfRule type="expression" dxfId="153" priority="29" stopIfTrue="1">
      <formula>$B263="Visa"</formula>
    </cfRule>
  </conditionalFormatting>
  <conditionalFormatting sqref="C271">
    <cfRule type="expression" dxfId="152" priority="56" stopIfTrue="1">
      <formula>$B17="Visa"</formula>
    </cfRule>
  </conditionalFormatting>
  <conditionalFormatting sqref="C278">
    <cfRule type="expression" dxfId="151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E539-2B6F-4F5A-BDE4-C24D7628198D}">
  <sheetPr codeName="Sheet9"/>
  <dimension ref="A1:Q256"/>
  <sheetViews>
    <sheetView topLeftCell="A196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8"/>
      <c r="M1" s="48"/>
      <c r="N1" s="48"/>
    </row>
    <row r="2" spans="1:17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  <c r="K2" s="48" t="s">
        <v>13</v>
      </c>
      <c r="L2" s="48"/>
      <c r="M2" s="48"/>
      <c r="N2" s="48"/>
    </row>
    <row r="3" spans="1:17" ht="16.5" customHeight="1" x14ac:dyDescent="0.2">
      <c r="A3" s="23" t="s">
        <v>18</v>
      </c>
      <c r="B3" s="43">
        <f>'5'!B3+1</f>
        <v>46148</v>
      </c>
      <c r="C3" s="21"/>
      <c r="D3" s="21"/>
      <c r="E3" s="21"/>
      <c r="F3" s="21"/>
      <c r="G3" s="21"/>
      <c r="H3" s="21"/>
      <c r="I3" s="22"/>
      <c r="L3" s="52"/>
      <c r="M3" s="52"/>
      <c r="N3" s="52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5" t="s">
        <v>11</v>
      </c>
      <c r="B209" s="45"/>
      <c r="C209" s="45"/>
      <c r="D209" s="38"/>
      <c r="E209" s="38"/>
      <c r="F209" s="38"/>
      <c r="G209" s="45" t="s">
        <v>10</v>
      </c>
      <c r="H209" s="45"/>
      <c r="I209" s="45"/>
    </row>
    <row r="210" spans="1:9" s="7" customFormat="1" ht="15" customHeight="1" x14ac:dyDescent="0.25">
      <c r="A210" s="45" t="s">
        <v>22</v>
      </c>
      <c r="B210" s="45"/>
      <c r="C210" s="45"/>
      <c r="D210" s="38"/>
      <c r="E210" s="38"/>
      <c r="F210" s="38"/>
      <c r="G210" s="45" t="s">
        <v>23</v>
      </c>
      <c r="H210" s="45"/>
      <c r="I210" s="45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6" t="s">
        <v>16</v>
      </c>
      <c r="B215" s="46"/>
      <c r="C215" s="46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7" t="s">
        <v>17</v>
      </c>
      <c r="B216" s="47"/>
      <c r="C216" s="47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150" priority="62" stopIfTrue="1">
      <formula>$A272="Visa"</formula>
    </cfRule>
  </conditionalFormatting>
  <conditionalFormatting sqref="B278">
    <cfRule type="expression" dxfId="149" priority="53" stopIfTrue="1">
      <formula>$A278="Visa"</formula>
    </cfRule>
  </conditionalFormatting>
  <conditionalFormatting sqref="B310">
    <cfRule type="expression" dxfId="148" priority="69" stopIfTrue="1">
      <formula>$A310="Visa"</formula>
    </cfRule>
  </conditionalFormatting>
  <conditionalFormatting sqref="C5:C15 C17:C208">
    <cfRule type="expression" dxfId="147" priority="76" stopIfTrue="1">
      <formula>$B5="Visa"</formula>
    </cfRule>
  </conditionalFormatting>
  <conditionalFormatting sqref="C5:C19">
    <cfRule type="expression" dxfId="146" priority="78" stopIfTrue="1">
      <formula>$B5="Visa"</formula>
    </cfRule>
  </conditionalFormatting>
  <conditionalFormatting sqref="C5:C208 C217:C233">
    <cfRule type="expression" dxfId="145" priority="15" stopIfTrue="1">
      <formula>$B5="Visa"</formula>
    </cfRule>
  </conditionalFormatting>
  <conditionalFormatting sqref="C5:C208">
    <cfRule type="expression" dxfId="144" priority="7" stopIfTrue="1">
      <formula>$B5="Visa"</formula>
    </cfRule>
    <cfRule type="expression" dxfId="143" priority="38" stopIfTrue="1">
      <formula>$B5="Visa"</formula>
    </cfRule>
    <cfRule type="expression" dxfId="142" priority="61" stopIfTrue="1">
      <formula>$B5="Visa"</formula>
    </cfRule>
  </conditionalFormatting>
  <conditionalFormatting sqref="C13:C15">
    <cfRule type="expression" dxfId="141" priority="37" stopIfTrue="1">
      <formula>$B12="Visa"</formula>
    </cfRule>
    <cfRule type="expression" dxfId="140" priority="75" stopIfTrue="1">
      <formula>$B12="Visa"</formula>
    </cfRule>
  </conditionalFormatting>
  <conditionalFormatting sqref="C13:C20">
    <cfRule type="expression" dxfId="139" priority="6" stopIfTrue="1">
      <formula>$B12="Visa"</formula>
    </cfRule>
    <cfRule type="expression" dxfId="138" priority="60" stopIfTrue="1">
      <formula>$B12="Visa"</formula>
    </cfRule>
  </conditionalFormatting>
  <conditionalFormatting sqref="C13:C201 C203:C208">
    <cfRule type="expression" dxfId="137" priority="77" stopIfTrue="1">
      <formula>$B12="Visa"</formula>
    </cfRule>
  </conditionalFormatting>
  <conditionalFormatting sqref="C17">
    <cfRule type="expression" dxfId="136" priority="34" stopIfTrue="1">
      <formula>$B15="Visa"</formula>
    </cfRule>
    <cfRule type="expression" dxfId="135" priority="74" stopIfTrue="1">
      <formula>$B15="Visa"</formula>
    </cfRule>
  </conditionalFormatting>
  <conditionalFormatting sqref="C21">
    <cfRule type="expression" dxfId="134" priority="12" stopIfTrue="1">
      <formula>#REF!="Visa"</formula>
    </cfRule>
  </conditionalFormatting>
  <conditionalFormatting sqref="C202">
    <cfRule type="expression" dxfId="133" priority="79" stopIfTrue="1">
      <formula>$B29="Visa"</formula>
    </cfRule>
  </conditionalFormatting>
  <conditionalFormatting sqref="C209:C214">
    <cfRule type="expression" dxfId="132" priority="1" stopIfTrue="1">
      <formula>$B209="Visa"</formula>
    </cfRule>
    <cfRule type="expression" dxfId="131" priority="5" stopIfTrue="1">
      <formula>$B208="Visa"</formula>
    </cfRule>
  </conditionalFormatting>
  <conditionalFormatting sqref="C217:C218 C220:C221 C12:C20">
    <cfRule type="expression" dxfId="130" priority="14" stopIfTrue="1">
      <formula>$B11="Visa"</formula>
    </cfRule>
  </conditionalFormatting>
  <conditionalFormatting sqref="C217:C219">
    <cfRule type="expression" dxfId="129" priority="19" stopIfTrue="1">
      <formula>$B216="Visa"</formula>
    </cfRule>
    <cfRule type="expression" dxfId="128" priority="20" stopIfTrue="1">
      <formula>$B217="Visa"</formula>
    </cfRule>
  </conditionalFormatting>
  <conditionalFormatting sqref="C217:C220 C222:C223">
    <cfRule type="expression" dxfId="127" priority="10" stopIfTrue="1">
      <formula>$B216="Visa"</formula>
    </cfRule>
    <cfRule type="expression" dxfId="126" priority="17" stopIfTrue="1">
      <formula>$B216="Visa"</formula>
    </cfRule>
    <cfRule type="expression" dxfId="125" priority="23" stopIfTrue="1">
      <formula>$B216="Visa"</formula>
    </cfRule>
    <cfRule type="expression" dxfId="124" priority="40" stopIfTrue="1">
      <formula>$B216="Visa"</formula>
    </cfRule>
  </conditionalFormatting>
  <conditionalFormatting sqref="C217:C224">
    <cfRule type="expression" dxfId="123" priority="18" stopIfTrue="1">
      <formula>$B217="Visa"</formula>
    </cfRule>
  </conditionalFormatting>
  <conditionalFormatting sqref="C217:C225">
    <cfRule type="expression" dxfId="122" priority="45" stopIfTrue="1">
      <formula>$B216="Visa"</formula>
    </cfRule>
    <cfRule type="expression" dxfId="121" priority="46" stopIfTrue="1">
      <formula>$B217="Visa"</formula>
    </cfRule>
  </conditionalFormatting>
  <conditionalFormatting sqref="C217:C230 C232:C243">
    <cfRule type="expression" dxfId="120" priority="27" stopIfTrue="1">
      <formula>$B216="Visa"</formula>
    </cfRule>
  </conditionalFormatting>
  <conditionalFormatting sqref="C217:C232">
    <cfRule type="expression" dxfId="119" priority="41" stopIfTrue="1">
      <formula>$B217="Visa"</formula>
    </cfRule>
  </conditionalFormatting>
  <conditionalFormatting sqref="C217:C233 C235:C247 C249:C250">
    <cfRule type="expression" dxfId="118" priority="32" stopIfTrue="1">
      <formula>$B216="Visa"</formula>
    </cfRule>
  </conditionalFormatting>
  <conditionalFormatting sqref="C217:C233 C272:C273">
    <cfRule type="expression" dxfId="117" priority="57" stopIfTrue="1">
      <formula>$B216="Visa"</formula>
    </cfRule>
  </conditionalFormatting>
  <conditionalFormatting sqref="C217:C233">
    <cfRule type="expression" dxfId="116" priority="49" stopIfTrue="1">
      <formula>$B216="Visa"</formula>
    </cfRule>
    <cfRule type="expression" dxfId="115" priority="71" stopIfTrue="1">
      <formula>$B216="Visa"</formula>
    </cfRule>
  </conditionalFormatting>
  <conditionalFormatting sqref="C217:C234">
    <cfRule type="expression" dxfId="114" priority="65" stopIfTrue="1">
      <formula>$B216="Visa"</formula>
    </cfRule>
  </conditionalFormatting>
  <conditionalFormatting sqref="C217:C235">
    <cfRule type="expression" dxfId="113" priority="11" stopIfTrue="1">
      <formula>$B217="Visa"</formula>
    </cfRule>
  </conditionalFormatting>
  <conditionalFormatting sqref="C217:C244">
    <cfRule type="expression" dxfId="112" priority="28" stopIfTrue="1">
      <formula>$B217="Visa"</formula>
    </cfRule>
  </conditionalFormatting>
  <conditionalFormatting sqref="C217:C245">
    <cfRule type="expression" dxfId="111" priority="24" stopIfTrue="1">
      <formula>$B217="Visa"</formula>
    </cfRule>
  </conditionalFormatting>
  <conditionalFormatting sqref="C217:C257">
    <cfRule type="expression" dxfId="110" priority="43" stopIfTrue="1">
      <formula>$B216="Visa"</formula>
    </cfRule>
  </conditionalFormatting>
  <conditionalFormatting sqref="C217:C258">
    <cfRule type="expression" dxfId="109" priority="44" stopIfTrue="1">
      <formula>$B217="Visa"</formula>
    </cfRule>
  </conditionalFormatting>
  <conditionalFormatting sqref="C217:C259">
    <cfRule type="expression" dxfId="108" priority="51" stopIfTrue="1">
      <formula>$B216="Visa"</formula>
    </cfRule>
  </conditionalFormatting>
  <conditionalFormatting sqref="C217:C260">
    <cfRule type="expression" dxfId="107" priority="52" stopIfTrue="1">
      <formula>$B217="Visa"</formula>
    </cfRule>
  </conditionalFormatting>
  <conditionalFormatting sqref="C217:C262">
    <cfRule type="expression" dxfId="106" priority="33" stopIfTrue="1">
      <formula>$B217="Visa"</formula>
    </cfRule>
  </conditionalFormatting>
  <conditionalFormatting sqref="C217:C271">
    <cfRule type="expression" dxfId="105" priority="67" stopIfTrue="1">
      <formula>$B217="Visa"</formula>
    </cfRule>
  </conditionalFormatting>
  <conditionalFormatting sqref="C217:C277">
    <cfRule type="expression" dxfId="104" priority="59" stopIfTrue="1">
      <formula>$B217="Visa"</formula>
    </cfRule>
  </conditionalFormatting>
  <conditionalFormatting sqref="C217:C289">
    <cfRule type="expression" dxfId="103" priority="73" stopIfTrue="1">
      <formula>$B217="Visa"</formula>
    </cfRule>
  </conditionalFormatting>
  <conditionalFormatting sqref="C219">
    <cfRule type="expression" dxfId="102" priority="13" stopIfTrue="1">
      <formula>$B16="Visa"</formula>
    </cfRule>
  </conditionalFormatting>
  <conditionalFormatting sqref="C221">
    <cfRule type="expression" dxfId="101" priority="9" stopIfTrue="1">
      <formula>$B17="Visa"</formula>
    </cfRule>
    <cfRule type="expression" dxfId="100" priority="16" stopIfTrue="1">
      <formula>$B17="Visa"</formula>
    </cfRule>
    <cfRule type="expression" dxfId="99" priority="22" stopIfTrue="1">
      <formula>$B17="Visa"</formula>
    </cfRule>
    <cfRule type="expression" dxfId="98" priority="39" stopIfTrue="1">
      <formula>$B17="Visa"</formula>
    </cfRule>
  </conditionalFormatting>
  <conditionalFormatting sqref="C231">
    <cfRule type="expression" dxfId="97" priority="25" stopIfTrue="1">
      <formula>$B207="Visa"</formula>
    </cfRule>
  </conditionalFormatting>
  <conditionalFormatting sqref="C233:C249">
    <cfRule type="expression" dxfId="96" priority="36" stopIfTrue="1">
      <formula>$B233="Visa"</formula>
    </cfRule>
  </conditionalFormatting>
  <conditionalFormatting sqref="C234">
    <cfRule type="expression" dxfId="95" priority="30" stopIfTrue="1">
      <formula>$B206="Visa"</formula>
    </cfRule>
    <cfRule type="expression" dxfId="94" priority="48" stopIfTrue="1">
      <formula>$B206="Visa"</formula>
    </cfRule>
    <cfRule type="expression" dxfId="93" priority="55" stopIfTrue="1">
      <formula>$B206="Visa"</formula>
    </cfRule>
    <cfRule type="expression" dxfId="92" priority="70" stopIfTrue="1">
      <formula>$B206="Visa"</formula>
    </cfRule>
  </conditionalFormatting>
  <conditionalFormatting sqref="C234:C249">
    <cfRule type="expression" dxfId="91" priority="35" stopIfTrue="1">
      <formula>$B233="Visa"</formula>
    </cfRule>
  </conditionalFormatting>
  <conditionalFormatting sqref="C235">
    <cfRule type="expression" dxfId="90" priority="64" stopIfTrue="1">
      <formula>$B207="Visa"</formula>
    </cfRule>
  </conditionalFormatting>
  <conditionalFormatting sqref="C235:C258 C260:C270">
    <cfRule type="expression" dxfId="89" priority="58" stopIfTrue="1">
      <formula>$B234="Visa"</formula>
    </cfRule>
  </conditionalFormatting>
  <conditionalFormatting sqref="C235:C277 C279:C289">
    <cfRule type="expression" dxfId="88" priority="72" stopIfTrue="1">
      <formula>$B234="Visa"</formula>
    </cfRule>
  </conditionalFormatting>
  <conditionalFormatting sqref="C236">
    <cfRule type="expression" dxfId="87" priority="8" stopIfTrue="1">
      <formula>$B236="Visa"</formula>
    </cfRule>
  </conditionalFormatting>
  <conditionalFormatting sqref="C236:C259 C261:C271">
    <cfRule type="expression" dxfId="86" priority="66" stopIfTrue="1">
      <formula>$B235="Visa"</formula>
    </cfRule>
  </conditionalFormatting>
  <conditionalFormatting sqref="C241">
    <cfRule type="expression" dxfId="85" priority="50" stopIfTrue="1">
      <formula>$B212="Visa"</formula>
    </cfRule>
  </conditionalFormatting>
  <conditionalFormatting sqref="C244">
    <cfRule type="expression" dxfId="84" priority="26" stopIfTrue="1">
      <formula>$B17="Visa"</formula>
    </cfRule>
  </conditionalFormatting>
  <conditionalFormatting sqref="C245">
    <cfRule type="expression" dxfId="83" priority="21" stopIfTrue="1">
      <formula>$B245="Visa"</formula>
    </cfRule>
  </conditionalFormatting>
  <conditionalFormatting sqref="C248">
    <cfRule type="expression" dxfId="82" priority="31" stopIfTrue="1">
      <formula>$B17="Visa"</formula>
    </cfRule>
  </conditionalFormatting>
  <conditionalFormatting sqref="C258">
    <cfRule type="expression" dxfId="81" priority="42" stopIfTrue="1">
      <formula>$B21="Visa"</formula>
    </cfRule>
  </conditionalFormatting>
  <conditionalFormatting sqref="C259">
    <cfRule type="expression" dxfId="80" priority="54" stopIfTrue="1">
      <formula>$B235="Visa"</formula>
    </cfRule>
  </conditionalFormatting>
  <conditionalFormatting sqref="C260">
    <cfRule type="expression" dxfId="79" priority="47" stopIfTrue="1">
      <formula>$B259="Visa"</formula>
    </cfRule>
    <cfRule type="expression" dxfId="78" priority="63" stopIfTrue="1">
      <formula>$B236="Visa"</formula>
    </cfRule>
  </conditionalFormatting>
  <conditionalFormatting sqref="C263">
    <cfRule type="expression" dxfId="77" priority="29" stopIfTrue="1">
      <formula>$B263="Visa"</formula>
    </cfRule>
  </conditionalFormatting>
  <conditionalFormatting sqref="C271">
    <cfRule type="expression" dxfId="76" priority="56" stopIfTrue="1">
      <formula>$B17="Visa"</formula>
    </cfRule>
  </conditionalFormatting>
  <conditionalFormatting sqref="C278">
    <cfRule type="expression" dxfId="75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2389C-5192-494E-A476-4012FB102F44}">
  <sheetPr codeName="Sheet29">
    <tabColor rgb="FFFF0000"/>
  </sheetPr>
  <dimension ref="A1:I93"/>
  <sheetViews>
    <sheetView tabSelected="1" workbookViewId="0">
      <selection activeCell="B4" sqref="B4"/>
    </sheetView>
  </sheetViews>
  <sheetFormatPr defaultColWidth="9.140625" defaultRowHeight="11.25" x14ac:dyDescent="0.2"/>
  <cols>
    <col min="1" max="1" width="4.7109375" style="1" customWidth="1"/>
    <col min="2" max="2" width="16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226" width="9.140625" style="1"/>
    <col min="227" max="227" width="0.85546875" style="1" customWidth="1"/>
    <col min="228" max="228" width="3.42578125" style="1" customWidth="1"/>
    <col min="229" max="229" width="9.5703125" style="1" bestFit="1" customWidth="1"/>
    <col min="230" max="230" width="9.140625" style="1"/>
    <col min="231" max="231" width="8.7109375" style="1" bestFit="1" customWidth="1"/>
    <col min="232" max="16384" width="9.140625" style="1"/>
  </cols>
  <sheetData>
    <row r="1" spans="1:9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</row>
    <row r="2" spans="1:9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</row>
    <row r="3" spans="1:9" ht="16.5" customHeight="1" x14ac:dyDescent="0.2">
      <c r="A3" s="23" t="s">
        <v>18</v>
      </c>
      <c r="B3" s="43">
        <v>46168</v>
      </c>
      <c r="C3" s="21"/>
      <c r="D3" s="21"/>
      <c r="E3" s="21"/>
      <c r="F3" s="21"/>
      <c r="G3" s="21"/>
      <c r="H3" s="21"/>
      <c r="I3" s="22"/>
    </row>
    <row r="4" spans="1:9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</row>
    <row r="5" spans="1:9" s="7" customFormat="1" ht="15" customHeight="1" x14ac:dyDescent="0.25">
      <c r="A5" s="2">
        <v>1</v>
      </c>
      <c r="B5" s="10" t="s">
        <v>89</v>
      </c>
      <c r="C5" s="11" t="s">
        <v>34</v>
      </c>
      <c r="D5" s="12">
        <v>46168</v>
      </c>
      <c r="E5" s="13" t="s">
        <v>128</v>
      </c>
      <c r="F5" s="13" t="s">
        <v>44</v>
      </c>
      <c r="G5" s="10">
        <v>46980</v>
      </c>
      <c r="H5" s="10">
        <v>14790</v>
      </c>
      <c r="I5" s="10">
        <f t="shared" ref="I5:I41" si="0">G5-H5</f>
        <v>32190</v>
      </c>
    </row>
    <row r="6" spans="1:9" s="7" customFormat="1" ht="15" customHeight="1" x14ac:dyDescent="0.25">
      <c r="A6" s="2">
        <f t="shared" ref="A6:A41" si="1">A5+1</f>
        <v>2</v>
      </c>
      <c r="B6" s="10" t="s">
        <v>90</v>
      </c>
      <c r="C6" s="11" t="s">
        <v>31</v>
      </c>
      <c r="D6" s="12">
        <v>46168</v>
      </c>
      <c r="E6" s="13" t="s">
        <v>129</v>
      </c>
      <c r="F6" s="13" t="s">
        <v>44</v>
      </c>
      <c r="G6" s="10">
        <v>51580</v>
      </c>
      <c r="H6" s="10">
        <v>18180</v>
      </c>
      <c r="I6" s="10">
        <f t="shared" si="0"/>
        <v>33400</v>
      </c>
    </row>
    <row r="7" spans="1:9" s="7" customFormat="1" ht="15" customHeight="1" x14ac:dyDescent="0.25">
      <c r="A7" s="2">
        <f t="shared" si="1"/>
        <v>3</v>
      </c>
      <c r="B7" s="10" t="s">
        <v>91</v>
      </c>
      <c r="C7" s="11" t="s">
        <v>32</v>
      </c>
      <c r="D7" s="12">
        <v>46168</v>
      </c>
      <c r="E7" s="13" t="s">
        <v>70</v>
      </c>
      <c r="F7" s="13" t="s">
        <v>44</v>
      </c>
      <c r="G7" s="10">
        <v>50440</v>
      </c>
      <c r="H7" s="10">
        <v>18470</v>
      </c>
      <c r="I7" s="10">
        <f t="shared" si="0"/>
        <v>31970</v>
      </c>
    </row>
    <row r="8" spans="1:9" s="7" customFormat="1" ht="15" customHeight="1" x14ac:dyDescent="0.25">
      <c r="A8" s="2">
        <f t="shared" si="1"/>
        <v>4</v>
      </c>
      <c r="B8" s="10" t="s">
        <v>92</v>
      </c>
      <c r="C8" s="11" t="s">
        <v>27</v>
      </c>
      <c r="D8" s="12">
        <v>46168</v>
      </c>
      <c r="E8" s="13" t="s">
        <v>130</v>
      </c>
      <c r="F8" s="13" t="s">
        <v>44</v>
      </c>
      <c r="G8" s="10">
        <v>45160</v>
      </c>
      <c r="H8" s="10">
        <v>14460</v>
      </c>
      <c r="I8" s="10">
        <f t="shared" si="0"/>
        <v>30700</v>
      </c>
    </row>
    <row r="9" spans="1:9" s="7" customFormat="1" ht="15" customHeight="1" x14ac:dyDescent="0.25">
      <c r="A9" s="2">
        <f t="shared" si="1"/>
        <v>5</v>
      </c>
      <c r="B9" s="10" t="s">
        <v>93</v>
      </c>
      <c r="C9" s="11" t="s">
        <v>33</v>
      </c>
      <c r="D9" s="12">
        <v>46168</v>
      </c>
      <c r="E9" s="13" t="s">
        <v>58</v>
      </c>
      <c r="F9" s="13" t="s">
        <v>44</v>
      </c>
      <c r="G9" s="10">
        <v>45180</v>
      </c>
      <c r="H9" s="10">
        <v>14340</v>
      </c>
      <c r="I9" s="10">
        <f t="shared" si="0"/>
        <v>30840</v>
      </c>
    </row>
    <row r="10" spans="1:9" s="7" customFormat="1" ht="15" customHeight="1" x14ac:dyDescent="0.25">
      <c r="A10" s="2">
        <f t="shared" si="1"/>
        <v>6</v>
      </c>
      <c r="B10" s="10" t="s">
        <v>94</v>
      </c>
      <c r="C10" s="11" t="s">
        <v>29</v>
      </c>
      <c r="D10" s="12">
        <v>46168</v>
      </c>
      <c r="E10" s="13" t="s">
        <v>131</v>
      </c>
      <c r="F10" s="13" t="s">
        <v>44</v>
      </c>
      <c r="G10" s="10">
        <v>46640</v>
      </c>
      <c r="H10" s="10">
        <v>14970</v>
      </c>
      <c r="I10" s="10">
        <f t="shared" si="0"/>
        <v>31670</v>
      </c>
    </row>
    <row r="11" spans="1:9" s="7" customFormat="1" ht="15" customHeight="1" x14ac:dyDescent="0.25">
      <c r="A11" s="2">
        <f t="shared" si="1"/>
        <v>7</v>
      </c>
      <c r="B11" s="10" t="s">
        <v>95</v>
      </c>
      <c r="C11" s="11" t="s">
        <v>84</v>
      </c>
      <c r="D11" s="12">
        <v>46168</v>
      </c>
      <c r="E11" s="13" t="s">
        <v>62</v>
      </c>
      <c r="F11" s="13" t="s">
        <v>44</v>
      </c>
      <c r="G11" s="10">
        <v>44440</v>
      </c>
      <c r="H11" s="10">
        <v>14420</v>
      </c>
      <c r="I11" s="10">
        <f t="shared" si="0"/>
        <v>30020</v>
      </c>
    </row>
    <row r="12" spans="1:9" s="7" customFormat="1" ht="15" customHeight="1" x14ac:dyDescent="0.25">
      <c r="A12" s="2">
        <f t="shared" si="1"/>
        <v>8</v>
      </c>
      <c r="B12" s="10" t="s">
        <v>96</v>
      </c>
      <c r="C12" s="11" t="s">
        <v>81</v>
      </c>
      <c r="D12" s="12">
        <v>46168</v>
      </c>
      <c r="E12" s="13" t="s">
        <v>62</v>
      </c>
      <c r="F12" s="13" t="s">
        <v>44</v>
      </c>
      <c r="G12" s="10">
        <v>45560</v>
      </c>
      <c r="H12" s="10">
        <v>15390</v>
      </c>
      <c r="I12" s="10">
        <f t="shared" si="0"/>
        <v>30170</v>
      </c>
    </row>
    <row r="13" spans="1:9" s="7" customFormat="1" ht="15" customHeight="1" x14ac:dyDescent="0.25">
      <c r="A13" s="2">
        <f t="shared" si="1"/>
        <v>9</v>
      </c>
      <c r="B13" s="10" t="s">
        <v>97</v>
      </c>
      <c r="C13" s="11" t="s">
        <v>75</v>
      </c>
      <c r="D13" s="12">
        <v>46168</v>
      </c>
      <c r="E13" s="13" t="s">
        <v>71</v>
      </c>
      <c r="F13" s="13" t="s">
        <v>44</v>
      </c>
      <c r="G13" s="10">
        <v>48790</v>
      </c>
      <c r="H13" s="10">
        <v>14660</v>
      </c>
      <c r="I13" s="10">
        <f t="shared" si="0"/>
        <v>34130</v>
      </c>
    </row>
    <row r="14" spans="1:9" s="7" customFormat="1" ht="15" customHeight="1" x14ac:dyDescent="0.25">
      <c r="A14" s="2">
        <f t="shared" si="1"/>
        <v>10</v>
      </c>
      <c r="B14" s="10" t="s">
        <v>98</v>
      </c>
      <c r="C14" s="11" t="s">
        <v>40</v>
      </c>
      <c r="D14" s="12">
        <v>46168</v>
      </c>
      <c r="E14" s="13" t="s">
        <v>52</v>
      </c>
      <c r="F14" s="13" t="s">
        <v>44</v>
      </c>
      <c r="G14" s="10">
        <v>49180</v>
      </c>
      <c r="H14" s="10">
        <v>17210</v>
      </c>
      <c r="I14" s="10">
        <f t="shared" si="0"/>
        <v>31970</v>
      </c>
    </row>
    <row r="15" spans="1:9" s="7" customFormat="1" ht="15" customHeight="1" x14ac:dyDescent="0.25">
      <c r="A15" s="2">
        <f t="shared" si="1"/>
        <v>11</v>
      </c>
      <c r="B15" s="10" t="s">
        <v>99</v>
      </c>
      <c r="C15" s="11" t="s">
        <v>100</v>
      </c>
      <c r="D15" s="12">
        <v>46168</v>
      </c>
      <c r="E15" s="13" t="s">
        <v>53</v>
      </c>
      <c r="F15" s="13" t="s">
        <v>44</v>
      </c>
      <c r="G15" s="10">
        <v>46020</v>
      </c>
      <c r="H15" s="10">
        <v>16060</v>
      </c>
      <c r="I15" s="10">
        <f t="shared" si="0"/>
        <v>29960</v>
      </c>
    </row>
    <row r="16" spans="1:9" s="7" customFormat="1" ht="15" customHeight="1" x14ac:dyDescent="0.25">
      <c r="A16" s="2">
        <f t="shared" si="1"/>
        <v>12</v>
      </c>
      <c r="B16" s="10" t="s">
        <v>101</v>
      </c>
      <c r="C16" s="11" t="s">
        <v>69</v>
      </c>
      <c r="D16" s="12">
        <v>46168</v>
      </c>
      <c r="E16" s="13" t="s">
        <v>54</v>
      </c>
      <c r="F16" s="13" t="s">
        <v>44</v>
      </c>
      <c r="G16" s="10">
        <v>47340</v>
      </c>
      <c r="H16" s="10">
        <v>15830</v>
      </c>
      <c r="I16" s="10">
        <f t="shared" si="0"/>
        <v>31510</v>
      </c>
    </row>
    <row r="17" spans="1:9" s="7" customFormat="1" ht="15" customHeight="1" x14ac:dyDescent="0.25">
      <c r="A17" s="2">
        <f t="shared" si="1"/>
        <v>13</v>
      </c>
      <c r="B17" s="10" t="s">
        <v>102</v>
      </c>
      <c r="C17" s="11" t="s">
        <v>30</v>
      </c>
      <c r="D17" s="12">
        <v>46168</v>
      </c>
      <c r="E17" s="13" t="s">
        <v>55</v>
      </c>
      <c r="F17" s="13" t="s">
        <v>44</v>
      </c>
      <c r="G17" s="10">
        <v>45520</v>
      </c>
      <c r="H17" s="10">
        <v>14660</v>
      </c>
      <c r="I17" s="10">
        <f t="shared" si="0"/>
        <v>30860</v>
      </c>
    </row>
    <row r="18" spans="1:9" s="7" customFormat="1" ht="15" customHeight="1" x14ac:dyDescent="0.25">
      <c r="A18" s="2">
        <f t="shared" si="1"/>
        <v>14</v>
      </c>
      <c r="B18" s="10" t="s">
        <v>103</v>
      </c>
      <c r="C18" s="11" t="s">
        <v>25</v>
      </c>
      <c r="D18" s="12">
        <v>46168</v>
      </c>
      <c r="E18" s="13" t="s">
        <v>132</v>
      </c>
      <c r="F18" s="13" t="s">
        <v>44</v>
      </c>
      <c r="G18" s="10">
        <v>47590</v>
      </c>
      <c r="H18" s="10">
        <v>14990</v>
      </c>
      <c r="I18" s="10">
        <f t="shared" si="0"/>
        <v>32600</v>
      </c>
    </row>
    <row r="19" spans="1:9" s="7" customFormat="1" ht="15" customHeight="1" x14ac:dyDescent="0.25">
      <c r="A19" s="2">
        <f t="shared" si="1"/>
        <v>15</v>
      </c>
      <c r="B19" s="10" t="s">
        <v>104</v>
      </c>
      <c r="C19" s="11" t="s">
        <v>35</v>
      </c>
      <c r="D19" s="12">
        <v>46168</v>
      </c>
      <c r="E19" s="13" t="s">
        <v>77</v>
      </c>
      <c r="F19" s="13" t="s">
        <v>44</v>
      </c>
      <c r="G19" s="10">
        <v>43260</v>
      </c>
      <c r="H19" s="10">
        <v>13380</v>
      </c>
      <c r="I19" s="10">
        <f t="shared" si="0"/>
        <v>29880</v>
      </c>
    </row>
    <row r="20" spans="1:9" s="7" customFormat="1" ht="15" customHeight="1" x14ac:dyDescent="0.25">
      <c r="A20" s="2">
        <f t="shared" si="1"/>
        <v>16</v>
      </c>
      <c r="B20" s="10" t="s">
        <v>105</v>
      </c>
      <c r="C20" s="11" t="s">
        <v>42</v>
      </c>
      <c r="D20" s="12">
        <v>46168</v>
      </c>
      <c r="E20" s="13" t="s">
        <v>61</v>
      </c>
      <c r="F20" s="13" t="s">
        <v>44</v>
      </c>
      <c r="G20" s="10">
        <v>45540</v>
      </c>
      <c r="H20" s="10">
        <v>15640</v>
      </c>
      <c r="I20" s="10">
        <f t="shared" si="0"/>
        <v>29900</v>
      </c>
    </row>
    <row r="21" spans="1:9" s="7" customFormat="1" ht="15" customHeight="1" x14ac:dyDescent="0.25">
      <c r="A21" s="2">
        <f t="shared" si="1"/>
        <v>17</v>
      </c>
      <c r="B21" s="10" t="s">
        <v>106</v>
      </c>
      <c r="C21" s="11" t="s">
        <v>88</v>
      </c>
      <c r="D21" s="12">
        <v>46168</v>
      </c>
      <c r="E21" s="13" t="s">
        <v>63</v>
      </c>
      <c r="F21" s="13" t="s">
        <v>44</v>
      </c>
      <c r="G21" s="10">
        <v>43990</v>
      </c>
      <c r="H21" s="10">
        <v>15310</v>
      </c>
      <c r="I21" s="10">
        <f t="shared" si="0"/>
        <v>28680</v>
      </c>
    </row>
    <row r="22" spans="1:9" s="7" customFormat="1" ht="15" customHeight="1" x14ac:dyDescent="0.25">
      <c r="A22" s="2">
        <f t="shared" si="1"/>
        <v>18</v>
      </c>
      <c r="B22" s="10" t="s">
        <v>107</v>
      </c>
      <c r="C22" s="11" t="s">
        <v>82</v>
      </c>
      <c r="D22" s="12">
        <v>46168</v>
      </c>
      <c r="E22" s="13" t="s">
        <v>78</v>
      </c>
      <c r="F22" s="13" t="s">
        <v>44</v>
      </c>
      <c r="G22" s="10">
        <v>46550</v>
      </c>
      <c r="H22" s="10">
        <v>15810</v>
      </c>
      <c r="I22" s="10">
        <f t="shared" si="0"/>
        <v>30740</v>
      </c>
    </row>
    <row r="23" spans="1:9" s="7" customFormat="1" ht="15" customHeight="1" x14ac:dyDescent="0.25">
      <c r="A23" s="2">
        <f t="shared" si="1"/>
        <v>19</v>
      </c>
      <c r="B23" s="10" t="s">
        <v>108</v>
      </c>
      <c r="C23" s="11" t="s">
        <v>83</v>
      </c>
      <c r="D23" s="12">
        <v>46168</v>
      </c>
      <c r="E23" s="13" t="s">
        <v>60</v>
      </c>
      <c r="F23" s="13" t="s">
        <v>44</v>
      </c>
      <c r="G23" s="10">
        <v>47230</v>
      </c>
      <c r="H23" s="10">
        <v>16040</v>
      </c>
      <c r="I23" s="10">
        <f t="shared" si="0"/>
        <v>31190</v>
      </c>
    </row>
    <row r="24" spans="1:9" s="7" customFormat="1" ht="15" customHeight="1" x14ac:dyDescent="0.25">
      <c r="A24" s="2">
        <f t="shared" si="1"/>
        <v>20</v>
      </c>
      <c r="B24" s="10" t="s">
        <v>109</v>
      </c>
      <c r="C24" s="11" t="s">
        <v>43</v>
      </c>
      <c r="D24" s="12">
        <v>46168</v>
      </c>
      <c r="E24" s="13" t="s">
        <v>72</v>
      </c>
      <c r="F24" s="13" t="s">
        <v>44</v>
      </c>
      <c r="G24" s="10">
        <v>48360</v>
      </c>
      <c r="H24" s="10">
        <v>14580</v>
      </c>
      <c r="I24" s="10">
        <f t="shared" si="0"/>
        <v>33780</v>
      </c>
    </row>
    <row r="25" spans="1:9" s="7" customFormat="1" ht="15" customHeight="1" x14ac:dyDescent="0.25">
      <c r="A25" s="2">
        <f t="shared" si="1"/>
        <v>21</v>
      </c>
      <c r="B25" s="10" t="s">
        <v>110</v>
      </c>
      <c r="C25" s="11" t="s">
        <v>28</v>
      </c>
      <c r="D25" s="12">
        <v>46168</v>
      </c>
      <c r="E25" s="13" t="s">
        <v>72</v>
      </c>
      <c r="F25" s="13" t="s">
        <v>44</v>
      </c>
      <c r="G25" s="10">
        <v>49550</v>
      </c>
      <c r="H25" s="10">
        <v>15100</v>
      </c>
      <c r="I25" s="10">
        <f t="shared" si="0"/>
        <v>34450</v>
      </c>
    </row>
    <row r="26" spans="1:9" s="7" customFormat="1" ht="15" customHeight="1" x14ac:dyDescent="0.25">
      <c r="A26" s="2">
        <f t="shared" si="1"/>
        <v>22</v>
      </c>
      <c r="B26" s="10" t="s">
        <v>111</v>
      </c>
      <c r="C26" s="11" t="s">
        <v>79</v>
      </c>
      <c r="D26" s="12">
        <v>46168</v>
      </c>
      <c r="E26" s="13" t="s">
        <v>76</v>
      </c>
      <c r="F26" s="13" t="s">
        <v>44</v>
      </c>
      <c r="G26" s="10">
        <v>41600</v>
      </c>
      <c r="H26" s="10">
        <v>13030</v>
      </c>
      <c r="I26" s="10">
        <f t="shared" si="0"/>
        <v>28570</v>
      </c>
    </row>
    <row r="27" spans="1:9" s="7" customFormat="1" ht="15" customHeight="1" x14ac:dyDescent="0.25">
      <c r="A27" s="2">
        <f t="shared" si="1"/>
        <v>23</v>
      </c>
      <c r="B27" s="10" t="s">
        <v>112</v>
      </c>
      <c r="C27" s="11" t="s">
        <v>85</v>
      </c>
      <c r="D27" s="12">
        <v>46168</v>
      </c>
      <c r="E27" s="13" t="s">
        <v>45</v>
      </c>
      <c r="F27" s="13" t="s">
        <v>44</v>
      </c>
      <c r="G27" s="10">
        <v>46430</v>
      </c>
      <c r="H27" s="10">
        <v>14430</v>
      </c>
      <c r="I27" s="10">
        <f t="shared" si="0"/>
        <v>32000</v>
      </c>
    </row>
    <row r="28" spans="1:9" s="7" customFormat="1" ht="15" customHeight="1" x14ac:dyDescent="0.25">
      <c r="A28" s="2">
        <f t="shared" si="1"/>
        <v>24</v>
      </c>
      <c r="B28" s="10" t="s">
        <v>113</v>
      </c>
      <c r="C28" s="11" t="s">
        <v>87</v>
      </c>
      <c r="D28" s="12">
        <v>46168</v>
      </c>
      <c r="E28" s="13" t="s">
        <v>46</v>
      </c>
      <c r="F28" s="13" t="s">
        <v>44</v>
      </c>
      <c r="G28" s="10">
        <v>45450</v>
      </c>
      <c r="H28" s="10">
        <v>15100</v>
      </c>
      <c r="I28" s="10">
        <f t="shared" si="0"/>
        <v>30350</v>
      </c>
    </row>
    <row r="29" spans="1:9" s="7" customFormat="1" ht="15" customHeight="1" x14ac:dyDescent="0.25">
      <c r="A29" s="2">
        <f t="shared" si="1"/>
        <v>25</v>
      </c>
      <c r="B29" s="10" t="s">
        <v>114</v>
      </c>
      <c r="C29" s="11" t="s">
        <v>80</v>
      </c>
      <c r="D29" s="12">
        <v>46168</v>
      </c>
      <c r="E29" s="13" t="s">
        <v>47</v>
      </c>
      <c r="F29" s="13" t="s">
        <v>44</v>
      </c>
      <c r="G29" s="10">
        <v>45740</v>
      </c>
      <c r="H29" s="10">
        <v>14930</v>
      </c>
      <c r="I29" s="10">
        <f t="shared" si="0"/>
        <v>30810</v>
      </c>
    </row>
    <row r="30" spans="1:9" s="7" customFormat="1" ht="15" customHeight="1" x14ac:dyDescent="0.25">
      <c r="A30" s="2">
        <f t="shared" si="1"/>
        <v>26</v>
      </c>
      <c r="B30" s="10" t="s">
        <v>115</v>
      </c>
      <c r="C30" s="11" t="s">
        <v>116</v>
      </c>
      <c r="D30" s="12">
        <v>46168</v>
      </c>
      <c r="E30" s="13" t="s">
        <v>64</v>
      </c>
      <c r="F30" s="13" t="s">
        <v>44</v>
      </c>
      <c r="G30" s="10">
        <v>46270</v>
      </c>
      <c r="H30" s="10">
        <v>15230</v>
      </c>
      <c r="I30" s="10">
        <f t="shared" si="0"/>
        <v>31040</v>
      </c>
    </row>
    <row r="31" spans="1:9" s="7" customFormat="1" ht="15" customHeight="1" x14ac:dyDescent="0.25">
      <c r="A31" s="2">
        <f t="shared" si="1"/>
        <v>27</v>
      </c>
      <c r="B31" s="10" t="s">
        <v>117</v>
      </c>
      <c r="C31" s="11" t="s">
        <v>37</v>
      </c>
      <c r="D31" s="12">
        <v>46168</v>
      </c>
      <c r="E31" s="13" t="s">
        <v>73</v>
      </c>
      <c r="F31" s="13" t="s">
        <v>44</v>
      </c>
      <c r="G31" s="10">
        <v>44880</v>
      </c>
      <c r="H31" s="10">
        <v>15960</v>
      </c>
      <c r="I31" s="10">
        <f t="shared" si="0"/>
        <v>28920</v>
      </c>
    </row>
    <row r="32" spans="1:9" s="7" customFormat="1" ht="15" customHeight="1" x14ac:dyDescent="0.25">
      <c r="A32" s="2">
        <f t="shared" si="1"/>
        <v>28</v>
      </c>
      <c r="B32" s="10" t="s">
        <v>118</v>
      </c>
      <c r="C32" s="11" t="s">
        <v>38</v>
      </c>
      <c r="D32" s="12">
        <v>46168</v>
      </c>
      <c r="E32" s="13" t="s">
        <v>73</v>
      </c>
      <c r="F32" s="13" t="s">
        <v>44</v>
      </c>
      <c r="G32" s="10">
        <v>43640</v>
      </c>
      <c r="H32" s="10">
        <v>15210</v>
      </c>
      <c r="I32" s="10">
        <f t="shared" si="0"/>
        <v>28430</v>
      </c>
    </row>
    <row r="33" spans="1:9" s="7" customFormat="1" ht="15" customHeight="1" x14ac:dyDescent="0.25">
      <c r="A33" s="2">
        <f t="shared" si="1"/>
        <v>29</v>
      </c>
      <c r="B33" s="10" t="s">
        <v>119</v>
      </c>
      <c r="C33" s="11" t="s">
        <v>59</v>
      </c>
      <c r="D33" s="12">
        <v>46168</v>
      </c>
      <c r="E33" s="13" t="s">
        <v>65</v>
      </c>
      <c r="F33" s="13" t="s">
        <v>44</v>
      </c>
      <c r="G33" s="10">
        <v>48450</v>
      </c>
      <c r="H33" s="10">
        <v>15280</v>
      </c>
      <c r="I33" s="10">
        <f t="shared" si="0"/>
        <v>33170</v>
      </c>
    </row>
    <row r="34" spans="1:9" s="7" customFormat="1" ht="15" customHeight="1" x14ac:dyDescent="0.25">
      <c r="A34" s="2">
        <f t="shared" si="1"/>
        <v>30</v>
      </c>
      <c r="B34" s="10" t="s">
        <v>120</v>
      </c>
      <c r="C34" s="11" t="s">
        <v>51</v>
      </c>
      <c r="D34" s="12">
        <v>46168</v>
      </c>
      <c r="E34" s="13" t="s">
        <v>56</v>
      </c>
      <c r="F34" s="13" t="s">
        <v>44</v>
      </c>
      <c r="G34" s="10">
        <v>69010</v>
      </c>
      <c r="H34" s="10">
        <v>24330</v>
      </c>
      <c r="I34" s="10">
        <f t="shared" si="0"/>
        <v>44680</v>
      </c>
    </row>
    <row r="35" spans="1:9" s="7" customFormat="1" ht="15" customHeight="1" x14ac:dyDescent="0.25">
      <c r="A35" s="2">
        <f t="shared" si="1"/>
        <v>31</v>
      </c>
      <c r="B35" s="10" t="s">
        <v>121</v>
      </c>
      <c r="C35" s="11" t="s">
        <v>68</v>
      </c>
      <c r="D35" s="12">
        <v>46168</v>
      </c>
      <c r="E35" s="13" t="s">
        <v>66</v>
      </c>
      <c r="F35" s="13" t="s">
        <v>44</v>
      </c>
      <c r="G35" s="10">
        <v>50510</v>
      </c>
      <c r="H35" s="10">
        <v>19500</v>
      </c>
      <c r="I35" s="10">
        <f t="shared" si="0"/>
        <v>31010</v>
      </c>
    </row>
    <row r="36" spans="1:9" s="7" customFormat="1" ht="15" customHeight="1" x14ac:dyDescent="0.25">
      <c r="A36" s="2">
        <f t="shared" si="1"/>
        <v>32</v>
      </c>
      <c r="B36" s="10" t="s">
        <v>122</v>
      </c>
      <c r="C36" s="11" t="s">
        <v>36</v>
      </c>
      <c r="D36" s="12">
        <v>46168</v>
      </c>
      <c r="E36" s="13" t="s">
        <v>67</v>
      </c>
      <c r="F36" s="13" t="s">
        <v>44</v>
      </c>
      <c r="G36" s="10">
        <v>44610</v>
      </c>
      <c r="H36" s="10">
        <v>14470</v>
      </c>
      <c r="I36" s="10">
        <f t="shared" si="0"/>
        <v>30140</v>
      </c>
    </row>
    <row r="37" spans="1:9" s="7" customFormat="1" ht="15" customHeight="1" x14ac:dyDescent="0.25">
      <c r="A37" s="2">
        <f t="shared" si="1"/>
        <v>33</v>
      </c>
      <c r="B37" s="10" t="s">
        <v>123</v>
      </c>
      <c r="C37" s="11" t="s">
        <v>39</v>
      </c>
      <c r="D37" s="12">
        <v>46168</v>
      </c>
      <c r="E37" s="13" t="s">
        <v>57</v>
      </c>
      <c r="F37" s="13" t="s">
        <v>44</v>
      </c>
      <c r="G37" s="10">
        <v>50520</v>
      </c>
      <c r="H37" s="10">
        <v>18360</v>
      </c>
      <c r="I37" s="10">
        <f t="shared" si="0"/>
        <v>32160</v>
      </c>
    </row>
    <row r="38" spans="1:9" s="7" customFormat="1" ht="15" customHeight="1" x14ac:dyDescent="0.25">
      <c r="A38" s="2">
        <f t="shared" si="1"/>
        <v>34</v>
      </c>
      <c r="B38" s="10" t="s">
        <v>124</v>
      </c>
      <c r="C38" s="11" t="s">
        <v>41</v>
      </c>
      <c r="D38" s="12">
        <v>46168</v>
      </c>
      <c r="E38" s="13" t="s">
        <v>74</v>
      </c>
      <c r="F38" s="13" t="s">
        <v>44</v>
      </c>
      <c r="G38" s="10">
        <v>45860</v>
      </c>
      <c r="H38" s="10">
        <v>14320</v>
      </c>
      <c r="I38" s="10">
        <f t="shared" si="0"/>
        <v>31540</v>
      </c>
    </row>
    <row r="39" spans="1:9" s="7" customFormat="1" ht="15" customHeight="1" x14ac:dyDescent="0.25">
      <c r="A39" s="2">
        <f t="shared" si="1"/>
        <v>35</v>
      </c>
      <c r="B39" s="10" t="s">
        <v>125</v>
      </c>
      <c r="C39" s="11" t="s">
        <v>86</v>
      </c>
      <c r="D39" s="12">
        <v>46168</v>
      </c>
      <c r="E39" s="13" t="s">
        <v>48</v>
      </c>
      <c r="F39" s="13" t="s">
        <v>44</v>
      </c>
      <c r="G39" s="10">
        <v>44600</v>
      </c>
      <c r="H39" s="10">
        <v>14710</v>
      </c>
      <c r="I39" s="10">
        <f t="shared" si="0"/>
        <v>29890</v>
      </c>
    </row>
    <row r="40" spans="1:9" s="7" customFormat="1" ht="15" customHeight="1" x14ac:dyDescent="0.25">
      <c r="A40" s="2">
        <f t="shared" si="1"/>
        <v>36</v>
      </c>
      <c r="B40" s="10" t="s">
        <v>126</v>
      </c>
      <c r="C40" s="11" t="s">
        <v>26</v>
      </c>
      <c r="D40" s="12">
        <v>46168</v>
      </c>
      <c r="E40" s="13" t="s">
        <v>49</v>
      </c>
      <c r="F40" s="13" t="s">
        <v>44</v>
      </c>
      <c r="G40" s="10">
        <v>67920</v>
      </c>
      <c r="H40" s="10">
        <v>24220</v>
      </c>
      <c r="I40" s="10">
        <f t="shared" si="0"/>
        <v>43700</v>
      </c>
    </row>
    <row r="41" spans="1:9" s="7" customFormat="1" ht="15" customHeight="1" x14ac:dyDescent="0.25">
      <c r="A41" s="2">
        <f t="shared" si="1"/>
        <v>37</v>
      </c>
      <c r="B41" s="10" t="s">
        <v>127</v>
      </c>
      <c r="C41" s="11" t="s">
        <v>24</v>
      </c>
      <c r="D41" s="12">
        <v>46168</v>
      </c>
      <c r="E41" s="13" t="s">
        <v>50</v>
      </c>
      <c r="F41" s="13" t="s">
        <v>44</v>
      </c>
      <c r="G41" s="10">
        <v>69070</v>
      </c>
      <c r="H41" s="10">
        <v>24240</v>
      </c>
      <c r="I41" s="10">
        <f t="shared" si="0"/>
        <v>44830</v>
      </c>
    </row>
    <row r="42" spans="1:9" s="7" customFormat="1" ht="15" customHeight="1" x14ac:dyDescent="0.25">
      <c r="B42" s="29"/>
      <c r="C42" s="30"/>
      <c r="D42" s="31"/>
      <c r="E42" s="32"/>
      <c r="F42" s="32"/>
      <c r="G42" s="29"/>
      <c r="H42" s="33"/>
      <c r="I42" s="33"/>
    </row>
    <row r="43" spans="1:9" s="7" customFormat="1" ht="15" customHeight="1" x14ac:dyDescent="0.25">
      <c r="G43" s="6" t="s">
        <v>9</v>
      </c>
      <c r="H43" s="6">
        <f>COUNTIF(I5:I41,"&gt;0")</f>
        <v>37</v>
      </c>
      <c r="I43" s="24">
        <f>SUM(I5:I41)/1000</f>
        <v>1191.8499999999999</v>
      </c>
    </row>
    <row r="44" spans="1:9" s="7" customFormat="1" ht="15" customHeight="1" x14ac:dyDescent="0.25">
      <c r="H44" s="27"/>
      <c r="I44" s="28"/>
    </row>
    <row r="45" spans="1:9" s="7" customFormat="1" ht="15" customHeight="1" x14ac:dyDescent="0.25"/>
    <row r="46" spans="1:9" s="7" customFormat="1" ht="15" customHeight="1" x14ac:dyDescent="0.25">
      <c r="A46" s="45" t="s">
        <v>11</v>
      </c>
      <c r="B46" s="45"/>
      <c r="C46" s="45"/>
      <c r="D46" s="38"/>
      <c r="E46" s="38"/>
      <c r="F46" s="38"/>
      <c r="G46" s="45" t="s">
        <v>10</v>
      </c>
      <c r="H46" s="45"/>
      <c r="I46" s="45"/>
    </row>
    <row r="47" spans="1:9" s="7" customFormat="1" ht="15" customHeight="1" x14ac:dyDescent="0.25">
      <c r="A47" s="45" t="s">
        <v>22</v>
      </c>
      <c r="B47" s="45"/>
      <c r="C47" s="45"/>
      <c r="D47" s="38"/>
      <c r="E47" s="38"/>
      <c r="F47" s="38"/>
      <c r="G47" s="45" t="s">
        <v>23</v>
      </c>
      <c r="H47" s="45"/>
      <c r="I47" s="45"/>
    </row>
    <row r="48" spans="1:9" s="7" customFormat="1" ht="15" customHeight="1" x14ac:dyDescent="0.25">
      <c r="A48" s="38"/>
      <c r="B48" s="38"/>
      <c r="C48" s="38"/>
      <c r="D48" s="38"/>
      <c r="E48" s="38"/>
      <c r="F48" s="38"/>
      <c r="G48" s="38"/>
      <c r="H48" s="38"/>
      <c r="I48" s="38"/>
    </row>
    <row r="49" spans="1:9" s="7" customFormat="1" ht="15" customHeight="1" x14ac:dyDescent="0.25">
      <c r="A49" s="8"/>
      <c r="B49" s="8"/>
      <c r="C49" s="38"/>
      <c r="D49" s="38"/>
      <c r="E49" s="38"/>
      <c r="F49" s="38"/>
      <c r="G49" s="38"/>
      <c r="H49" s="8"/>
      <c r="I49" s="8"/>
    </row>
    <row r="50" spans="1:9" ht="15" customHeight="1" x14ac:dyDescent="0.2">
      <c r="A50" s="9"/>
      <c r="B50" s="9"/>
      <c r="C50" s="9"/>
      <c r="D50" s="9"/>
      <c r="E50" s="9"/>
      <c r="F50" s="9"/>
      <c r="G50" s="9"/>
      <c r="H50" s="9"/>
      <c r="I50" s="9"/>
    </row>
    <row r="51" spans="1:9" ht="15" customHeight="1" x14ac:dyDescent="0.2">
      <c r="A51" s="9"/>
      <c r="B51" s="9"/>
      <c r="C51" s="9"/>
      <c r="D51" s="9"/>
      <c r="E51" s="9"/>
      <c r="F51" s="9"/>
      <c r="G51" s="9"/>
      <c r="H51" s="9"/>
      <c r="I51" s="9"/>
    </row>
    <row r="52" spans="1:9" ht="12.95" customHeight="1" x14ac:dyDescent="0.2">
      <c r="A52" s="46" t="s">
        <v>16</v>
      </c>
      <c r="B52" s="46"/>
      <c r="C52" s="46"/>
      <c r="D52" s="9"/>
      <c r="E52" s="9"/>
      <c r="F52" s="9"/>
      <c r="G52" s="39"/>
      <c r="H52" s="39" t="s">
        <v>19</v>
      </c>
      <c r="I52" s="26"/>
    </row>
    <row r="53" spans="1:9" ht="12.95" customHeight="1" x14ac:dyDescent="0.2">
      <c r="A53" s="47" t="s">
        <v>17</v>
      </c>
      <c r="B53" s="47"/>
      <c r="C53" s="47"/>
      <c r="D53" s="9"/>
      <c r="E53" s="9"/>
      <c r="F53" s="9"/>
      <c r="G53" s="40"/>
      <c r="H53" s="40" t="s">
        <v>20</v>
      </c>
      <c r="I53" s="26"/>
    </row>
    <row r="54" spans="1:9" ht="15" customHeight="1" x14ac:dyDescent="0.2"/>
    <row r="55" spans="1:9" ht="15" customHeight="1" x14ac:dyDescent="0.2"/>
    <row r="56" spans="1:9" ht="15" customHeight="1" x14ac:dyDescent="0.2"/>
    <row r="57" spans="1:9" ht="15" customHeight="1" x14ac:dyDescent="0.2"/>
    <row r="58" spans="1:9" ht="15" customHeight="1" x14ac:dyDescent="0.2"/>
    <row r="59" spans="1:9" ht="15" customHeight="1" x14ac:dyDescent="0.2"/>
    <row r="60" spans="1:9" ht="15" customHeight="1" x14ac:dyDescent="0.2"/>
    <row r="61" spans="1:9" ht="15" customHeight="1" x14ac:dyDescent="0.2"/>
    <row r="62" spans="1:9" ht="15" customHeight="1" x14ac:dyDescent="0.2"/>
    <row r="63" spans="1:9" ht="15" customHeight="1" x14ac:dyDescent="0.2"/>
    <row r="64" spans="1:9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7" ht="15" customHeight="1" x14ac:dyDescent="0.2"/>
    <row r="78" ht="15" customHeight="1" x14ac:dyDescent="0.2"/>
    <row r="84" ht="11.25" customHeight="1" x14ac:dyDescent="0.2"/>
    <row r="93" ht="11.25" customHeight="1" x14ac:dyDescent="0.2"/>
  </sheetData>
  <autoFilter ref="A4:HW4" xr:uid="{BD22389C-5192-494E-A476-4012FB102F44}">
    <sortState xmlns:xlrd2="http://schemas.microsoft.com/office/spreadsheetml/2017/richdata2" ref="A5:I41">
      <sortCondition ref="B4"/>
    </sortState>
  </autoFilter>
  <mergeCells count="7">
    <mergeCell ref="A47:C47"/>
    <mergeCell ref="G47:I47"/>
    <mergeCell ref="A52:C52"/>
    <mergeCell ref="A53:C53"/>
    <mergeCell ref="A2:I2"/>
    <mergeCell ref="A46:C46"/>
    <mergeCell ref="G46:I46"/>
  </mergeCells>
  <conditionalFormatting sqref="B109">
    <cfRule type="expression" dxfId="74" priority="62" stopIfTrue="1">
      <formula>$A109="Visa"</formula>
    </cfRule>
  </conditionalFormatting>
  <conditionalFormatting sqref="B115">
    <cfRule type="expression" dxfId="73" priority="53" stopIfTrue="1">
      <formula>$A115="Visa"</formula>
    </cfRule>
  </conditionalFormatting>
  <conditionalFormatting sqref="B147">
    <cfRule type="expression" dxfId="72" priority="69" stopIfTrue="1">
      <formula>$A147="Visa"</formula>
    </cfRule>
  </conditionalFormatting>
  <conditionalFormatting sqref="C5:C19">
    <cfRule type="expression" dxfId="71" priority="78" stopIfTrue="1">
      <formula>$B5="Visa"</formula>
    </cfRule>
  </conditionalFormatting>
  <conditionalFormatting sqref="C5:C45">
    <cfRule type="expression" dxfId="70" priority="7" stopIfTrue="1">
      <formula>$B5="Visa"</formula>
    </cfRule>
    <cfRule type="expression" dxfId="69" priority="38" stopIfTrue="1">
      <formula>$B5="Visa"</formula>
    </cfRule>
    <cfRule type="expression" dxfId="68" priority="61" stopIfTrue="1">
      <formula>$B5="Visa"</formula>
    </cfRule>
    <cfRule type="expression" dxfId="67" priority="76" stopIfTrue="1">
      <formula>$B5="Visa"</formula>
    </cfRule>
  </conditionalFormatting>
  <conditionalFormatting sqref="C13:C15">
    <cfRule type="expression" dxfId="66" priority="75" stopIfTrue="1">
      <formula>$B12="Visa"</formula>
    </cfRule>
  </conditionalFormatting>
  <conditionalFormatting sqref="C13:C20">
    <cfRule type="expression" dxfId="65" priority="6" stopIfTrue="1">
      <formula>$B12="Visa"</formula>
    </cfRule>
    <cfRule type="expression" dxfId="64" priority="60" stopIfTrue="1">
      <formula>$B12="Visa"</formula>
    </cfRule>
  </conditionalFormatting>
  <conditionalFormatting sqref="C13:C41 C43:C45">
    <cfRule type="expression" dxfId="63" priority="77" stopIfTrue="1">
      <formula>$B12="Visa"</formula>
    </cfRule>
  </conditionalFormatting>
  <conditionalFormatting sqref="C17">
    <cfRule type="expression" dxfId="62" priority="34" stopIfTrue="1">
      <formula>$B15="Visa"</formula>
    </cfRule>
    <cfRule type="expression" dxfId="61" priority="74" stopIfTrue="1">
      <formula>$B15="Visa"</formula>
    </cfRule>
  </conditionalFormatting>
  <conditionalFormatting sqref="C21">
    <cfRule type="expression" dxfId="60" priority="12" stopIfTrue="1">
      <formula>#REF!="Visa"</formula>
    </cfRule>
  </conditionalFormatting>
  <conditionalFormatting sqref="C42">
    <cfRule type="expression" dxfId="59" priority="441" stopIfTrue="1">
      <formula>#REF!="Visa"</formula>
    </cfRule>
  </conditionalFormatting>
  <conditionalFormatting sqref="C46:C51">
    <cfRule type="expression" dxfId="58" priority="1" stopIfTrue="1">
      <formula>$B46="Visa"</formula>
    </cfRule>
    <cfRule type="expression" dxfId="57" priority="5" stopIfTrue="1">
      <formula>$B45="Visa"</formula>
    </cfRule>
  </conditionalFormatting>
  <conditionalFormatting sqref="C54:C55 C57:C58 C12:C20">
    <cfRule type="expression" dxfId="56" priority="14" stopIfTrue="1">
      <formula>$B11="Visa"</formula>
    </cfRule>
  </conditionalFormatting>
  <conditionalFormatting sqref="C54:C56">
    <cfRule type="expression" dxfId="55" priority="19" stopIfTrue="1">
      <formula>$B53="Visa"</formula>
    </cfRule>
    <cfRule type="expression" dxfId="54" priority="20" stopIfTrue="1">
      <formula>$B54="Visa"</formula>
    </cfRule>
  </conditionalFormatting>
  <conditionalFormatting sqref="C54:C57 C59:C60">
    <cfRule type="expression" dxfId="53" priority="10" stopIfTrue="1">
      <formula>$B53="Visa"</formula>
    </cfRule>
    <cfRule type="expression" dxfId="52" priority="17" stopIfTrue="1">
      <formula>$B53="Visa"</formula>
    </cfRule>
    <cfRule type="expression" dxfId="51" priority="23" stopIfTrue="1">
      <formula>$B53="Visa"</formula>
    </cfRule>
    <cfRule type="expression" dxfId="50" priority="40" stopIfTrue="1">
      <formula>$B53="Visa"</formula>
    </cfRule>
  </conditionalFormatting>
  <conditionalFormatting sqref="C54:C61">
    <cfRule type="expression" dxfId="49" priority="18" stopIfTrue="1">
      <formula>$B54="Visa"</formula>
    </cfRule>
  </conditionalFormatting>
  <conditionalFormatting sqref="C54:C62">
    <cfRule type="expression" dxfId="48" priority="45" stopIfTrue="1">
      <formula>$B53="Visa"</formula>
    </cfRule>
    <cfRule type="expression" dxfId="47" priority="46" stopIfTrue="1">
      <formula>$B54="Visa"</formula>
    </cfRule>
  </conditionalFormatting>
  <conditionalFormatting sqref="C54:C67 C69:C80">
    <cfRule type="expression" dxfId="46" priority="27" stopIfTrue="1">
      <formula>$B53="Visa"</formula>
    </cfRule>
  </conditionalFormatting>
  <conditionalFormatting sqref="C54:C69">
    <cfRule type="expression" dxfId="45" priority="41" stopIfTrue="1">
      <formula>$B54="Visa"</formula>
    </cfRule>
  </conditionalFormatting>
  <conditionalFormatting sqref="C54:C70 C72:C84 C86:C87">
    <cfRule type="expression" dxfId="44" priority="32" stopIfTrue="1">
      <formula>$B53="Visa"</formula>
    </cfRule>
  </conditionalFormatting>
  <conditionalFormatting sqref="C54:C70 C109:C110">
    <cfRule type="expression" dxfId="43" priority="57" stopIfTrue="1">
      <formula>$B53="Visa"</formula>
    </cfRule>
  </conditionalFormatting>
  <conditionalFormatting sqref="C54:C70">
    <cfRule type="expression" dxfId="42" priority="15" stopIfTrue="1">
      <formula>$B54="Visa"</formula>
    </cfRule>
    <cfRule type="expression" dxfId="41" priority="49" stopIfTrue="1">
      <formula>$B53="Visa"</formula>
    </cfRule>
    <cfRule type="expression" dxfId="40" priority="71" stopIfTrue="1">
      <formula>$B53="Visa"</formula>
    </cfRule>
  </conditionalFormatting>
  <conditionalFormatting sqref="C54:C71">
    <cfRule type="expression" dxfId="39" priority="65" stopIfTrue="1">
      <formula>$B53="Visa"</formula>
    </cfRule>
  </conditionalFormatting>
  <conditionalFormatting sqref="C54:C72">
    <cfRule type="expression" dxfId="38" priority="11" stopIfTrue="1">
      <formula>$B54="Visa"</formula>
    </cfRule>
  </conditionalFormatting>
  <conditionalFormatting sqref="C54:C81">
    <cfRule type="expression" dxfId="37" priority="28" stopIfTrue="1">
      <formula>$B54="Visa"</formula>
    </cfRule>
  </conditionalFormatting>
  <conditionalFormatting sqref="C54:C82">
    <cfRule type="expression" dxfId="36" priority="24" stopIfTrue="1">
      <formula>$B54="Visa"</formula>
    </cfRule>
  </conditionalFormatting>
  <conditionalFormatting sqref="C54:C94">
    <cfRule type="expression" dxfId="35" priority="43" stopIfTrue="1">
      <formula>$B53="Visa"</formula>
    </cfRule>
  </conditionalFormatting>
  <conditionalFormatting sqref="C54:C95">
    <cfRule type="expression" dxfId="34" priority="44" stopIfTrue="1">
      <formula>$B54="Visa"</formula>
    </cfRule>
  </conditionalFormatting>
  <conditionalFormatting sqref="C54:C96">
    <cfRule type="expression" dxfId="33" priority="51" stopIfTrue="1">
      <formula>$B53="Visa"</formula>
    </cfRule>
  </conditionalFormatting>
  <conditionalFormatting sqref="C54:C97">
    <cfRule type="expression" dxfId="32" priority="52" stopIfTrue="1">
      <formula>$B54="Visa"</formula>
    </cfRule>
  </conditionalFormatting>
  <conditionalFormatting sqref="C54:C99">
    <cfRule type="expression" dxfId="31" priority="33" stopIfTrue="1">
      <formula>$B54="Visa"</formula>
    </cfRule>
  </conditionalFormatting>
  <conditionalFormatting sqref="C54:C108">
    <cfRule type="expression" dxfId="30" priority="67" stopIfTrue="1">
      <formula>$B54="Visa"</formula>
    </cfRule>
  </conditionalFormatting>
  <conditionalFormatting sqref="C54:C114">
    <cfRule type="expression" dxfId="29" priority="59" stopIfTrue="1">
      <formula>$B54="Visa"</formula>
    </cfRule>
  </conditionalFormatting>
  <conditionalFormatting sqref="C54:C126">
    <cfRule type="expression" dxfId="28" priority="73" stopIfTrue="1">
      <formula>$B54="Visa"</formula>
    </cfRule>
  </conditionalFormatting>
  <conditionalFormatting sqref="C56">
    <cfRule type="expression" dxfId="27" priority="13" stopIfTrue="1">
      <formula>$B16="Visa"</formula>
    </cfRule>
  </conditionalFormatting>
  <conditionalFormatting sqref="C58">
    <cfRule type="expression" dxfId="26" priority="9" stopIfTrue="1">
      <formula>$B17="Visa"</formula>
    </cfRule>
    <cfRule type="expression" dxfId="25" priority="16" stopIfTrue="1">
      <formula>$B17="Visa"</formula>
    </cfRule>
    <cfRule type="expression" dxfId="24" priority="22" stopIfTrue="1">
      <formula>$B17="Visa"</formula>
    </cfRule>
    <cfRule type="expression" dxfId="23" priority="39" stopIfTrue="1">
      <formula>$B17="Visa"</formula>
    </cfRule>
  </conditionalFormatting>
  <conditionalFormatting sqref="C68">
    <cfRule type="expression" dxfId="22" priority="25" stopIfTrue="1">
      <formula>$B44="Visa"</formula>
    </cfRule>
  </conditionalFormatting>
  <conditionalFormatting sqref="C70:C86">
    <cfRule type="expression" dxfId="21" priority="36" stopIfTrue="1">
      <formula>$B70="Visa"</formula>
    </cfRule>
  </conditionalFormatting>
  <conditionalFormatting sqref="C71">
    <cfRule type="expression" dxfId="20" priority="30" stopIfTrue="1">
      <formula>$B43="Visa"</formula>
    </cfRule>
    <cfRule type="expression" dxfId="19" priority="48" stopIfTrue="1">
      <formula>$B43="Visa"</formula>
    </cfRule>
    <cfRule type="expression" dxfId="18" priority="55" stopIfTrue="1">
      <formula>$B43="Visa"</formula>
    </cfRule>
    <cfRule type="expression" dxfId="17" priority="70" stopIfTrue="1">
      <formula>$B43="Visa"</formula>
    </cfRule>
  </conditionalFormatting>
  <conditionalFormatting sqref="C71:C86">
    <cfRule type="expression" dxfId="16" priority="35" stopIfTrue="1">
      <formula>$B70="Visa"</formula>
    </cfRule>
  </conditionalFormatting>
  <conditionalFormatting sqref="C72">
    <cfRule type="expression" dxfId="15" priority="64" stopIfTrue="1">
      <formula>$B44="Visa"</formula>
    </cfRule>
  </conditionalFormatting>
  <conditionalFormatting sqref="C72:C95 C97:C107">
    <cfRule type="expression" dxfId="14" priority="58" stopIfTrue="1">
      <formula>$B71="Visa"</formula>
    </cfRule>
  </conditionalFormatting>
  <conditionalFormatting sqref="C72:C114 C116:C126">
    <cfRule type="expression" dxfId="13" priority="72" stopIfTrue="1">
      <formula>$B71="Visa"</formula>
    </cfRule>
  </conditionalFormatting>
  <conditionalFormatting sqref="C73">
    <cfRule type="expression" dxfId="12" priority="8" stopIfTrue="1">
      <formula>$B73="Visa"</formula>
    </cfRule>
  </conditionalFormatting>
  <conditionalFormatting sqref="C73:C96 C98:C108">
    <cfRule type="expression" dxfId="11" priority="66" stopIfTrue="1">
      <formula>$B72="Visa"</formula>
    </cfRule>
  </conditionalFormatting>
  <conditionalFormatting sqref="C78">
    <cfRule type="expression" dxfId="10" priority="50" stopIfTrue="1">
      <formula>$B49="Visa"</formula>
    </cfRule>
  </conditionalFormatting>
  <conditionalFormatting sqref="C81">
    <cfRule type="expression" dxfId="9" priority="26" stopIfTrue="1">
      <formula>$B17="Visa"</formula>
    </cfRule>
  </conditionalFormatting>
  <conditionalFormatting sqref="C82">
    <cfRule type="expression" dxfId="8" priority="21" stopIfTrue="1">
      <formula>$B82="Visa"</formula>
    </cfRule>
  </conditionalFormatting>
  <conditionalFormatting sqref="C85">
    <cfRule type="expression" dxfId="7" priority="31" stopIfTrue="1">
      <formula>$B17="Visa"</formula>
    </cfRule>
  </conditionalFormatting>
  <conditionalFormatting sqref="C95">
    <cfRule type="expression" dxfId="6" priority="42" stopIfTrue="1">
      <formula>$B21="Visa"</formula>
    </cfRule>
  </conditionalFormatting>
  <conditionalFormatting sqref="C96">
    <cfRule type="expression" dxfId="5" priority="54" stopIfTrue="1">
      <formula>$B72="Visa"</formula>
    </cfRule>
  </conditionalFormatting>
  <conditionalFormatting sqref="C97">
    <cfRule type="expression" dxfId="4" priority="47" stopIfTrue="1">
      <formula>$B96="Visa"</formula>
    </cfRule>
    <cfRule type="expression" dxfId="3" priority="63" stopIfTrue="1">
      <formula>$B73="Visa"</formula>
    </cfRule>
  </conditionalFormatting>
  <conditionalFormatting sqref="C100">
    <cfRule type="expression" dxfId="2" priority="29" stopIfTrue="1">
      <formula>$B100="Visa"</formula>
    </cfRule>
  </conditionalFormatting>
  <conditionalFormatting sqref="C108">
    <cfRule type="expression" dxfId="1" priority="56" stopIfTrue="1">
      <formula>$B17="Visa"</formula>
    </cfRule>
  </conditionalFormatting>
  <conditionalFormatting sqref="C115">
    <cfRule type="expression" dxfId="0" priority="68" stopIfTrue="1">
      <formula>$B82="Visa"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26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2026-05-29T01:39:13Z</dcterms:modified>
</cp:coreProperties>
</file>