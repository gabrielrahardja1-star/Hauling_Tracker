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codeName="ThisWorkbook" defaultThemeVersion="124226"/>
  <xr:revisionPtr revIDLastSave="0" documentId="13_ncr:1_{70EF8AD8-30D5-46CE-8801-BC3075EE1C68}" xr6:coauthVersionLast="47" xr6:coauthVersionMax="47" xr10:uidLastSave="{00000000-0000-0000-0000-000000000000}"/>
  <bookViews>
    <workbookView xWindow="-120" yWindow="-120" windowWidth="29040" windowHeight="15720" tabRatio="915" activeTab="1" xr2:uid="{00000000-000D-0000-FFFF-FFFF00000000}"/>
  </bookViews>
  <sheets>
    <sheet name="2" sheetId="204" r:id="rId1"/>
    <sheet name="3" sheetId="206" r:id="rId2"/>
  </sheets>
  <definedNames>
    <definedName name="_xlnm._FilterDatabase" localSheetId="0" hidden="1">'2'!$A$4:$I$4</definedName>
    <definedName name="_xlnm._FilterDatabase" localSheetId="1" hidden="1">'3'!$A$4:$HV$4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8" i="206" l="1"/>
  <c r="I117" i="206"/>
  <c r="I116" i="206"/>
  <c r="I115" i="206"/>
  <c r="I114" i="206"/>
  <c r="I113" i="206"/>
  <c r="I112" i="206"/>
  <c r="I111" i="206"/>
  <c r="I110" i="206"/>
  <c r="I109" i="206"/>
  <c r="I108" i="206"/>
  <c r="I107" i="206"/>
  <c r="I106" i="206"/>
  <c r="I105" i="206"/>
  <c r="I104" i="206"/>
  <c r="I103" i="206"/>
  <c r="I102" i="206"/>
  <c r="I101" i="206"/>
  <c r="I100" i="206"/>
  <c r="I99" i="206"/>
  <c r="I98" i="206"/>
  <c r="I97" i="206"/>
  <c r="I96" i="206"/>
  <c r="I95" i="206"/>
  <c r="I94" i="206"/>
  <c r="I93" i="206"/>
  <c r="I92" i="206"/>
  <c r="I91" i="206"/>
  <c r="I90" i="206"/>
  <c r="I89" i="206"/>
  <c r="I88" i="206"/>
  <c r="I87" i="206"/>
  <c r="I86" i="206"/>
  <c r="I85" i="206"/>
  <c r="I84" i="206"/>
  <c r="I83" i="206"/>
  <c r="I82" i="206"/>
  <c r="I81" i="206"/>
  <c r="I80" i="206"/>
  <c r="I79" i="206"/>
  <c r="I78" i="206"/>
  <c r="I77" i="206"/>
  <c r="I76" i="206"/>
  <c r="I75" i="206"/>
  <c r="I74" i="206"/>
  <c r="I73" i="206"/>
  <c r="I72" i="206"/>
  <c r="I71" i="206"/>
  <c r="I70" i="206"/>
  <c r="I69" i="206"/>
  <c r="I68" i="206"/>
  <c r="I67" i="206"/>
  <c r="I66" i="206"/>
  <c r="I65" i="206"/>
  <c r="I64" i="206"/>
  <c r="I63" i="206"/>
  <c r="I62" i="206"/>
  <c r="I61" i="206"/>
  <c r="I60" i="206"/>
  <c r="I59" i="206"/>
  <c r="I58" i="206"/>
  <c r="I57" i="206"/>
  <c r="I56" i="206"/>
  <c r="I55" i="206"/>
  <c r="I54" i="206"/>
  <c r="I53" i="206"/>
  <c r="I52" i="206"/>
  <c r="I51" i="206"/>
  <c r="I50" i="206"/>
  <c r="I49" i="206"/>
  <c r="I48" i="206"/>
  <c r="I47" i="206"/>
  <c r="I46" i="206"/>
  <c r="I45" i="206"/>
  <c r="I44" i="206"/>
  <c r="I43" i="206"/>
  <c r="I42" i="206"/>
  <c r="I41" i="206"/>
  <c r="I40" i="206"/>
  <c r="I39" i="206"/>
  <c r="I38" i="206"/>
  <c r="I37" i="206"/>
  <c r="I36" i="206"/>
  <c r="I35" i="206"/>
  <c r="I34" i="206"/>
  <c r="I33" i="206"/>
  <c r="I32" i="206"/>
  <c r="I31" i="206"/>
  <c r="I30" i="206"/>
  <c r="I29" i="206"/>
  <c r="I28" i="206"/>
  <c r="I27" i="206"/>
  <c r="I26" i="206"/>
  <c r="I25" i="206"/>
  <c r="I24" i="206"/>
  <c r="I23" i="206"/>
  <c r="I22" i="206"/>
  <c r="I21" i="206"/>
  <c r="I20" i="206"/>
  <c r="I19" i="206"/>
  <c r="I18" i="206"/>
  <c r="I17" i="206"/>
  <c r="I16" i="206"/>
  <c r="I15" i="206"/>
  <c r="I14" i="206"/>
  <c r="I13" i="206"/>
  <c r="I12" i="206"/>
  <c r="I11" i="206"/>
  <c r="I10" i="206"/>
  <c r="I9" i="206"/>
  <c r="I8" i="206"/>
  <c r="I7" i="206"/>
  <c r="I6" i="206"/>
  <c r="I5" i="206"/>
  <c r="H120" i="206" l="1"/>
  <c r="B3" i="206"/>
  <c r="I120" i="206"/>
  <c r="I117" i="204" l="1"/>
  <c r="I116" i="204"/>
  <c r="I115" i="204"/>
  <c r="I114" i="204"/>
  <c r="I113" i="204"/>
  <c r="I112" i="204"/>
  <c r="I111" i="204"/>
  <c r="I110" i="204"/>
  <c r="I109" i="204"/>
  <c r="I108" i="204"/>
  <c r="I107" i="204"/>
  <c r="I106" i="204"/>
  <c r="I105" i="204"/>
  <c r="I104" i="204"/>
  <c r="I103" i="204"/>
  <c r="I102" i="204"/>
  <c r="I101" i="204"/>
  <c r="I100" i="204"/>
  <c r="I99" i="204"/>
  <c r="I98" i="204"/>
  <c r="I97" i="204"/>
  <c r="I96" i="204"/>
  <c r="I95" i="204"/>
  <c r="I94" i="204"/>
  <c r="I93" i="204"/>
  <c r="I92" i="204"/>
  <c r="I91" i="204"/>
  <c r="I90" i="204"/>
  <c r="I89" i="204"/>
  <c r="I88" i="204"/>
  <c r="I87" i="204"/>
  <c r="I86" i="204"/>
  <c r="I85" i="204"/>
  <c r="I84" i="204"/>
  <c r="I83" i="204"/>
  <c r="I82" i="204"/>
  <c r="I81" i="204"/>
  <c r="I80" i="204"/>
  <c r="I79" i="204"/>
  <c r="I78" i="204"/>
  <c r="I77" i="204"/>
  <c r="I76" i="204"/>
  <c r="I75" i="204"/>
  <c r="I74" i="204"/>
  <c r="I73" i="204"/>
  <c r="I72" i="204"/>
  <c r="I71" i="204"/>
  <c r="I70" i="204"/>
  <c r="I69" i="204"/>
  <c r="I68" i="204"/>
  <c r="I67" i="204"/>
  <c r="I66" i="204"/>
  <c r="I65" i="204"/>
  <c r="I64" i="204"/>
  <c r="I63" i="204"/>
  <c r="I62" i="204"/>
  <c r="I61" i="204"/>
  <c r="I60" i="204"/>
  <c r="I59" i="204"/>
  <c r="I58" i="204"/>
  <c r="I57" i="204"/>
  <c r="I56" i="204"/>
  <c r="I55" i="204"/>
  <c r="I54" i="204"/>
  <c r="I53" i="204"/>
  <c r="I52" i="204"/>
  <c r="I51" i="204"/>
  <c r="I50" i="204"/>
  <c r="I49" i="204"/>
  <c r="I48" i="204"/>
  <c r="I47" i="204"/>
  <c r="I46" i="204"/>
  <c r="I45" i="204"/>
  <c r="I44" i="204"/>
  <c r="I43" i="204"/>
  <c r="I42" i="204"/>
  <c r="I41" i="204"/>
  <c r="I40" i="204"/>
  <c r="I39" i="204"/>
  <c r="I38" i="204"/>
  <c r="I37" i="204"/>
  <c r="I36" i="204"/>
  <c r="I35" i="204"/>
  <c r="I34" i="204"/>
  <c r="I33" i="204"/>
  <c r="I32" i="204"/>
  <c r="I31" i="204"/>
  <c r="I30" i="204"/>
  <c r="I29" i="204"/>
  <c r="I28" i="204"/>
  <c r="I27" i="204"/>
  <c r="I26" i="204"/>
  <c r="I25" i="204"/>
  <c r="I24" i="204"/>
  <c r="I23" i="204"/>
  <c r="I22" i="204"/>
  <c r="I21" i="204"/>
  <c r="I20" i="204"/>
  <c r="I19" i="204"/>
  <c r="I18" i="204"/>
  <c r="I17" i="204"/>
  <c r="I16" i="204"/>
  <c r="I15" i="204"/>
  <c r="I14" i="204"/>
  <c r="I13" i="204"/>
  <c r="I12" i="204"/>
  <c r="I11" i="204"/>
  <c r="I10" i="204"/>
  <c r="I9" i="204"/>
  <c r="I8" i="204"/>
  <c r="I7" i="204"/>
  <c r="I6" i="204"/>
  <c r="I5" i="204"/>
  <c r="I119" i="204" l="1"/>
  <c r="H119" i="204"/>
  <c r="A6" i="204" l="1"/>
  <c r="A7" i="204"/>
  <c r="A8" i="204"/>
  <c r="A9" i="204"/>
  <c r="A10" i="204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</calcChain>
</file>

<file path=xl/sharedStrings.xml><?xml version="1.0" encoding="utf-8"?>
<sst xmlns="http://schemas.openxmlformats.org/spreadsheetml/2006/main" count="943" uniqueCount="568">
  <si>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</si>
  <si>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</si>
  <si>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</si>
  <si>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</si>
  <si>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</si>
  <si>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</si>
  <si>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</si>
  <si>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</si>
  <si>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</si>
  <si>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</si>
  <si>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</si>
  <si>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</si>
  <si>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</si>
  <si>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</si>
  <si>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</si>
  <si>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</si>
  <si>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</si>
  <si>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</si>
  <si>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</si>
  <si>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</si>
  <si>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</si>
  <si>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PJM154</t>
  </si>
  <si>
    <t>PJM048</t>
  </si>
  <si>
    <t>PJM086</t>
  </si>
  <si>
    <t>PJM012</t>
  </si>
  <si>
    <t>PJM022</t>
  </si>
  <si>
    <t>PJM006</t>
  </si>
  <si>
    <t>PJM085</t>
  </si>
  <si>
    <t>PJM066</t>
  </si>
  <si>
    <t>PJM112</t>
  </si>
  <si>
    <t>PJM001</t>
  </si>
  <si>
    <t>PJM093</t>
  </si>
  <si>
    <t>PJM115</t>
  </si>
  <si>
    <t>PJM107</t>
  </si>
  <si>
    <t>PJM082</t>
  </si>
  <si>
    <t>PJM104</t>
  </si>
  <si>
    <t>PJM040</t>
  </si>
  <si>
    <t>PJM090</t>
  </si>
  <si>
    <t>PJM106</t>
  </si>
  <si>
    <t>PJM045</t>
  </si>
  <si>
    <t>PJM050</t>
  </si>
  <si>
    <t>PJM103</t>
  </si>
  <si>
    <t>PJM094</t>
  </si>
  <si>
    <t>PJM089</t>
  </si>
  <si>
    <t>PJM067</t>
  </si>
  <si>
    <t>PJM083</t>
  </si>
  <si>
    <t>PJM036</t>
  </si>
  <si>
    <t>PJM035</t>
  </si>
  <si>
    <t>PJM102</t>
  </si>
  <si>
    <t>PJM025</t>
  </si>
  <si>
    <t>PJM047</t>
  </si>
  <si>
    <t>PJM031</t>
  </si>
  <si>
    <t>PJM110</t>
  </si>
  <si>
    <t>PJM007</t>
  </si>
  <si>
    <t>PJM072</t>
  </si>
  <si>
    <t>PJM152</t>
  </si>
  <si>
    <t>PJM019</t>
  </si>
  <si>
    <t>PJM043</t>
  </si>
  <si>
    <t>PJM049</t>
  </si>
  <si>
    <t>PJM064</t>
  </si>
  <si>
    <t>PJM063</t>
  </si>
  <si>
    <t>PJM153</t>
  </si>
  <si>
    <t>PJM037</t>
  </si>
  <si>
    <t>PJM062</t>
  </si>
  <si>
    <t>PJM113</t>
  </si>
  <si>
    <t>PJM108</t>
  </si>
  <si>
    <t>PJM057</t>
  </si>
  <si>
    <t>PJM009</t>
  </si>
  <si>
    <t>PJM038</t>
  </si>
  <si>
    <t>PJM020</t>
  </si>
  <si>
    <t>PJM014</t>
  </si>
  <si>
    <t>PJM061</t>
  </si>
  <si>
    <t>PJM032</t>
  </si>
  <si>
    <t>PJM080</t>
  </si>
  <si>
    <t>PJM084</t>
  </si>
  <si>
    <t>PJM010</t>
  </si>
  <si>
    <t>PJM003</t>
  </si>
  <si>
    <t>PJM008</t>
  </si>
  <si>
    <t>PJM013</t>
  </si>
  <si>
    <t>PJM071</t>
  </si>
  <si>
    <t>PJM004</t>
  </si>
  <si>
    <t>PJM011</t>
  </si>
  <si>
    <t>PJM091</t>
  </si>
  <si>
    <t>PJM017</t>
  </si>
  <si>
    <t>PJM018</t>
  </si>
  <si>
    <t>PJM099</t>
  </si>
  <si>
    <t>PJM030</t>
  </si>
  <si>
    <t>PJM087</t>
  </si>
  <si>
    <t>PJM070</t>
  </si>
  <si>
    <t>PJM078</t>
  </si>
  <si>
    <t>PJM026</t>
  </si>
  <si>
    <t>PJM039</t>
  </si>
  <si>
    <t>PJM024</t>
  </si>
  <si>
    <t>PJM105</t>
  </si>
  <si>
    <t>PJM079</t>
  </si>
  <si>
    <t>PJM028</t>
  </si>
  <si>
    <t>PJM027</t>
  </si>
  <si>
    <t>PJM023</t>
  </si>
  <si>
    <t>PJM056</t>
  </si>
  <si>
    <t>PJM044</t>
  </si>
  <si>
    <t>PJM033</t>
  </si>
  <si>
    <t>PJM041</t>
  </si>
  <si>
    <t>PJM059</t>
  </si>
  <si>
    <t>PJM058</t>
  </si>
  <si>
    <t>PJM069</t>
  </si>
  <si>
    <t>PJM092</t>
  </si>
  <si>
    <t>MMI</t>
  </si>
  <si>
    <t>16:31</t>
  </si>
  <si>
    <t>16:37</t>
  </si>
  <si>
    <t>17:34</t>
  </si>
  <si>
    <t>19:23</t>
  </si>
  <si>
    <t>19:37</t>
  </si>
  <si>
    <t>20:04</t>
  </si>
  <si>
    <t>21:18</t>
  </si>
  <si>
    <t>12:52</t>
  </si>
  <si>
    <t>12:54</t>
  </si>
  <si>
    <t>14:15</t>
  </si>
  <si>
    <t>14:31</t>
  </si>
  <si>
    <t>15:15</t>
  </si>
  <si>
    <t>15:37</t>
  </si>
  <si>
    <t>16:36</t>
  </si>
  <si>
    <t>16:51</t>
  </si>
  <si>
    <t>17:04</t>
  </si>
  <si>
    <t>17:05</t>
  </si>
  <si>
    <t>19:11</t>
  </si>
  <si>
    <t>19:42</t>
  </si>
  <si>
    <t>20:05</t>
  </si>
  <si>
    <t>21:29</t>
  </si>
  <si>
    <t>21:30</t>
  </si>
  <si>
    <t>21:35</t>
  </si>
  <si>
    <t>23:11</t>
  </si>
  <si>
    <t>02:10</t>
  </si>
  <si>
    <t>07:54</t>
  </si>
  <si>
    <t>PJM068</t>
  </si>
  <si>
    <t>TB02-03/06/26/00004</t>
  </si>
  <si>
    <t>TB02-02/06/26/00161</t>
  </si>
  <si>
    <t>TB02-02/06/26/00166</t>
  </si>
  <si>
    <t>TB02-02/06/26/00090</t>
  </si>
  <si>
    <t>TB02-02/06/26/00207</t>
  </si>
  <si>
    <t>TB02-02/06/26/00167</t>
  </si>
  <si>
    <t>TB02-02/06/26/00065</t>
  </si>
  <si>
    <t>TB02-02/06/26/00108</t>
  </si>
  <si>
    <t>TB02-02/06/26/00159</t>
  </si>
  <si>
    <t>TB02-02/06/26/00165</t>
  </si>
  <si>
    <t>TB02-02/06/26/00073</t>
  </si>
  <si>
    <t>TB02-02/06/26/00206</t>
  </si>
  <si>
    <t>TB02-02/06/26/00109</t>
  </si>
  <si>
    <t>TB02-02/06/26/00152</t>
  </si>
  <si>
    <t>PJM015</t>
  </si>
  <si>
    <t>TB02-02/06/26/00150</t>
  </si>
  <si>
    <t>PJM016</t>
  </si>
  <si>
    <t>TB02-02/06/26/00080</t>
  </si>
  <si>
    <t>TB02-03/06/26/00008</t>
  </si>
  <si>
    <t>TB02-02/06/26/00089</t>
  </si>
  <si>
    <t>TB02-02/06/26/00204</t>
  </si>
  <si>
    <t>TB02-02/06/26/00081</t>
  </si>
  <si>
    <t>TB02-03/06/26/00015</t>
  </si>
  <si>
    <t>TB02-02/06/26/00126</t>
  </si>
  <si>
    <t>TB02-03/06/26/00009</t>
  </si>
  <si>
    <t>TB02-02/06/26/00086</t>
  </si>
  <si>
    <t>TB02-03/06/26/00016</t>
  </si>
  <si>
    <t>TB02-02/06/26/00226</t>
  </si>
  <si>
    <t>TB02-02/06/26/00176</t>
  </si>
  <si>
    <t>TB02-03/06/26/00031</t>
  </si>
  <si>
    <t>TB02-02/06/26/00223</t>
  </si>
  <si>
    <t>TB02-02/06/26/00157</t>
  </si>
  <si>
    <t>TB02-02/06/26/00120</t>
  </si>
  <si>
    <t>TB02-02/06/26/00067</t>
  </si>
  <si>
    <t>TB02-02/06/26/00203</t>
  </si>
  <si>
    <t>TB02-02/06/26/00173</t>
  </si>
  <si>
    <t>PJM034</t>
  </si>
  <si>
    <t>TB02-02/06/26/00188</t>
  </si>
  <si>
    <t>TB02-02/06/26/00191</t>
  </si>
  <si>
    <t>TB02-02/06/26/00227</t>
  </si>
  <si>
    <t>TB02-02/06/26/00100</t>
  </si>
  <si>
    <t>TB02-02/06/26/00219</t>
  </si>
  <si>
    <t>TB02-02/06/26/00092</t>
  </si>
  <si>
    <t>TB02-03/06/26/00034</t>
  </si>
  <si>
    <t>TB02-02/06/26/00160</t>
  </si>
  <si>
    <t>TB02-02/06/26/00125</t>
  </si>
  <si>
    <t>TB02-03/06/26/00022</t>
  </si>
  <si>
    <t>TB02-02/06/26/00117</t>
  </si>
  <si>
    <t>PJM042</t>
  </si>
  <si>
    <t>TB02-02/06/26/00164</t>
  </si>
  <si>
    <t>TB02-02/06/26/00118</t>
  </si>
  <si>
    <t>TB02-02/06/26/00084</t>
  </si>
  <si>
    <t>TB02-03/06/26/00007</t>
  </si>
  <si>
    <t>TB02-02/06/26/00083</t>
  </si>
  <si>
    <t>PJM052</t>
  </si>
  <si>
    <t>TB02-02/06/26/00218</t>
  </si>
  <si>
    <t>PJM054</t>
  </si>
  <si>
    <t>TB02-03/06/26/00036</t>
  </si>
  <si>
    <t>PJM055</t>
  </si>
  <si>
    <t>TB02-03/06/26/00018</t>
  </si>
  <si>
    <t>TB02-02/06/26/00138</t>
  </si>
  <si>
    <t>TB02-02/06/26/00122</t>
  </si>
  <si>
    <t>TB02-02/06/26/00217</t>
  </si>
  <si>
    <t>TB02-02/06/26/00121</t>
  </si>
  <si>
    <t>PJM060</t>
  </si>
  <si>
    <t>TB02-02/06/26/00060</t>
  </si>
  <si>
    <t>TB02-02/06/26/00194</t>
  </si>
  <si>
    <t>TB02-02/06/26/00158</t>
  </si>
  <si>
    <t>TB02-03/06/26/00005</t>
  </si>
  <si>
    <t>TB02-02/06/26/00183</t>
  </si>
  <si>
    <t>TB02-02/06/26/00162</t>
  </si>
  <si>
    <t>TB02-02/06/26/00193</t>
  </si>
  <si>
    <t>TB02-02/06/26/00153</t>
  </si>
  <si>
    <t>TB02-03/06/26/00024</t>
  </si>
  <si>
    <t>TB02-02/06/26/00163</t>
  </si>
  <si>
    <t>TB02-03/06/26/00026</t>
  </si>
  <si>
    <t>TB02-03/06/26/00027</t>
  </si>
  <si>
    <t>TB02-02/06/26/00069</t>
  </si>
  <si>
    <t>TB02-02/06/26/00107</t>
  </si>
  <si>
    <t>PJM073</t>
  </si>
  <si>
    <t>TB02-02/06/26/00077</t>
  </si>
  <si>
    <t>TB02-02/06/26/00214</t>
  </si>
  <si>
    <t>TB02-02/06/26/00192</t>
  </si>
  <si>
    <t>TB02-02/06/26/00187</t>
  </si>
  <si>
    <t>TB02-03/06/26/00010</t>
  </si>
  <si>
    <t>TB02-02/06/26/00168</t>
  </si>
  <si>
    <t>TB02-02/06/26/00132</t>
  </si>
  <si>
    <t>TB02-02/06/26/00123</t>
  </si>
  <si>
    <t>TB02-03/06/26/00025</t>
  </si>
  <si>
    <t>TB02-02/06/26/00231</t>
  </si>
  <si>
    <t>TB02-02/06/26/00232</t>
  </si>
  <si>
    <t>TB02-02/06/26/00072</t>
  </si>
  <si>
    <t>TB02-02/06/26/00063</t>
  </si>
  <si>
    <t>TB02-02/06/26/00088</t>
  </si>
  <si>
    <t>PJM095</t>
  </si>
  <si>
    <t>TB02-02/06/26/00224</t>
  </si>
  <si>
    <t>TB02-02/06/26/00229</t>
  </si>
  <si>
    <t>TB02-03/06/26/00001</t>
  </si>
  <si>
    <t>TB02-02/06/26/00228</t>
  </si>
  <si>
    <t>TB02-02/06/26/00230</t>
  </si>
  <si>
    <t>TB02-02/06/26/00087</t>
  </si>
  <si>
    <t>TB02-02/06/26/00225</t>
  </si>
  <si>
    <t>TB02-02/06/26/00189</t>
  </si>
  <si>
    <t>TB02-02/06/26/00070</t>
  </si>
  <si>
    <t>TB02-02/06/26/00205</t>
  </si>
  <si>
    <t>TB02-02/06/26/00175</t>
  </si>
  <si>
    <t>TB02-02/06/26/00068</t>
  </si>
  <si>
    <t>TB02-02/06/26/00059</t>
  </si>
  <si>
    <t>PJM111</t>
  </si>
  <si>
    <t>TB02-02/06/26/00174</t>
  </si>
  <si>
    <t>TB02-02/06/26/00130</t>
  </si>
  <si>
    <t>TB02-02/06/26/00129</t>
  </si>
  <si>
    <t>TB02-02/06/26/00208</t>
  </si>
  <si>
    <t>TB02-02/06/26/00111</t>
  </si>
  <si>
    <t>TB02-02/06/26/00095</t>
  </si>
  <si>
    <t>TB02-03/06/26/00003</t>
  </si>
  <si>
    <t>TB02-02/06/26/00096</t>
  </si>
  <si>
    <t>12:27</t>
  </si>
  <si>
    <t>12:31</t>
  </si>
  <si>
    <t>13:11</t>
  </si>
  <si>
    <t>13:42</t>
  </si>
  <si>
    <t>14:04</t>
  </si>
  <si>
    <t>14:05</t>
  </si>
  <si>
    <t>14:06</t>
  </si>
  <si>
    <t>14:19</t>
  </si>
  <si>
    <t>14:36</t>
  </si>
  <si>
    <t>14:42</t>
  </si>
  <si>
    <t>14:57</t>
  </si>
  <si>
    <t>14:58</t>
  </si>
  <si>
    <t>14:59</t>
  </si>
  <si>
    <t>15:00</t>
  </si>
  <si>
    <t>15:01</t>
  </si>
  <si>
    <t>15:04</t>
  </si>
  <si>
    <t>15:05</t>
  </si>
  <si>
    <t>15:09</t>
  </si>
  <si>
    <t>15:12</t>
  </si>
  <si>
    <t>15:21</t>
  </si>
  <si>
    <t>15:41</t>
  </si>
  <si>
    <t>15:53</t>
  </si>
  <si>
    <t>15:57</t>
  </si>
  <si>
    <t>16:01</t>
  </si>
  <si>
    <t>16:21</t>
  </si>
  <si>
    <t>16:42</t>
  </si>
  <si>
    <t>16:43</t>
  </si>
  <si>
    <t>16:47</t>
  </si>
  <si>
    <t>16:48</t>
  </si>
  <si>
    <t>16:56</t>
  </si>
  <si>
    <t>16:59</t>
  </si>
  <si>
    <t>17:00</t>
  </si>
  <si>
    <t>17:02</t>
  </si>
  <si>
    <t>17:12</t>
  </si>
  <si>
    <t>17:32</t>
  </si>
  <si>
    <t>17:35</t>
  </si>
  <si>
    <t>17:41</t>
  </si>
  <si>
    <t>17:42</t>
  </si>
  <si>
    <t>19:08</t>
  </si>
  <si>
    <t>19:09</t>
  </si>
  <si>
    <t>19:10</t>
  </si>
  <si>
    <t>19:21</t>
  </si>
  <si>
    <t>19:22</t>
  </si>
  <si>
    <t>19:24</t>
  </si>
  <si>
    <t>19:25</t>
  </si>
  <si>
    <t>19:36</t>
  </si>
  <si>
    <t>19:38</t>
  </si>
  <si>
    <t>19:39</t>
  </si>
  <si>
    <t>19:40</t>
  </si>
  <si>
    <t>19:54</t>
  </si>
  <si>
    <t>19:59</t>
  </si>
  <si>
    <t>20:00</t>
  </si>
  <si>
    <t>20:02</t>
  </si>
  <si>
    <t>20:03</t>
  </si>
  <si>
    <t>21:23</t>
  </si>
  <si>
    <t>21:24</t>
  </si>
  <si>
    <t>21:34</t>
  </si>
  <si>
    <t>21:55</t>
  </si>
  <si>
    <t>22:17</t>
  </si>
  <si>
    <t>22:36</t>
  </si>
  <si>
    <t>23:14</t>
  </si>
  <si>
    <t>23:15</t>
  </si>
  <si>
    <t>23:16</t>
  </si>
  <si>
    <t>23:17</t>
  </si>
  <si>
    <t>23:21</t>
  </si>
  <si>
    <t>23:22</t>
  </si>
  <si>
    <t>23:23</t>
  </si>
  <si>
    <t>23:24</t>
  </si>
  <si>
    <t>23:25</t>
  </si>
  <si>
    <t>00:17</t>
  </si>
  <si>
    <t>00:42</t>
  </si>
  <si>
    <t>00:43</t>
  </si>
  <si>
    <t>00:46</t>
  </si>
  <si>
    <t>01:09</t>
  </si>
  <si>
    <t>01:18</t>
  </si>
  <si>
    <t>01:20</t>
  </si>
  <si>
    <t>01:26</t>
  </si>
  <si>
    <t>01:45</t>
  </si>
  <si>
    <t>01:49</t>
  </si>
  <si>
    <t>02:57</t>
  </si>
  <si>
    <t>03:13</t>
  </si>
  <si>
    <t>03:14</t>
  </si>
  <si>
    <t>03:17</t>
  </si>
  <si>
    <t>03:38</t>
  </si>
  <si>
    <t>03:52</t>
  </si>
  <si>
    <t>04:28</t>
  </si>
  <si>
    <t>08:04</t>
  </si>
  <si>
    <t>TB02-03/06/26/00039</t>
  </si>
  <si>
    <t>TB02-03/06/26/00041</t>
  </si>
  <si>
    <t>TB02-03/06/26/00042</t>
  </si>
  <si>
    <t>PJM081</t>
  </si>
  <si>
    <t>PJM0101</t>
  </si>
  <si>
    <t>TB02-03/06/26/00074</t>
  </si>
  <si>
    <t>TB02-03/06/26/00057</t>
  </si>
  <si>
    <t>TB02-03/06/26/00055</t>
  </si>
  <si>
    <t>TB02-03/06/26/00046</t>
  </si>
  <si>
    <t>TB02-03/06/26/00045</t>
  </si>
  <si>
    <t>TB02-03/06/26/00049</t>
  </si>
  <si>
    <t>TB02-03/06/26/00051</t>
  </si>
  <si>
    <t>TB02-03/06/26/00054</t>
  </si>
  <si>
    <t>TB02-03/06/26/00058</t>
  </si>
  <si>
    <t>TB02-03/06/26/00060</t>
  </si>
  <si>
    <t>TB02-03/06/26/00061</t>
  </si>
  <si>
    <t>TB02-03/06/26/00063</t>
  </si>
  <si>
    <t>PJM053</t>
  </si>
  <si>
    <t>TB02-03/06/26/00064</t>
  </si>
  <si>
    <t>PJM151</t>
  </si>
  <si>
    <t>TB02-03/06/26/00066</t>
  </si>
  <si>
    <t>TB02-03/06/26/00072</t>
  </si>
  <si>
    <t>TB02-03/06/26/00073</t>
  </si>
  <si>
    <t>TB02-03/06/26/00078</t>
  </si>
  <si>
    <t>TB02-03/06/26/00079</t>
  </si>
  <si>
    <t>TB02-03/06/26/00080</t>
  </si>
  <si>
    <t>PJM147</t>
  </si>
  <si>
    <t>TB02-03/06/26/00081</t>
  </si>
  <si>
    <t>TB02-03/06/26/00082</t>
  </si>
  <si>
    <t>TB02-03/06/26/00087</t>
  </si>
  <si>
    <t>TB02-03/06/26/00089</t>
  </si>
  <si>
    <t>TB02-03/06/26/00091</t>
  </si>
  <si>
    <t>TB02-03/06/26/00092</t>
  </si>
  <si>
    <t>TB02-03/06/26/00093</t>
  </si>
  <si>
    <t>TB02-03/06/26/00098</t>
  </si>
  <si>
    <t>TB02-03/06/26/00099</t>
  </si>
  <si>
    <t>PJM140</t>
  </si>
  <si>
    <t>TB02-03/06/26/00100</t>
  </si>
  <si>
    <t>PJM141</t>
  </si>
  <si>
    <t>TB02-03/06/26/00101</t>
  </si>
  <si>
    <t>PJM137</t>
  </si>
  <si>
    <t>TB02-03/06/26/00102</t>
  </si>
  <si>
    <t>PJM146</t>
  </si>
  <si>
    <t>TB02-03/06/26/00103</t>
  </si>
  <si>
    <t>PJM136</t>
  </si>
  <si>
    <t>TB02-03/06/26/00104</t>
  </si>
  <si>
    <t>PJM143</t>
  </si>
  <si>
    <t>TB02-03/06/26/00105</t>
  </si>
  <si>
    <t>TB02-03/06/26/00109</t>
  </si>
  <si>
    <t>TB02-03/06/26/00110</t>
  </si>
  <si>
    <t>PJM098</t>
  </si>
  <si>
    <t>TB02-03/06/26/00113</t>
  </si>
  <si>
    <t>PJM142</t>
  </si>
  <si>
    <t>TB02-03/06/26/00117</t>
  </si>
  <si>
    <t>TB02-03/06/26/00121</t>
  </si>
  <si>
    <t>TB02-03/06/26/00122</t>
  </si>
  <si>
    <t>TB02-03/06/26/00123</t>
  </si>
  <si>
    <t>TB02-03/06/26/00125</t>
  </si>
  <si>
    <t>TB02-03/06/26/00126</t>
  </si>
  <si>
    <t>PJM138</t>
  </si>
  <si>
    <t>TB02-03/06/26/00127</t>
  </si>
  <si>
    <t>TB02-03/06/26/00128</t>
  </si>
  <si>
    <t>PJM051</t>
  </si>
  <si>
    <t>TB02-03/06/26/00133</t>
  </si>
  <si>
    <t>TB02-03/06/26/00134</t>
  </si>
  <si>
    <t>TB02-03/06/26/00138</t>
  </si>
  <si>
    <t>PJM150</t>
  </si>
  <si>
    <t>TB02-03/06/26/00139</t>
  </si>
  <si>
    <t>TB02-03/06/26/00140</t>
  </si>
  <si>
    <t>TB02-03/06/26/00144</t>
  </si>
  <si>
    <t>TB02-03/06/26/00145</t>
  </si>
  <si>
    <t>TB02-03/06/26/00146</t>
  </si>
  <si>
    <t>TB02-03/06/26/00147</t>
  </si>
  <si>
    <t>TB02-03/06/26/00149</t>
  </si>
  <si>
    <t>TB02-03/06/26/00150</t>
  </si>
  <si>
    <t>TB02-03/06/26/00152</t>
  </si>
  <si>
    <t>TB02-03/06/26/00153</t>
  </si>
  <si>
    <t>TB02-03/06/26/00159</t>
  </si>
  <si>
    <t>TB02-03/06/26/00161</t>
  </si>
  <si>
    <t>TB02-03/06/26/00162</t>
  </si>
  <si>
    <t>TB02-03/06/26/00163</t>
  </si>
  <si>
    <t>TB02-03/06/26/00164</t>
  </si>
  <si>
    <t>TB02-03/06/26/00166</t>
  </si>
  <si>
    <t>TB02-03/06/26/00167</t>
  </si>
  <si>
    <t>TB02-03/06/26/00168</t>
  </si>
  <si>
    <t>TB02-03/06/26/00169</t>
  </si>
  <si>
    <t>TB02-03/06/26/00170</t>
  </si>
  <si>
    <t>TB02-03/06/26/00171</t>
  </si>
  <si>
    <t>TB02-03/06/26/00173</t>
  </si>
  <si>
    <t>TB02-03/06/26/00174</t>
  </si>
  <si>
    <t>TB02-03/06/26/00175</t>
  </si>
  <si>
    <t>TB02-03/06/26/00176</t>
  </si>
  <si>
    <t>TB02-03/06/26/00177</t>
  </si>
  <si>
    <t>TB02-03/06/26/00178</t>
  </si>
  <si>
    <t>TB02-03/06/26/00182</t>
  </si>
  <si>
    <t>TB02-03/06/26/00188</t>
  </si>
  <si>
    <t>TB02-03/06/26/00189</t>
  </si>
  <si>
    <t>TB02-03/06/26/00190</t>
  </si>
  <si>
    <t>TB02-03/06/26/00197</t>
  </si>
  <si>
    <t>PJM029</t>
  </si>
  <si>
    <t>TB02-03/06/26/00198</t>
  </si>
  <si>
    <t>TB02-03/06/26/00199</t>
  </si>
  <si>
    <t>PJM076</t>
  </si>
  <si>
    <t>TB02-03/06/26/00200</t>
  </si>
  <si>
    <t>TB02-03/06/26/00202</t>
  </si>
  <si>
    <t>TB02-03/06/26/00203</t>
  </si>
  <si>
    <t>TB02-03/06/26/00204</t>
  </si>
  <si>
    <t>TB02-03/06/26/00215</t>
  </si>
  <si>
    <t>TB02-03/06/26/00217</t>
  </si>
  <si>
    <t>PJM122</t>
  </si>
  <si>
    <t>TB02-03/06/26/00219</t>
  </si>
  <si>
    <t>TB02-03/06/26/00220</t>
  </si>
  <si>
    <t>TB02-03/06/26/00222</t>
  </si>
  <si>
    <t>TB02-03/06/26/00223</t>
  </si>
  <si>
    <t>TB02-03/06/26/00227</t>
  </si>
  <si>
    <t>PJM077</t>
  </si>
  <si>
    <t>TB02-03/06/26/00228</t>
  </si>
  <si>
    <t>PJM097</t>
  </si>
  <si>
    <t>TB02-03/06/26/00229</t>
  </si>
  <si>
    <t>PJM119</t>
  </si>
  <si>
    <t>TB02-03/06/26/00230</t>
  </si>
  <si>
    <t>TB02-03/06/26/00231</t>
  </si>
  <si>
    <t>TB02-03/06/26/00232</t>
  </si>
  <si>
    <t>TB02-03/06/26/00233</t>
  </si>
  <si>
    <t>TB02-03/06/26/00234</t>
  </si>
  <si>
    <t>TB02-03/06/26/00235</t>
  </si>
  <si>
    <t>TB02-04/06/26/00006</t>
  </si>
  <si>
    <t>TB02-04/06/26/00007</t>
  </si>
  <si>
    <t>PJM116</t>
  </si>
  <si>
    <t>TB02-04/06/26/00008</t>
  </si>
  <si>
    <t>TB02-04/06/26/00009</t>
  </si>
  <si>
    <t>PJM096</t>
  </si>
  <si>
    <t>TB02-04/06/26/00014</t>
  </si>
  <si>
    <t>TB02-04/06/26/00015</t>
  </si>
  <si>
    <t>TB02-04/06/26/00016</t>
  </si>
  <si>
    <t>TB02-04/06/26/00017</t>
  </si>
  <si>
    <t>TB02-04/06/26/00021</t>
  </si>
  <si>
    <t>TB02-04/06/26/00022</t>
  </si>
  <si>
    <t>TB02-04/06/26/00026</t>
  </si>
  <si>
    <t>TB02-04/06/26/00028</t>
  </si>
  <si>
    <t>TB02-04/06/26/00030</t>
  </si>
  <si>
    <t>TB02-04/06/26/00032</t>
  </si>
  <si>
    <t>TB02-04/06/26/00033</t>
  </si>
  <si>
    <t>11:25</t>
  </si>
  <si>
    <t>11:54</t>
  </si>
  <si>
    <t>12:07</t>
  </si>
  <si>
    <t>12:22</t>
  </si>
  <si>
    <t>12:40</t>
  </si>
  <si>
    <t>12:48</t>
  </si>
  <si>
    <t>13:00</t>
  </si>
  <si>
    <t>13:26</t>
  </si>
  <si>
    <t>13:33</t>
  </si>
  <si>
    <t>13:57</t>
  </si>
  <si>
    <t>14:03</t>
  </si>
  <si>
    <t>14:08</t>
  </si>
  <si>
    <t>14:13</t>
  </si>
  <si>
    <t>14:29</t>
  </si>
  <si>
    <t>14:38</t>
  </si>
  <si>
    <t>14:47</t>
  </si>
  <si>
    <t>14:48</t>
  </si>
  <si>
    <t>15:08</t>
  </si>
  <si>
    <t>15:11</t>
  </si>
  <si>
    <t>15:17</t>
  </si>
  <si>
    <t>15:19</t>
  </si>
  <si>
    <t>15:23</t>
  </si>
  <si>
    <t>15:33</t>
  </si>
  <si>
    <t>15:34</t>
  </si>
  <si>
    <t>15:48</t>
  </si>
  <si>
    <t>16:10</t>
  </si>
  <si>
    <t>16:11</t>
  </si>
  <si>
    <t>16:14</t>
  </si>
  <si>
    <t>16:19</t>
  </si>
  <si>
    <t>16:20</t>
  </si>
  <si>
    <t>16:22</t>
  </si>
  <si>
    <t>16:46</t>
  </si>
  <si>
    <t>17:08</t>
  </si>
  <si>
    <t>17:09</t>
  </si>
  <si>
    <t>17:13</t>
  </si>
  <si>
    <t>17:17</t>
  </si>
  <si>
    <t>17:25</t>
  </si>
  <si>
    <t>19:05</t>
  </si>
  <si>
    <t>19:07</t>
  </si>
  <si>
    <t>19:27</t>
  </si>
  <si>
    <t>19:28</t>
  </si>
  <si>
    <t>19:31</t>
  </si>
  <si>
    <t>19:32</t>
  </si>
  <si>
    <t>19:33</t>
  </si>
  <si>
    <t>19:34</t>
  </si>
  <si>
    <t>19:43</t>
  </si>
  <si>
    <t>19:44</t>
  </si>
  <si>
    <t>19:45</t>
  </si>
  <si>
    <t>19:46</t>
  </si>
  <si>
    <t>20:08</t>
  </si>
  <si>
    <t>20:09</t>
  </si>
  <si>
    <t>20:10</t>
  </si>
  <si>
    <t>20:25</t>
  </si>
  <si>
    <t>20:26</t>
  </si>
  <si>
    <t>20:27</t>
  </si>
  <si>
    <t>20:29</t>
  </si>
  <si>
    <t>20:43</t>
  </si>
  <si>
    <t>20:44</t>
  </si>
  <si>
    <t>20:45</t>
  </si>
  <si>
    <t>22:23</t>
  </si>
  <si>
    <t>22:24</t>
  </si>
  <si>
    <t>22:50</t>
  </si>
  <si>
    <t>23:01</t>
  </si>
  <si>
    <t>23:26</t>
  </si>
  <si>
    <t>23:27</t>
  </si>
  <si>
    <t>23:28</t>
  </si>
  <si>
    <t>23:29</t>
  </si>
  <si>
    <t>23:36</t>
  </si>
  <si>
    <t>23:37</t>
  </si>
  <si>
    <t>23:38</t>
  </si>
  <si>
    <t>23:39</t>
  </si>
  <si>
    <t>23:45</t>
  </si>
  <si>
    <t>00:28</t>
  </si>
  <si>
    <t>00:29</t>
  </si>
  <si>
    <t>00:30</t>
  </si>
  <si>
    <t>01:27</t>
  </si>
  <si>
    <t>01:28</t>
  </si>
  <si>
    <t>01:38</t>
  </si>
  <si>
    <t>01:52</t>
  </si>
  <si>
    <t>02:04</t>
  </si>
  <si>
    <t>02:05</t>
  </si>
  <si>
    <t>02:29</t>
  </si>
  <si>
    <t>03:11</t>
  </si>
  <si>
    <t>04:16</t>
  </si>
  <si>
    <t>07:50</t>
  </si>
  <si>
    <t>TB02-04/06/26/00049</t>
  </si>
  <si>
    <t>TB02-04/06/26/00050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</si>
</sst>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(* #,##0.00_);_(* \(#,##0.00\);_(* &quot;-&quot;??_);_(@_)"/>
    <numFmt numFmtId="166" formatCode="[$-F400]h:mm:ss\ AM/PM"/>
    <numFmt numFmtId="169" formatCode="#,##0.000"/>
  </numFmts>
  <fonts count="1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5" fontId="7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</cellStyleXfs>
  <cellXfs count="46">
    <xf numFmtId="0" fontId="0" fillId="0" borderId="0" xfId="0"/>
    <xf numFmtId="0" fontId="1" fillId="2" borderId="0" xfId="2" applyFill="1"/>
    <xf numFmtId="0" fontId="1" fillId="2" borderId="1" xfId="2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1" fillId="2" borderId="0" xfId="2" applyFill="1" applyAlignment="1">
      <alignment horizontal="center" vertical="center"/>
    </xf>
    <xf numFmtId="0" fontId="4" fillId="2" borderId="0" xfId="2" applyFont="1" applyFill="1" applyAlignment="1">
      <alignment vertical="center"/>
    </xf>
    <xf numFmtId="0" fontId="4" fillId="2" borderId="0" xfId="2" applyFont="1" applyFill="1"/>
    <xf numFmtId="3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10" fillId="2" borderId="2" xfId="2" applyFont="1" applyFill="1" applyBorder="1" applyAlignment="1">
      <alignment horizontal="left" vertical="center"/>
    </xf>
    <xf numFmtId="0" fontId="11" fillId="2" borderId="3" xfId="2" applyFont="1" applyFill="1" applyBorder="1" applyAlignment="1">
      <alignment horizontal="left" vertical="center"/>
    </xf>
    <xf numFmtId="0" fontId="11" fillId="2" borderId="3" xfId="2" applyFont="1" applyFill="1" applyBorder="1" applyAlignment="1">
      <alignment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left" vertical="center"/>
    </xf>
    <xf numFmtId="169" fontId="3" fillId="3" borderId="1" xfId="2" applyNumberFormat="1" applyFont="1" applyFill="1" applyBorder="1" applyAlignment="1">
      <alignment horizontal="center" vertical="center"/>
    </xf>
    <xf numFmtId="0" fontId="1" fillId="2" borderId="0" xfId="2" applyFill="1" applyAlignment="1">
      <alignment horizontal="center"/>
    </xf>
    <xf numFmtId="0" fontId="3" fillId="2" borderId="0" xfId="2" applyFont="1" applyFill="1" applyAlignment="1">
      <alignment horizontal="center" vertical="center"/>
    </xf>
    <xf numFmtId="3" fontId="3" fillId="2" borderId="0" xfId="2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66" fontId="9" fillId="2" borderId="0" xfId="0" applyNumberFormat="1" applyFont="1" applyFill="1" applyAlignment="1">
      <alignment horizontal="center" vertical="center"/>
    </xf>
    <xf numFmtId="3" fontId="8" fillId="2" borderId="8" xfId="0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12" fillId="2" borderId="4" xfId="2" applyFont="1" applyFill="1" applyBorder="1" applyAlignment="1">
      <alignment horizontal="center" vertical="center"/>
    </xf>
    <xf numFmtId="14" fontId="3" fillId="2" borderId="5" xfId="2" applyNumberFormat="1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20" fontId="1" fillId="2" borderId="1" xfId="2" applyNumberFormat="1" applyFill="1" applyBorder="1" applyAlignment="1">
      <alignment horizontal="center" vertical="center"/>
    </xf>
    <xf numFmtId="20" fontId="1" fillId="2" borderId="0" xfId="2" applyNumberForma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3" fillId="2" borderId="9" xfId="2" applyFont="1" applyFill="1" applyBorder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10" xfId="2" applyFont="1" applyFill="1" applyBorder="1" applyAlignment="1">
      <alignment horizontal="left" vertical="center"/>
    </xf>
  </cellXfs>
  <cellStyles count="5">
    <cellStyle name="Comma 2" xfId="1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3" xr:uid="{00000000-0005-0000-0000-000005000000}"/>
  </cellStyles>
  <dxfs count="150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>
    <tabColor rgb="FFFF0000"/>
  </sheetPr>
  <dimension ref="A1:I169"/>
  <sheetViews>
    <sheetView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6" width="9.140625" style="1"/>
    <col min="227" max="227" width="0.85546875" style="1" customWidth="1"/>
    <col min="228" max="228" width="3.42578125" style="1" customWidth="1"/>
    <col min="229" max="229" width="9.5703125" style="1" bestFit="1" customWidth="1"/>
    <col min="230" max="230" width="9.140625" style="1"/>
    <col min="231" max="231" width="8.7109375" style="1" bestFit="1" customWidth="1"/>
    <col min="232" max="16384" width="9.140625" style="1"/>
  </cols>
  <sheetData>
    <row r="1" spans="1:9" ht="23.25" x14ac:dyDescent="0.2">
      <c r="A1" s="14" t="s">
        <v>19</v>
      </c>
      <c r="B1" s="15"/>
      <c r="C1" s="16"/>
      <c r="D1" s="16"/>
      <c r="E1" s="16"/>
      <c r="F1" s="16"/>
      <c r="G1" s="16"/>
      <c r="H1" s="16"/>
      <c r="I1" s="32" t="s">
        <v>12</v>
      </c>
    </row>
    <row r="2" spans="1:9" ht="16.5" customHeight="1" x14ac:dyDescent="0.2">
      <c r="A2" s="43" t="s">
        <v>18</v>
      </c>
      <c r="B2" s="44"/>
      <c r="C2" s="44"/>
      <c r="D2" s="44"/>
      <c r="E2" s="44"/>
      <c r="F2" s="44"/>
      <c r="G2" s="44"/>
      <c r="H2" s="44"/>
      <c r="I2" s="45"/>
    </row>
    <row r="3" spans="1:9" ht="16.5" customHeight="1" x14ac:dyDescent="0.2">
      <c r="A3" s="19" t="s">
        <v>15</v>
      </c>
      <c r="B3" s="33">
        <v>46175</v>
      </c>
      <c r="C3" s="17"/>
      <c r="D3" s="17"/>
      <c r="E3" s="17"/>
      <c r="F3" s="17"/>
      <c r="G3" s="17"/>
      <c r="H3" s="17"/>
      <c r="I3" s="18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241</v>
      </c>
      <c r="C5" s="11" t="s">
        <v>242</v>
      </c>
      <c r="D5" s="12">
        <v>46175</v>
      </c>
      <c r="E5" s="13" t="s">
        <v>251</v>
      </c>
      <c r="F5" s="13" t="s">
        <v>106</v>
      </c>
      <c r="G5" s="10">
        <v>49300</v>
      </c>
      <c r="H5" s="10">
        <v>17170</v>
      </c>
      <c r="I5" s="10">
        <f t="shared" ref="I5:I36" si="0">G5-H5</f>
        <v>32130</v>
      </c>
    </row>
    <row r="6" spans="1:9" s="7" customFormat="1" ht="15" customHeight="1" x14ac:dyDescent="0.25">
      <c r="A6" s="2">
        <f t="shared" ref="A6:A37" si="1">A5+1</f>
        <v>2</v>
      </c>
      <c r="B6" s="10" t="s">
        <v>199</v>
      </c>
      <c r="C6" s="11" t="s">
        <v>71</v>
      </c>
      <c r="D6" s="12">
        <v>46175</v>
      </c>
      <c r="E6" s="13" t="s">
        <v>252</v>
      </c>
      <c r="F6" s="13" t="s">
        <v>106</v>
      </c>
      <c r="G6" s="10">
        <v>49790</v>
      </c>
      <c r="H6" s="10">
        <v>15680</v>
      </c>
      <c r="I6" s="10">
        <f t="shared" si="0"/>
        <v>34110</v>
      </c>
    </row>
    <row r="7" spans="1:9" s="7" customFormat="1" ht="15" customHeight="1" x14ac:dyDescent="0.25">
      <c r="A7" s="2">
        <f t="shared" si="1"/>
        <v>3</v>
      </c>
      <c r="B7" s="10" t="s">
        <v>226</v>
      </c>
      <c r="C7" s="11" t="s">
        <v>42</v>
      </c>
      <c r="D7" s="12">
        <v>46175</v>
      </c>
      <c r="E7" s="13" t="s">
        <v>253</v>
      </c>
      <c r="F7" s="13" t="s">
        <v>106</v>
      </c>
      <c r="G7" s="10">
        <v>47160</v>
      </c>
      <c r="H7" s="10">
        <v>14420</v>
      </c>
      <c r="I7" s="10">
        <f t="shared" si="0"/>
        <v>32740</v>
      </c>
    </row>
    <row r="8" spans="1:9" s="7" customFormat="1" ht="15" customHeight="1" x14ac:dyDescent="0.25">
      <c r="A8" s="2">
        <f t="shared" si="1"/>
        <v>4</v>
      </c>
      <c r="B8" s="10" t="s">
        <v>140</v>
      </c>
      <c r="C8" s="11" t="s">
        <v>67</v>
      </c>
      <c r="D8" s="12">
        <v>46175</v>
      </c>
      <c r="E8" s="13" t="s">
        <v>254</v>
      </c>
      <c r="F8" s="13" t="s">
        <v>106</v>
      </c>
      <c r="G8" s="10">
        <v>48140</v>
      </c>
      <c r="H8" s="10">
        <v>15020</v>
      </c>
      <c r="I8" s="10">
        <f t="shared" si="0"/>
        <v>33120</v>
      </c>
    </row>
    <row r="9" spans="1:9" s="7" customFormat="1" ht="15" customHeight="1" x14ac:dyDescent="0.25">
      <c r="A9" s="2">
        <f t="shared" si="1"/>
        <v>5</v>
      </c>
      <c r="B9" s="10" t="s">
        <v>167</v>
      </c>
      <c r="C9" s="11" t="s">
        <v>51</v>
      </c>
      <c r="D9" s="12">
        <v>46175</v>
      </c>
      <c r="E9" s="13" t="s">
        <v>255</v>
      </c>
      <c r="F9" s="13" t="s">
        <v>106</v>
      </c>
      <c r="G9" s="10">
        <v>47020</v>
      </c>
      <c r="H9" s="10">
        <v>15140</v>
      </c>
      <c r="I9" s="10">
        <f t="shared" si="0"/>
        <v>31880</v>
      </c>
    </row>
    <row r="10" spans="1:9" s="7" customFormat="1" ht="15" customHeight="1" x14ac:dyDescent="0.25">
      <c r="A10" s="2">
        <f t="shared" si="1"/>
        <v>6</v>
      </c>
      <c r="B10" s="10" t="s">
        <v>240</v>
      </c>
      <c r="C10" s="11" t="s">
        <v>52</v>
      </c>
      <c r="D10" s="12">
        <v>46175</v>
      </c>
      <c r="E10" s="13" t="s">
        <v>256</v>
      </c>
      <c r="F10" s="13" t="s">
        <v>106</v>
      </c>
      <c r="G10" s="10">
        <v>47860</v>
      </c>
      <c r="H10" s="10">
        <v>17910</v>
      </c>
      <c r="I10" s="10">
        <f t="shared" si="0"/>
        <v>29950</v>
      </c>
    </row>
    <row r="11" spans="1:9" s="7" customFormat="1" ht="15" customHeight="1" x14ac:dyDescent="0.25">
      <c r="A11" s="2">
        <f t="shared" si="1"/>
        <v>7</v>
      </c>
      <c r="B11" s="10" t="s">
        <v>211</v>
      </c>
      <c r="C11" s="11" t="s">
        <v>54</v>
      </c>
      <c r="D11" s="12">
        <v>46175</v>
      </c>
      <c r="E11" s="13" t="s">
        <v>257</v>
      </c>
      <c r="F11" s="13" t="s">
        <v>106</v>
      </c>
      <c r="G11" s="10">
        <v>47870</v>
      </c>
      <c r="H11" s="10">
        <v>15110</v>
      </c>
      <c r="I11" s="10">
        <f t="shared" si="0"/>
        <v>32760</v>
      </c>
    </row>
    <row r="12" spans="1:9" s="7" customFormat="1" ht="15" customHeight="1" x14ac:dyDescent="0.25">
      <c r="A12" s="2">
        <f t="shared" si="1"/>
        <v>8</v>
      </c>
      <c r="B12" s="10" t="s">
        <v>237</v>
      </c>
      <c r="C12" s="11" t="s">
        <v>33</v>
      </c>
      <c r="D12" s="12">
        <v>46175</v>
      </c>
      <c r="E12" s="13" t="s">
        <v>116</v>
      </c>
      <c r="F12" s="13" t="s">
        <v>106</v>
      </c>
      <c r="G12" s="10">
        <v>51930</v>
      </c>
      <c r="H12" s="10">
        <v>18050</v>
      </c>
      <c r="I12" s="10">
        <f t="shared" si="0"/>
        <v>33880</v>
      </c>
    </row>
    <row r="13" spans="1:9" s="7" customFormat="1" ht="15" customHeight="1" x14ac:dyDescent="0.25">
      <c r="A13" s="2">
        <f t="shared" si="1"/>
        <v>9</v>
      </c>
      <c r="B13" s="10" t="s">
        <v>225</v>
      </c>
      <c r="C13" s="11" t="s">
        <v>31</v>
      </c>
      <c r="D13" s="12">
        <v>46175</v>
      </c>
      <c r="E13" s="13" t="s">
        <v>258</v>
      </c>
      <c r="F13" s="13" t="s">
        <v>106</v>
      </c>
      <c r="G13" s="10">
        <v>49990</v>
      </c>
      <c r="H13" s="10">
        <v>15650</v>
      </c>
      <c r="I13" s="10">
        <f t="shared" si="0"/>
        <v>34340</v>
      </c>
    </row>
    <row r="14" spans="1:9" s="7" customFormat="1" ht="15" customHeight="1" x14ac:dyDescent="0.25">
      <c r="A14" s="2">
        <f t="shared" si="1"/>
        <v>10</v>
      </c>
      <c r="B14" s="10" t="s">
        <v>144</v>
      </c>
      <c r="C14" s="11" t="s">
        <v>78</v>
      </c>
      <c r="D14" s="12">
        <v>46175</v>
      </c>
      <c r="E14" s="13" t="s">
        <v>258</v>
      </c>
      <c r="F14" s="13" t="s">
        <v>106</v>
      </c>
      <c r="G14" s="10">
        <v>44870</v>
      </c>
      <c r="H14" s="10">
        <v>13400</v>
      </c>
      <c r="I14" s="10">
        <f t="shared" si="0"/>
        <v>31470</v>
      </c>
    </row>
    <row r="15" spans="1:9" s="7" customFormat="1" ht="15" customHeight="1" x14ac:dyDescent="0.25">
      <c r="A15" s="2">
        <f t="shared" si="1"/>
        <v>11</v>
      </c>
      <c r="B15" s="10" t="s">
        <v>214</v>
      </c>
      <c r="C15" s="11" t="s">
        <v>89</v>
      </c>
      <c r="D15" s="12">
        <v>46175</v>
      </c>
      <c r="E15" s="13" t="s">
        <v>117</v>
      </c>
      <c r="F15" s="13" t="s">
        <v>106</v>
      </c>
      <c r="G15" s="10">
        <v>48310</v>
      </c>
      <c r="H15" s="10">
        <v>15000</v>
      </c>
      <c r="I15" s="10">
        <f t="shared" si="0"/>
        <v>33310</v>
      </c>
    </row>
    <row r="16" spans="1:9" s="7" customFormat="1" ht="15" customHeight="1" x14ac:dyDescent="0.25">
      <c r="A16" s="2">
        <f t="shared" si="1"/>
        <v>12</v>
      </c>
      <c r="B16" s="10" t="s">
        <v>151</v>
      </c>
      <c r="C16" s="11" t="s">
        <v>83</v>
      </c>
      <c r="D16" s="12">
        <v>46175</v>
      </c>
      <c r="E16" s="13" t="s">
        <v>259</v>
      </c>
      <c r="F16" s="13" t="s">
        <v>106</v>
      </c>
      <c r="G16" s="10">
        <v>46630</v>
      </c>
      <c r="H16" s="10">
        <v>15200</v>
      </c>
      <c r="I16" s="10">
        <f t="shared" si="0"/>
        <v>31430</v>
      </c>
    </row>
    <row r="17" spans="1:9" s="7" customFormat="1" ht="15" customHeight="1" x14ac:dyDescent="0.25">
      <c r="A17" s="2">
        <f t="shared" si="1"/>
        <v>13</v>
      </c>
      <c r="B17" s="10" t="s">
        <v>155</v>
      </c>
      <c r="C17" s="11" t="s">
        <v>25</v>
      </c>
      <c r="D17" s="12">
        <v>46175</v>
      </c>
      <c r="E17" s="13" t="s">
        <v>260</v>
      </c>
      <c r="F17" s="13" t="s">
        <v>106</v>
      </c>
      <c r="G17" s="10">
        <v>47880</v>
      </c>
      <c r="H17" s="10">
        <v>14520</v>
      </c>
      <c r="I17" s="10">
        <f t="shared" si="0"/>
        <v>33360</v>
      </c>
    </row>
    <row r="18" spans="1:9" s="7" customFormat="1" ht="15" customHeight="1" x14ac:dyDescent="0.25">
      <c r="A18" s="2">
        <f t="shared" si="1"/>
        <v>14</v>
      </c>
      <c r="B18" s="10" t="s">
        <v>187</v>
      </c>
      <c r="C18" s="11" t="s">
        <v>188</v>
      </c>
      <c r="D18" s="12">
        <v>46175</v>
      </c>
      <c r="E18" s="13" t="s">
        <v>261</v>
      </c>
      <c r="F18" s="13" t="s">
        <v>106</v>
      </c>
      <c r="G18" s="10">
        <v>46240</v>
      </c>
      <c r="H18" s="10">
        <v>14650</v>
      </c>
      <c r="I18" s="10">
        <f t="shared" si="0"/>
        <v>31590</v>
      </c>
    </row>
    <row r="19" spans="1:9" s="7" customFormat="1" ht="15" customHeight="1" x14ac:dyDescent="0.25">
      <c r="A19" s="2">
        <f t="shared" si="1"/>
        <v>15</v>
      </c>
      <c r="B19" s="10" t="s">
        <v>185</v>
      </c>
      <c r="C19" s="11" t="s">
        <v>58</v>
      </c>
      <c r="D19" s="12">
        <v>46175</v>
      </c>
      <c r="E19" s="13" t="s">
        <v>262</v>
      </c>
      <c r="F19" s="13" t="s">
        <v>106</v>
      </c>
      <c r="G19" s="10">
        <v>45890</v>
      </c>
      <c r="H19" s="10">
        <v>15570</v>
      </c>
      <c r="I19" s="10">
        <f t="shared" si="0"/>
        <v>30320</v>
      </c>
    </row>
    <row r="20" spans="1:9" s="7" customFormat="1" ht="15" customHeight="1" x14ac:dyDescent="0.25">
      <c r="A20" s="2">
        <f t="shared" si="1"/>
        <v>16</v>
      </c>
      <c r="B20" s="10" t="s">
        <v>159</v>
      </c>
      <c r="C20" s="11" t="s">
        <v>92</v>
      </c>
      <c r="D20" s="12">
        <v>46175</v>
      </c>
      <c r="E20" s="13" t="s">
        <v>263</v>
      </c>
      <c r="F20" s="13" t="s">
        <v>106</v>
      </c>
      <c r="G20" s="10">
        <v>47950</v>
      </c>
      <c r="H20" s="10">
        <v>15650</v>
      </c>
      <c r="I20" s="10">
        <f t="shared" si="0"/>
        <v>32300</v>
      </c>
    </row>
    <row r="21" spans="1:9" s="7" customFormat="1" ht="15" customHeight="1" x14ac:dyDescent="0.25">
      <c r="A21" s="2">
        <f t="shared" si="1"/>
        <v>17</v>
      </c>
      <c r="B21" s="10" t="s">
        <v>234</v>
      </c>
      <c r="C21" s="11" t="s">
        <v>93</v>
      </c>
      <c r="D21" s="12">
        <v>46175</v>
      </c>
      <c r="E21" s="13" t="s">
        <v>264</v>
      </c>
      <c r="F21" s="13" t="s">
        <v>106</v>
      </c>
      <c r="G21" s="10">
        <v>45410</v>
      </c>
      <c r="H21" s="10">
        <v>13020</v>
      </c>
      <c r="I21" s="10">
        <f t="shared" si="0"/>
        <v>32390</v>
      </c>
    </row>
    <row r="22" spans="1:9" s="7" customFormat="1" ht="15" customHeight="1" x14ac:dyDescent="0.25">
      <c r="A22" s="2">
        <f t="shared" si="1"/>
        <v>18</v>
      </c>
      <c r="B22" s="10" t="s">
        <v>227</v>
      </c>
      <c r="C22" s="11" t="s">
        <v>228</v>
      </c>
      <c r="D22" s="12">
        <v>46175</v>
      </c>
      <c r="E22" s="13" t="s">
        <v>265</v>
      </c>
      <c r="F22" s="13" t="s">
        <v>106</v>
      </c>
      <c r="G22" s="10">
        <v>50620</v>
      </c>
      <c r="H22" s="10">
        <v>14440</v>
      </c>
      <c r="I22" s="10">
        <f t="shared" si="0"/>
        <v>36180</v>
      </c>
    </row>
    <row r="23" spans="1:9" s="7" customFormat="1" ht="15" customHeight="1" x14ac:dyDescent="0.25">
      <c r="A23" s="2">
        <f t="shared" si="1"/>
        <v>19</v>
      </c>
      <c r="B23" s="10" t="s">
        <v>153</v>
      </c>
      <c r="C23" s="11" t="s">
        <v>56</v>
      </c>
      <c r="D23" s="12">
        <v>46175</v>
      </c>
      <c r="E23" s="13" t="s">
        <v>266</v>
      </c>
      <c r="F23" s="13" t="s">
        <v>106</v>
      </c>
      <c r="G23" s="10">
        <v>47300</v>
      </c>
      <c r="H23" s="10">
        <v>14820</v>
      </c>
      <c r="I23" s="10">
        <f t="shared" si="0"/>
        <v>32480</v>
      </c>
    </row>
    <row r="24" spans="1:9" s="7" customFormat="1" ht="15" customHeight="1" x14ac:dyDescent="0.25">
      <c r="A24" s="2">
        <f t="shared" si="1"/>
        <v>20</v>
      </c>
      <c r="B24" s="10" t="s">
        <v>137</v>
      </c>
      <c r="C24" s="11" t="s">
        <v>26</v>
      </c>
      <c r="D24" s="12">
        <v>46175</v>
      </c>
      <c r="E24" s="13" t="s">
        <v>267</v>
      </c>
      <c r="F24" s="13" t="s">
        <v>106</v>
      </c>
      <c r="G24" s="10">
        <v>48130</v>
      </c>
      <c r="H24" s="10">
        <v>14570</v>
      </c>
      <c r="I24" s="10">
        <f t="shared" si="0"/>
        <v>33560</v>
      </c>
    </row>
    <row r="25" spans="1:9" s="7" customFormat="1" ht="15" customHeight="1" x14ac:dyDescent="0.25">
      <c r="A25" s="2">
        <f t="shared" si="1"/>
        <v>21</v>
      </c>
      <c r="B25" s="10" t="s">
        <v>176</v>
      </c>
      <c r="C25" s="11" t="s">
        <v>91</v>
      </c>
      <c r="D25" s="12">
        <v>46175</v>
      </c>
      <c r="E25" s="13" t="s">
        <v>268</v>
      </c>
      <c r="F25" s="13" t="s">
        <v>106</v>
      </c>
      <c r="G25" s="10">
        <v>50730</v>
      </c>
      <c r="H25" s="10">
        <v>15600</v>
      </c>
      <c r="I25" s="10">
        <f t="shared" si="0"/>
        <v>35130</v>
      </c>
    </row>
    <row r="26" spans="1:9" s="7" customFormat="1" ht="15" customHeight="1" x14ac:dyDescent="0.25">
      <c r="A26" s="2">
        <f t="shared" si="1"/>
        <v>22</v>
      </c>
      <c r="B26" s="10" t="s">
        <v>248</v>
      </c>
      <c r="C26" s="11" t="s">
        <v>61</v>
      </c>
      <c r="D26" s="12">
        <v>46175</v>
      </c>
      <c r="E26" s="13" t="s">
        <v>269</v>
      </c>
      <c r="F26" s="13" t="s">
        <v>106</v>
      </c>
      <c r="G26" s="10">
        <v>70670</v>
      </c>
      <c r="H26" s="10">
        <v>24560</v>
      </c>
      <c r="I26" s="10">
        <f t="shared" si="0"/>
        <v>46110</v>
      </c>
    </row>
    <row r="27" spans="1:9" s="7" customFormat="1" ht="15" customHeight="1" x14ac:dyDescent="0.25">
      <c r="A27" s="2">
        <f t="shared" si="1"/>
        <v>23</v>
      </c>
      <c r="B27" s="10" t="s">
        <v>250</v>
      </c>
      <c r="C27" s="11" t="s">
        <v>21</v>
      </c>
      <c r="D27" s="12">
        <v>46175</v>
      </c>
      <c r="E27" s="13" t="s">
        <v>269</v>
      </c>
      <c r="F27" s="13" t="s">
        <v>106</v>
      </c>
      <c r="G27" s="10">
        <v>71010</v>
      </c>
      <c r="H27" s="10">
        <v>24440</v>
      </c>
      <c r="I27" s="10">
        <f t="shared" si="0"/>
        <v>46570</v>
      </c>
    </row>
    <row r="28" spans="1:9" s="7" customFormat="1" ht="15" customHeight="1" x14ac:dyDescent="0.25">
      <c r="A28" s="2">
        <f t="shared" si="1"/>
        <v>24</v>
      </c>
      <c r="B28" s="10" t="s">
        <v>174</v>
      </c>
      <c r="C28" s="11" t="s">
        <v>68</v>
      </c>
      <c r="D28" s="12">
        <v>46175</v>
      </c>
      <c r="E28" s="13" t="s">
        <v>270</v>
      </c>
      <c r="F28" s="13" t="s">
        <v>106</v>
      </c>
      <c r="G28" s="10">
        <v>68640</v>
      </c>
      <c r="H28" s="10">
        <v>23500</v>
      </c>
      <c r="I28" s="10">
        <f t="shared" si="0"/>
        <v>45140</v>
      </c>
    </row>
    <row r="29" spans="1:9" s="7" customFormat="1" ht="15" customHeight="1" x14ac:dyDescent="0.25">
      <c r="A29" s="2">
        <f t="shared" si="1"/>
        <v>25</v>
      </c>
      <c r="B29" s="10" t="s">
        <v>212</v>
      </c>
      <c r="C29" s="11" t="s">
        <v>213</v>
      </c>
      <c r="D29" s="12">
        <v>46175</v>
      </c>
      <c r="E29" s="13" t="s">
        <v>271</v>
      </c>
      <c r="F29" s="13" t="s">
        <v>106</v>
      </c>
      <c r="G29" s="10">
        <v>43830</v>
      </c>
      <c r="H29" s="10">
        <v>14160</v>
      </c>
      <c r="I29" s="10">
        <f t="shared" si="0"/>
        <v>29670</v>
      </c>
    </row>
    <row r="30" spans="1:9" s="7" customFormat="1" ht="15" customHeight="1" x14ac:dyDescent="0.25">
      <c r="A30" s="2">
        <f t="shared" si="1"/>
        <v>26</v>
      </c>
      <c r="B30" s="10" t="s">
        <v>141</v>
      </c>
      <c r="C30" s="11" t="s">
        <v>75</v>
      </c>
      <c r="D30" s="12">
        <v>46175</v>
      </c>
      <c r="E30" s="13" t="s">
        <v>272</v>
      </c>
      <c r="F30" s="13" t="s">
        <v>106</v>
      </c>
      <c r="G30" s="10">
        <v>44790</v>
      </c>
      <c r="H30" s="10">
        <v>13580</v>
      </c>
      <c r="I30" s="10">
        <f t="shared" si="0"/>
        <v>31210</v>
      </c>
    </row>
    <row r="31" spans="1:9" s="7" customFormat="1" ht="15" customHeight="1" x14ac:dyDescent="0.25">
      <c r="A31" s="2">
        <f t="shared" si="1"/>
        <v>27</v>
      </c>
      <c r="B31" s="10" t="s">
        <v>146</v>
      </c>
      <c r="C31" s="11" t="s">
        <v>70</v>
      </c>
      <c r="D31" s="12">
        <v>46175</v>
      </c>
      <c r="E31" s="13" t="s">
        <v>273</v>
      </c>
      <c r="F31" s="13" t="s">
        <v>106</v>
      </c>
      <c r="G31" s="10">
        <v>50480</v>
      </c>
      <c r="H31" s="10">
        <v>14810</v>
      </c>
      <c r="I31" s="10">
        <f t="shared" si="0"/>
        <v>35670</v>
      </c>
    </row>
    <row r="32" spans="1:9" s="7" customFormat="1" ht="15" customHeight="1" x14ac:dyDescent="0.25">
      <c r="A32" s="2">
        <f t="shared" si="1"/>
        <v>28</v>
      </c>
      <c r="B32" s="10" t="s">
        <v>247</v>
      </c>
      <c r="C32" s="11" t="s">
        <v>55</v>
      </c>
      <c r="D32" s="12">
        <v>46175</v>
      </c>
      <c r="E32" s="13" t="s">
        <v>274</v>
      </c>
      <c r="F32" s="13" t="s">
        <v>106</v>
      </c>
      <c r="G32" s="10">
        <v>68790</v>
      </c>
      <c r="H32" s="10">
        <v>24550</v>
      </c>
      <c r="I32" s="10">
        <f t="shared" si="0"/>
        <v>44240</v>
      </c>
    </row>
    <row r="33" spans="1:9" s="7" customFormat="1" ht="15" customHeight="1" x14ac:dyDescent="0.25">
      <c r="A33" s="2">
        <f t="shared" si="1"/>
        <v>29</v>
      </c>
      <c r="B33" s="10" t="s">
        <v>181</v>
      </c>
      <c r="C33" s="11" t="s">
        <v>182</v>
      </c>
      <c r="D33" s="12">
        <v>46175</v>
      </c>
      <c r="E33" s="13" t="s">
        <v>275</v>
      </c>
      <c r="F33" s="13" t="s">
        <v>106</v>
      </c>
      <c r="G33" s="10">
        <v>45570</v>
      </c>
      <c r="H33" s="10">
        <v>14080</v>
      </c>
      <c r="I33" s="10">
        <f t="shared" si="0"/>
        <v>31490</v>
      </c>
    </row>
    <row r="34" spans="1:9" s="7" customFormat="1" ht="15" customHeight="1" x14ac:dyDescent="0.25">
      <c r="A34" s="2">
        <f t="shared" si="1"/>
        <v>30</v>
      </c>
      <c r="B34" s="10" t="s">
        <v>184</v>
      </c>
      <c r="C34" s="11" t="s">
        <v>39</v>
      </c>
      <c r="D34" s="12">
        <v>46175</v>
      </c>
      <c r="E34" s="13" t="s">
        <v>107</v>
      </c>
      <c r="F34" s="13" t="s">
        <v>106</v>
      </c>
      <c r="G34" s="10">
        <v>46080</v>
      </c>
      <c r="H34" s="10">
        <v>15680</v>
      </c>
      <c r="I34" s="10">
        <f t="shared" si="0"/>
        <v>30400</v>
      </c>
    </row>
    <row r="35" spans="1:9" s="7" customFormat="1" ht="15" customHeight="1" x14ac:dyDescent="0.25">
      <c r="A35" s="2">
        <f t="shared" si="1"/>
        <v>31</v>
      </c>
      <c r="B35" s="10" t="s">
        <v>166</v>
      </c>
      <c r="C35" s="11" t="s">
        <v>86</v>
      </c>
      <c r="D35" s="12">
        <v>46175</v>
      </c>
      <c r="E35" s="13" t="s">
        <v>276</v>
      </c>
      <c r="F35" s="13" t="s">
        <v>106</v>
      </c>
      <c r="G35" s="10">
        <v>49220</v>
      </c>
      <c r="H35" s="10">
        <v>15430</v>
      </c>
      <c r="I35" s="10">
        <f t="shared" si="0"/>
        <v>33790</v>
      </c>
    </row>
    <row r="36" spans="1:9" s="7" customFormat="1" ht="15" customHeight="1" x14ac:dyDescent="0.25">
      <c r="A36" s="2">
        <f t="shared" si="1"/>
        <v>32</v>
      </c>
      <c r="B36" s="10" t="s">
        <v>197</v>
      </c>
      <c r="C36" s="11" t="s">
        <v>198</v>
      </c>
      <c r="D36" s="12">
        <v>46175</v>
      </c>
      <c r="E36" s="13" t="s">
        <v>277</v>
      </c>
      <c r="F36" s="13" t="s">
        <v>106</v>
      </c>
      <c r="G36" s="10">
        <v>46310</v>
      </c>
      <c r="H36" s="10">
        <v>14740</v>
      </c>
      <c r="I36" s="10">
        <f t="shared" si="0"/>
        <v>31570</v>
      </c>
    </row>
    <row r="37" spans="1:9" s="7" customFormat="1" ht="15" customHeight="1" x14ac:dyDescent="0.25">
      <c r="A37" s="2">
        <f t="shared" si="1"/>
        <v>33</v>
      </c>
      <c r="B37" s="10" t="s">
        <v>195</v>
      </c>
      <c r="C37" s="11" t="s">
        <v>103</v>
      </c>
      <c r="D37" s="12">
        <v>46175</v>
      </c>
      <c r="E37" s="13" t="s">
        <v>278</v>
      </c>
      <c r="F37" s="13" t="s">
        <v>106</v>
      </c>
      <c r="G37" s="10">
        <v>47560</v>
      </c>
      <c r="H37" s="10">
        <v>15160</v>
      </c>
      <c r="I37" s="10">
        <f t="shared" ref="I37:I68" si="2">G37-H37</f>
        <v>32400</v>
      </c>
    </row>
    <row r="38" spans="1:9" s="7" customFormat="1" ht="15" customHeight="1" x14ac:dyDescent="0.25">
      <c r="A38" s="2">
        <f t="shared" ref="A38:A69" si="3">A37+1</f>
        <v>34</v>
      </c>
      <c r="B38" s="10" t="s">
        <v>221</v>
      </c>
      <c r="C38" s="11" t="s">
        <v>43</v>
      </c>
      <c r="D38" s="12">
        <v>46175</v>
      </c>
      <c r="E38" s="13" t="s">
        <v>279</v>
      </c>
      <c r="F38" s="13" t="s">
        <v>106</v>
      </c>
      <c r="G38" s="10">
        <v>48490</v>
      </c>
      <c r="H38" s="10">
        <v>15120</v>
      </c>
      <c r="I38" s="10">
        <f t="shared" si="2"/>
        <v>33370</v>
      </c>
    </row>
    <row r="39" spans="1:9" s="7" customFormat="1" ht="15" customHeight="1" x14ac:dyDescent="0.25">
      <c r="A39" s="2">
        <f t="shared" si="3"/>
        <v>35</v>
      </c>
      <c r="B39" s="10" t="s">
        <v>179</v>
      </c>
      <c r="C39" s="11" t="s">
        <v>101</v>
      </c>
      <c r="D39" s="12">
        <v>46175</v>
      </c>
      <c r="E39" s="13" t="s">
        <v>121</v>
      </c>
      <c r="F39" s="13" t="s">
        <v>106</v>
      </c>
      <c r="G39" s="10">
        <v>50130</v>
      </c>
      <c r="H39" s="10">
        <v>14790</v>
      </c>
      <c r="I39" s="10">
        <f t="shared" si="2"/>
        <v>35340</v>
      </c>
    </row>
    <row r="40" spans="1:9" s="7" customFormat="1" ht="15" customHeight="1" x14ac:dyDescent="0.25">
      <c r="A40" s="2">
        <f t="shared" si="3"/>
        <v>36</v>
      </c>
      <c r="B40" s="10" t="s">
        <v>157</v>
      </c>
      <c r="C40" s="11" t="s">
        <v>97</v>
      </c>
      <c r="D40" s="12">
        <v>46175</v>
      </c>
      <c r="E40" s="13" t="s">
        <v>280</v>
      </c>
      <c r="F40" s="13" t="s">
        <v>106</v>
      </c>
      <c r="G40" s="10">
        <v>47640</v>
      </c>
      <c r="H40" s="10">
        <v>15310</v>
      </c>
      <c r="I40" s="10">
        <f t="shared" si="2"/>
        <v>32330</v>
      </c>
    </row>
    <row r="41" spans="1:9" s="7" customFormat="1" ht="15" customHeight="1" x14ac:dyDescent="0.25">
      <c r="A41" s="2">
        <f t="shared" si="3"/>
        <v>37</v>
      </c>
      <c r="B41" s="10" t="s">
        <v>245</v>
      </c>
      <c r="C41" s="11" t="s">
        <v>64</v>
      </c>
      <c r="D41" s="12">
        <v>46175</v>
      </c>
      <c r="E41" s="13" t="s">
        <v>281</v>
      </c>
      <c r="F41" s="13" t="s">
        <v>106</v>
      </c>
      <c r="G41" s="10">
        <v>50060</v>
      </c>
      <c r="H41" s="10">
        <v>17450</v>
      </c>
      <c r="I41" s="10">
        <f t="shared" si="2"/>
        <v>32610</v>
      </c>
    </row>
    <row r="42" spans="1:9" s="7" customFormat="1" ht="15" customHeight="1" x14ac:dyDescent="0.25">
      <c r="A42" s="2">
        <f t="shared" si="3"/>
        <v>38</v>
      </c>
      <c r="B42" s="10" t="s">
        <v>244</v>
      </c>
      <c r="C42" s="11" t="s">
        <v>29</v>
      </c>
      <c r="D42" s="12">
        <v>46175</v>
      </c>
      <c r="E42" s="13" t="s">
        <v>282</v>
      </c>
      <c r="F42" s="13" t="s">
        <v>106</v>
      </c>
      <c r="G42" s="10">
        <v>48000</v>
      </c>
      <c r="H42" s="10">
        <v>17590</v>
      </c>
      <c r="I42" s="10">
        <f t="shared" si="2"/>
        <v>30410</v>
      </c>
    </row>
    <row r="43" spans="1:9" s="7" customFormat="1" ht="15" customHeight="1" x14ac:dyDescent="0.25">
      <c r="A43" s="2">
        <f t="shared" si="3"/>
        <v>39</v>
      </c>
      <c r="B43" s="10" t="s">
        <v>220</v>
      </c>
      <c r="C43" s="11" t="s">
        <v>87</v>
      </c>
      <c r="D43" s="12">
        <v>46175</v>
      </c>
      <c r="E43" s="13" t="s">
        <v>283</v>
      </c>
      <c r="F43" s="13" t="s">
        <v>106</v>
      </c>
      <c r="G43" s="10">
        <v>44970</v>
      </c>
      <c r="H43" s="10">
        <v>13990</v>
      </c>
      <c r="I43" s="10">
        <f t="shared" si="2"/>
        <v>30980</v>
      </c>
    </row>
    <row r="44" spans="1:9" s="7" customFormat="1" ht="15" customHeight="1" x14ac:dyDescent="0.25">
      <c r="A44" s="2">
        <f t="shared" si="3"/>
        <v>40</v>
      </c>
      <c r="B44" s="10" t="s">
        <v>194</v>
      </c>
      <c r="C44" s="11" t="s">
        <v>66</v>
      </c>
      <c r="D44" s="12">
        <v>46175</v>
      </c>
      <c r="E44" s="13" t="s">
        <v>284</v>
      </c>
      <c r="F44" s="13" t="s">
        <v>106</v>
      </c>
      <c r="G44" s="10">
        <v>47180</v>
      </c>
      <c r="H44" s="10">
        <v>14550</v>
      </c>
      <c r="I44" s="10">
        <f t="shared" si="2"/>
        <v>32630</v>
      </c>
    </row>
    <row r="45" spans="1:9" s="7" customFormat="1" ht="15" customHeight="1" x14ac:dyDescent="0.25">
      <c r="A45" s="2">
        <f t="shared" si="3"/>
        <v>41</v>
      </c>
      <c r="B45" s="10" t="s">
        <v>149</v>
      </c>
      <c r="C45" s="11" t="s">
        <v>150</v>
      </c>
      <c r="D45" s="12">
        <v>46175</v>
      </c>
      <c r="E45" s="13" t="s">
        <v>285</v>
      </c>
      <c r="F45" s="13" t="s">
        <v>106</v>
      </c>
      <c r="G45" s="10">
        <v>45720</v>
      </c>
      <c r="H45" s="10">
        <v>14380</v>
      </c>
      <c r="I45" s="10">
        <f t="shared" si="2"/>
        <v>31340</v>
      </c>
    </row>
    <row r="46" spans="1:9" s="7" customFormat="1" ht="15" customHeight="1" x14ac:dyDescent="0.25">
      <c r="A46" s="2">
        <f t="shared" si="3"/>
        <v>42</v>
      </c>
      <c r="B46" s="10" t="s">
        <v>147</v>
      </c>
      <c r="C46" s="11" t="s">
        <v>148</v>
      </c>
      <c r="D46" s="12">
        <v>46175</v>
      </c>
      <c r="E46" s="13" t="s">
        <v>109</v>
      </c>
      <c r="F46" s="13" t="s">
        <v>106</v>
      </c>
      <c r="G46" s="10">
        <v>47230</v>
      </c>
      <c r="H46" s="10">
        <v>13690</v>
      </c>
      <c r="I46" s="10">
        <f t="shared" si="2"/>
        <v>33540</v>
      </c>
    </row>
    <row r="47" spans="1:9" s="7" customFormat="1" ht="15" customHeight="1" x14ac:dyDescent="0.25">
      <c r="A47" s="2">
        <f t="shared" si="3"/>
        <v>43</v>
      </c>
      <c r="B47" s="10" t="s">
        <v>206</v>
      </c>
      <c r="C47" s="11" t="s">
        <v>104</v>
      </c>
      <c r="D47" s="12">
        <v>46175</v>
      </c>
      <c r="E47" s="13" t="s">
        <v>286</v>
      </c>
      <c r="F47" s="13" t="s">
        <v>106</v>
      </c>
      <c r="G47" s="10">
        <v>45890</v>
      </c>
      <c r="H47" s="10">
        <v>15620</v>
      </c>
      <c r="I47" s="10">
        <f t="shared" si="2"/>
        <v>30270</v>
      </c>
    </row>
    <row r="48" spans="1:9" s="7" customFormat="1" ht="15" customHeight="1" x14ac:dyDescent="0.25">
      <c r="A48" s="2">
        <f t="shared" si="3"/>
        <v>44</v>
      </c>
      <c r="B48" s="10" t="s">
        <v>165</v>
      </c>
      <c r="C48" s="11" t="s">
        <v>95</v>
      </c>
      <c r="D48" s="12">
        <v>46175</v>
      </c>
      <c r="E48" s="13" t="s">
        <v>287</v>
      </c>
      <c r="F48" s="13" t="s">
        <v>106</v>
      </c>
      <c r="G48" s="10">
        <v>49960</v>
      </c>
      <c r="H48" s="10">
        <v>14880</v>
      </c>
      <c r="I48" s="10">
        <f t="shared" si="2"/>
        <v>35080</v>
      </c>
    </row>
    <row r="49" spans="1:9" s="7" customFormat="1" ht="15" customHeight="1" x14ac:dyDescent="0.25">
      <c r="A49" s="2">
        <f t="shared" si="3"/>
        <v>45</v>
      </c>
      <c r="B49" s="10" t="s">
        <v>201</v>
      </c>
      <c r="C49" s="11" t="s">
        <v>63</v>
      </c>
      <c r="D49" s="12">
        <v>46175</v>
      </c>
      <c r="E49" s="13" t="s">
        <v>288</v>
      </c>
      <c r="F49" s="13" t="s">
        <v>106</v>
      </c>
      <c r="G49" s="10">
        <v>45820</v>
      </c>
      <c r="H49" s="10">
        <v>15300</v>
      </c>
      <c r="I49" s="10">
        <f t="shared" si="2"/>
        <v>30520</v>
      </c>
    </row>
    <row r="50" spans="1:9" s="7" customFormat="1" ht="15" customHeight="1" x14ac:dyDescent="0.25">
      <c r="A50" s="2">
        <f t="shared" si="3"/>
        <v>46</v>
      </c>
      <c r="B50" s="10" t="s">
        <v>142</v>
      </c>
      <c r="C50" s="11" t="s">
        <v>81</v>
      </c>
      <c r="D50" s="12">
        <v>46175</v>
      </c>
      <c r="E50" s="13" t="s">
        <v>289</v>
      </c>
      <c r="F50" s="13" t="s">
        <v>106</v>
      </c>
      <c r="G50" s="10">
        <v>44480</v>
      </c>
      <c r="H50" s="10">
        <v>14190</v>
      </c>
      <c r="I50" s="10">
        <f t="shared" si="2"/>
        <v>30290</v>
      </c>
    </row>
    <row r="51" spans="1:9" s="7" customFormat="1" ht="15" customHeight="1" x14ac:dyDescent="0.25">
      <c r="A51" s="2">
        <f t="shared" si="3"/>
        <v>47</v>
      </c>
      <c r="B51" s="10" t="s">
        <v>178</v>
      </c>
      <c r="C51" s="11" t="s">
        <v>36</v>
      </c>
      <c r="D51" s="12">
        <v>46175</v>
      </c>
      <c r="E51" s="13" t="s">
        <v>290</v>
      </c>
      <c r="F51" s="13" t="s">
        <v>106</v>
      </c>
      <c r="G51" s="10">
        <v>46930</v>
      </c>
      <c r="H51" s="10">
        <v>14290</v>
      </c>
      <c r="I51" s="10">
        <f t="shared" si="2"/>
        <v>32640</v>
      </c>
    </row>
    <row r="52" spans="1:9" s="7" customFormat="1" ht="15" customHeight="1" x14ac:dyDescent="0.25">
      <c r="A52" s="2">
        <f t="shared" si="3"/>
        <v>48</v>
      </c>
      <c r="B52" s="10" t="s">
        <v>135</v>
      </c>
      <c r="C52" s="11" t="s">
        <v>76</v>
      </c>
      <c r="D52" s="12">
        <v>46175</v>
      </c>
      <c r="E52" s="13" t="s">
        <v>291</v>
      </c>
      <c r="F52" s="13" t="s">
        <v>106</v>
      </c>
      <c r="G52" s="10">
        <v>46850</v>
      </c>
      <c r="H52" s="10">
        <v>14730</v>
      </c>
      <c r="I52" s="10">
        <f t="shared" si="2"/>
        <v>32120</v>
      </c>
    </row>
    <row r="53" spans="1:9" s="7" customFormat="1" ht="15" customHeight="1" x14ac:dyDescent="0.25">
      <c r="A53" s="2">
        <f t="shared" si="3"/>
        <v>49</v>
      </c>
      <c r="B53" s="10" t="s">
        <v>204</v>
      </c>
      <c r="C53" s="11" t="s">
        <v>28</v>
      </c>
      <c r="D53" s="12">
        <v>46175</v>
      </c>
      <c r="E53" s="13" t="s">
        <v>124</v>
      </c>
      <c r="F53" s="13" t="s">
        <v>106</v>
      </c>
      <c r="G53" s="10">
        <v>47440</v>
      </c>
      <c r="H53" s="10">
        <v>15500</v>
      </c>
      <c r="I53" s="10">
        <f t="shared" si="2"/>
        <v>31940</v>
      </c>
    </row>
    <row r="54" spans="1:9" s="7" customFormat="1" ht="15" customHeight="1" x14ac:dyDescent="0.25">
      <c r="A54" s="2">
        <f t="shared" si="3"/>
        <v>50</v>
      </c>
      <c r="B54" s="10" t="s">
        <v>208</v>
      </c>
      <c r="C54" s="11" t="s">
        <v>88</v>
      </c>
      <c r="D54" s="12">
        <v>46175</v>
      </c>
      <c r="E54" s="13" t="s">
        <v>124</v>
      </c>
      <c r="F54" s="13" t="s">
        <v>106</v>
      </c>
      <c r="G54" s="10">
        <v>47720</v>
      </c>
      <c r="H54" s="10">
        <v>15140</v>
      </c>
      <c r="I54" s="10">
        <f t="shared" si="2"/>
        <v>32580</v>
      </c>
    </row>
    <row r="55" spans="1:9" s="7" customFormat="1" ht="15" customHeight="1" x14ac:dyDescent="0.25">
      <c r="A55" s="2">
        <f t="shared" si="3"/>
        <v>51</v>
      </c>
      <c r="B55" s="10" t="s">
        <v>183</v>
      </c>
      <c r="C55" s="11" t="s">
        <v>99</v>
      </c>
      <c r="D55" s="12">
        <v>46175</v>
      </c>
      <c r="E55" s="13" t="s">
        <v>292</v>
      </c>
      <c r="F55" s="13" t="s">
        <v>106</v>
      </c>
      <c r="G55" s="10">
        <v>45470</v>
      </c>
      <c r="H55" s="10">
        <v>14280</v>
      </c>
      <c r="I55" s="10">
        <f t="shared" si="2"/>
        <v>31190</v>
      </c>
    </row>
    <row r="56" spans="1:9" s="7" customFormat="1" ht="15" customHeight="1" x14ac:dyDescent="0.25">
      <c r="A56" s="2">
        <f t="shared" si="3"/>
        <v>52</v>
      </c>
      <c r="B56" s="10" t="s">
        <v>143</v>
      </c>
      <c r="C56" s="11" t="s">
        <v>24</v>
      </c>
      <c r="D56" s="12">
        <v>46175</v>
      </c>
      <c r="E56" s="13" t="s">
        <v>293</v>
      </c>
      <c r="F56" s="13" t="s">
        <v>106</v>
      </c>
      <c r="G56" s="10">
        <v>46980</v>
      </c>
      <c r="H56" s="10">
        <v>14640</v>
      </c>
      <c r="I56" s="10">
        <f t="shared" si="2"/>
        <v>32340</v>
      </c>
    </row>
    <row r="57" spans="1:9" s="7" customFormat="1" ht="15" customHeight="1" x14ac:dyDescent="0.25">
      <c r="A57" s="2">
        <f t="shared" si="3"/>
        <v>53</v>
      </c>
      <c r="B57" s="10" t="s">
        <v>136</v>
      </c>
      <c r="C57" s="11" t="s">
        <v>80</v>
      </c>
      <c r="D57" s="12">
        <v>46175</v>
      </c>
      <c r="E57" s="13" t="s">
        <v>110</v>
      </c>
      <c r="F57" s="13" t="s">
        <v>106</v>
      </c>
      <c r="G57" s="10">
        <v>47650</v>
      </c>
      <c r="H57" s="10">
        <v>14370</v>
      </c>
      <c r="I57" s="10">
        <f t="shared" si="2"/>
        <v>33280</v>
      </c>
    </row>
    <row r="58" spans="1:9" s="7" customFormat="1" ht="15" customHeight="1" x14ac:dyDescent="0.25">
      <c r="A58" s="2">
        <f t="shared" si="3"/>
        <v>54</v>
      </c>
      <c r="B58" s="10" t="s">
        <v>139</v>
      </c>
      <c r="C58" s="11" t="s">
        <v>77</v>
      </c>
      <c r="D58" s="12">
        <v>46175</v>
      </c>
      <c r="E58" s="13" t="s">
        <v>294</v>
      </c>
      <c r="F58" s="13" t="s">
        <v>106</v>
      </c>
      <c r="G58" s="10">
        <v>45870</v>
      </c>
      <c r="H58" s="10">
        <v>14320</v>
      </c>
      <c r="I58" s="10">
        <f t="shared" si="2"/>
        <v>31550</v>
      </c>
    </row>
    <row r="59" spans="1:9" s="7" customFormat="1" ht="15" customHeight="1" x14ac:dyDescent="0.25">
      <c r="A59" s="2">
        <f t="shared" si="3"/>
        <v>55</v>
      </c>
      <c r="B59" s="10" t="s">
        <v>219</v>
      </c>
      <c r="C59" s="11" t="s">
        <v>23</v>
      </c>
      <c r="D59" s="12">
        <v>46175</v>
      </c>
      <c r="E59" s="13" t="s">
        <v>295</v>
      </c>
      <c r="F59" s="13" t="s">
        <v>106</v>
      </c>
      <c r="G59" s="10">
        <v>47880</v>
      </c>
      <c r="H59" s="10">
        <v>16020</v>
      </c>
      <c r="I59" s="10">
        <f t="shared" si="2"/>
        <v>31860</v>
      </c>
    </row>
    <row r="60" spans="1:9" s="7" customFormat="1" ht="15" customHeight="1" x14ac:dyDescent="0.25">
      <c r="A60" s="2">
        <f t="shared" si="3"/>
        <v>56</v>
      </c>
      <c r="B60" s="10" t="s">
        <v>169</v>
      </c>
      <c r="C60" s="11" t="s">
        <v>170</v>
      </c>
      <c r="D60" s="12">
        <v>46175</v>
      </c>
      <c r="E60" s="13" t="s">
        <v>296</v>
      </c>
      <c r="F60" s="13" t="s">
        <v>106</v>
      </c>
      <c r="G60" s="10">
        <v>46550</v>
      </c>
      <c r="H60" s="10">
        <v>14870</v>
      </c>
      <c r="I60" s="10">
        <f t="shared" si="2"/>
        <v>31680</v>
      </c>
    </row>
    <row r="61" spans="1:9" s="7" customFormat="1" ht="15" customHeight="1" x14ac:dyDescent="0.25">
      <c r="A61" s="2">
        <f t="shared" si="3"/>
        <v>57</v>
      </c>
      <c r="B61" s="10" t="s">
        <v>243</v>
      </c>
      <c r="C61" s="11" t="s">
        <v>242</v>
      </c>
      <c r="D61" s="12">
        <v>46175</v>
      </c>
      <c r="E61" s="13" t="s">
        <v>297</v>
      </c>
      <c r="F61" s="13" t="s">
        <v>106</v>
      </c>
      <c r="G61" s="10">
        <v>49700</v>
      </c>
      <c r="H61" s="10">
        <v>17560</v>
      </c>
      <c r="I61" s="10">
        <f t="shared" si="2"/>
        <v>32140</v>
      </c>
    </row>
    <row r="62" spans="1:9" s="7" customFormat="1" ht="15" customHeight="1" x14ac:dyDescent="0.25">
      <c r="A62" s="2">
        <f t="shared" si="3"/>
        <v>58</v>
      </c>
      <c r="B62" s="10" t="s">
        <v>239</v>
      </c>
      <c r="C62" s="11" t="s">
        <v>65</v>
      </c>
      <c r="D62" s="12">
        <v>46175</v>
      </c>
      <c r="E62" s="13" t="s">
        <v>298</v>
      </c>
      <c r="F62" s="13" t="s">
        <v>106</v>
      </c>
      <c r="G62" s="10">
        <v>49630</v>
      </c>
      <c r="H62" s="10">
        <v>17810</v>
      </c>
      <c r="I62" s="10">
        <f t="shared" si="2"/>
        <v>31820</v>
      </c>
    </row>
    <row r="63" spans="1:9" s="7" customFormat="1" ht="15" customHeight="1" x14ac:dyDescent="0.25">
      <c r="A63" s="2">
        <f t="shared" si="3"/>
        <v>59</v>
      </c>
      <c r="B63" s="10" t="s">
        <v>162</v>
      </c>
      <c r="C63" s="11" t="s">
        <v>90</v>
      </c>
      <c r="D63" s="12">
        <v>46175</v>
      </c>
      <c r="E63" s="13" t="s">
        <v>299</v>
      </c>
      <c r="F63" s="13" t="s">
        <v>106</v>
      </c>
      <c r="G63" s="10">
        <v>69520</v>
      </c>
      <c r="H63" s="10">
        <v>23190</v>
      </c>
      <c r="I63" s="10">
        <f t="shared" si="2"/>
        <v>46330</v>
      </c>
    </row>
    <row r="64" spans="1:9" s="7" customFormat="1" ht="15" customHeight="1" x14ac:dyDescent="0.25">
      <c r="A64" s="2">
        <f t="shared" si="3"/>
        <v>60</v>
      </c>
      <c r="B64" s="10" t="s">
        <v>203</v>
      </c>
      <c r="C64" s="11" t="s">
        <v>59</v>
      </c>
      <c r="D64" s="12">
        <v>46175</v>
      </c>
      <c r="E64" s="13" t="s">
        <v>300</v>
      </c>
      <c r="F64" s="13" t="s">
        <v>106</v>
      </c>
      <c r="G64" s="10">
        <v>47920</v>
      </c>
      <c r="H64" s="10">
        <v>15510</v>
      </c>
      <c r="I64" s="10">
        <f t="shared" si="2"/>
        <v>32410</v>
      </c>
    </row>
    <row r="65" spans="1:9" s="7" customFormat="1" ht="15" customHeight="1" x14ac:dyDescent="0.25">
      <c r="A65" s="2">
        <f t="shared" si="3"/>
        <v>61</v>
      </c>
      <c r="B65" s="10" t="s">
        <v>217</v>
      </c>
      <c r="C65" s="11" t="s">
        <v>45</v>
      </c>
      <c r="D65" s="12">
        <v>46175</v>
      </c>
      <c r="E65" s="13" t="s">
        <v>301</v>
      </c>
      <c r="F65" s="13" t="s">
        <v>106</v>
      </c>
      <c r="G65" s="10">
        <v>47680</v>
      </c>
      <c r="H65" s="10">
        <v>15570</v>
      </c>
      <c r="I65" s="10">
        <f t="shared" si="2"/>
        <v>32110</v>
      </c>
    </row>
    <row r="66" spans="1:9" s="7" customFormat="1" ht="15" customHeight="1" x14ac:dyDescent="0.25">
      <c r="A66" s="2">
        <f t="shared" si="3"/>
        <v>62</v>
      </c>
      <c r="B66" s="10" t="s">
        <v>171</v>
      </c>
      <c r="C66" s="11" t="s">
        <v>47</v>
      </c>
      <c r="D66" s="12">
        <v>46175</v>
      </c>
      <c r="E66" s="13" t="s">
        <v>301</v>
      </c>
      <c r="F66" s="13" t="s">
        <v>106</v>
      </c>
      <c r="G66" s="10">
        <v>46040</v>
      </c>
      <c r="H66" s="10">
        <v>14830</v>
      </c>
      <c r="I66" s="10">
        <f t="shared" si="2"/>
        <v>31210</v>
      </c>
    </row>
    <row r="67" spans="1:9" s="7" customFormat="1" ht="15" customHeight="1" x14ac:dyDescent="0.25">
      <c r="A67" s="2">
        <f t="shared" si="3"/>
        <v>63</v>
      </c>
      <c r="B67" s="10" t="s">
        <v>236</v>
      </c>
      <c r="C67" s="11" t="s">
        <v>38</v>
      </c>
      <c r="D67" s="12">
        <v>46175</v>
      </c>
      <c r="E67" s="13" t="s">
        <v>302</v>
      </c>
      <c r="F67" s="13" t="s">
        <v>106</v>
      </c>
      <c r="G67" s="10">
        <v>49170</v>
      </c>
      <c r="H67" s="10">
        <v>17060</v>
      </c>
      <c r="I67" s="10">
        <f t="shared" si="2"/>
        <v>32110</v>
      </c>
    </row>
    <row r="68" spans="1:9" s="7" customFormat="1" ht="15" customHeight="1" x14ac:dyDescent="0.25">
      <c r="A68" s="2">
        <f t="shared" si="3"/>
        <v>64</v>
      </c>
      <c r="B68" s="10" t="s">
        <v>172</v>
      </c>
      <c r="C68" s="11" t="s">
        <v>46</v>
      </c>
      <c r="D68" s="12">
        <v>46175</v>
      </c>
      <c r="E68" s="13" t="s">
        <v>303</v>
      </c>
      <c r="F68" s="13" t="s">
        <v>106</v>
      </c>
      <c r="G68" s="10">
        <v>46930</v>
      </c>
      <c r="H68" s="10">
        <v>15110</v>
      </c>
      <c r="I68" s="10">
        <f t="shared" si="2"/>
        <v>31820</v>
      </c>
    </row>
    <row r="69" spans="1:9" s="7" customFormat="1" ht="15" customHeight="1" x14ac:dyDescent="0.25">
      <c r="A69" s="2">
        <f t="shared" si="3"/>
        <v>65</v>
      </c>
      <c r="B69" s="10" t="s">
        <v>216</v>
      </c>
      <c r="C69" s="11" t="s">
        <v>73</v>
      </c>
      <c r="D69" s="12">
        <v>46175</v>
      </c>
      <c r="E69" s="13" t="s">
        <v>304</v>
      </c>
      <c r="F69" s="13" t="s">
        <v>106</v>
      </c>
      <c r="G69" s="10">
        <v>47640</v>
      </c>
      <c r="H69" s="10">
        <v>15270</v>
      </c>
      <c r="I69" s="10">
        <f t="shared" ref="I69:I100" si="4">G69-H69</f>
        <v>32370</v>
      </c>
    </row>
    <row r="70" spans="1:9" s="7" customFormat="1" ht="15" customHeight="1" x14ac:dyDescent="0.25">
      <c r="A70" s="2">
        <f t="shared" ref="A70:A101" si="5">A69+1</f>
        <v>66</v>
      </c>
      <c r="B70" s="10" t="s">
        <v>205</v>
      </c>
      <c r="C70" s="11" t="s">
        <v>44</v>
      </c>
      <c r="D70" s="12">
        <v>46175</v>
      </c>
      <c r="E70" s="13" t="s">
        <v>112</v>
      </c>
      <c r="F70" s="13" t="s">
        <v>106</v>
      </c>
      <c r="G70" s="10">
        <v>47370</v>
      </c>
      <c r="H70" s="10">
        <v>14910</v>
      </c>
      <c r="I70" s="10">
        <f t="shared" si="4"/>
        <v>32460</v>
      </c>
    </row>
    <row r="71" spans="1:9" s="7" customFormat="1" ht="15" customHeight="1" x14ac:dyDescent="0.25">
      <c r="A71" s="2">
        <f t="shared" si="5"/>
        <v>67</v>
      </c>
      <c r="B71" s="10" t="s">
        <v>200</v>
      </c>
      <c r="C71" s="11" t="s">
        <v>71</v>
      </c>
      <c r="D71" s="12">
        <v>46175</v>
      </c>
      <c r="E71" s="13" t="s">
        <v>126</v>
      </c>
      <c r="F71" s="13" t="s">
        <v>106</v>
      </c>
      <c r="G71" s="10">
        <v>47530</v>
      </c>
      <c r="H71" s="10">
        <v>16060</v>
      </c>
      <c r="I71" s="10">
        <f t="shared" si="4"/>
        <v>31470</v>
      </c>
    </row>
    <row r="72" spans="1:9" s="7" customFormat="1" ht="15" customHeight="1" x14ac:dyDescent="0.25">
      <c r="A72" s="2">
        <f t="shared" si="5"/>
        <v>68</v>
      </c>
      <c r="B72" s="10" t="s">
        <v>168</v>
      </c>
      <c r="C72" s="11" t="s">
        <v>72</v>
      </c>
      <c r="D72" s="12">
        <v>46175</v>
      </c>
      <c r="E72" s="13" t="s">
        <v>305</v>
      </c>
      <c r="F72" s="13" t="s">
        <v>106</v>
      </c>
      <c r="G72" s="10">
        <v>46290</v>
      </c>
      <c r="H72" s="10">
        <v>14880</v>
      </c>
      <c r="I72" s="10">
        <f t="shared" si="4"/>
        <v>31410</v>
      </c>
    </row>
    <row r="73" spans="1:9" s="7" customFormat="1" ht="15" customHeight="1" x14ac:dyDescent="0.25">
      <c r="A73" s="2">
        <f t="shared" si="5"/>
        <v>69</v>
      </c>
      <c r="B73" s="10" t="s">
        <v>154</v>
      </c>
      <c r="C73" s="11" t="s">
        <v>69</v>
      </c>
      <c r="D73" s="12">
        <v>46175</v>
      </c>
      <c r="E73" s="13" t="s">
        <v>306</v>
      </c>
      <c r="F73" s="13" t="s">
        <v>106</v>
      </c>
      <c r="G73" s="10">
        <v>45500</v>
      </c>
      <c r="H73" s="10">
        <v>14790</v>
      </c>
      <c r="I73" s="10">
        <f t="shared" si="4"/>
        <v>30710</v>
      </c>
    </row>
    <row r="74" spans="1:9" s="7" customFormat="1" ht="15" customHeight="1" x14ac:dyDescent="0.25">
      <c r="A74" s="2">
        <f t="shared" si="5"/>
        <v>70</v>
      </c>
      <c r="B74" s="10" t="s">
        <v>238</v>
      </c>
      <c r="C74" s="11" t="s">
        <v>33</v>
      </c>
      <c r="D74" s="12">
        <v>46175</v>
      </c>
      <c r="E74" s="13" t="s">
        <v>127</v>
      </c>
      <c r="F74" s="13" t="s">
        <v>106</v>
      </c>
      <c r="G74" s="10">
        <v>49760</v>
      </c>
      <c r="H74" s="10">
        <v>17810</v>
      </c>
      <c r="I74" s="10">
        <f t="shared" si="4"/>
        <v>31950</v>
      </c>
    </row>
    <row r="75" spans="1:9" s="7" customFormat="1" ht="15" customHeight="1" x14ac:dyDescent="0.25">
      <c r="A75" s="2">
        <f t="shared" si="5"/>
        <v>71</v>
      </c>
      <c r="B75" s="10" t="s">
        <v>145</v>
      </c>
      <c r="C75" s="11" t="s">
        <v>78</v>
      </c>
      <c r="D75" s="12">
        <v>46175</v>
      </c>
      <c r="E75" s="13" t="s">
        <v>128</v>
      </c>
      <c r="F75" s="13" t="s">
        <v>106</v>
      </c>
      <c r="G75" s="10">
        <v>42840</v>
      </c>
      <c r="H75" s="10">
        <v>13700</v>
      </c>
      <c r="I75" s="10">
        <f t="shared" si="4"/>
        <v>29140</v>
      </c>
    </row>
    <row r="76" spans="1:9" s="7" customFormat="1" ht="15" customHeight="1" x14ac:dyDescent="0.25">
      <c r="A76" s="2">
        <f t="shared" si="5"/>
        <v>72</v>
      </c>
      <c r="B76" s="10" t="s">
        <v>138</v>
      </c>
      <c r="C76" s="11" t="s">
        <v>53</v>
      </c>
      <c r="D76" s="12">
        <v>46175</v>
      </c>
      <c r="E76" s="13" t="s">
        <v>307</v>
      </c>
      <c r="F76" s="13" t="s">
        <v>106</v>
      </c>
      <c r="G76" s="10">
        <v>47640</v>
      </c>
      <c r="H76" s="10">
        <v>14820</v>
      </c>
      <c r="I76" s="10">
        <f t="shared" si="4"/>
        <v>32820</v>
      </c>
    </row>
    <row r="77" spans="1:9" s="7" customFormat="1" ht="15" customHeight="1" x14ac:dyDescent="0.25">
      <c r="A77" s="2">
        <f t="shared" si="5"/>
        <v>73</v>
      </c>
      <c r="B77" s="10" t="s">
        <v>246</v>
      </c>
      <c r="C77" s="11" t="s">
        <v>32</v>
      </c>
      <c r="D77" s="12">
        <v>46175</v>
      </c>
      <c r="E77" s="13" t="s">
        <v>129</v>
      </c>
      <c r="F77" s="13" t="s">
        <v>106</v>
      </c>
      <c r="G77" s="10">
        <v>46960</v>
      </c>
      <c r="H77" s="10">
        <v>16270</v>
      </c>
      <c r="I77" s="10">
        <f t="shared" si="4"/>
        <v>30690</v>
      </c>
    </row>
    <row r="78" spans="1:9" s="7" customFormat="1" ht="15" customHeight="1" x14ac:dyDescent="0.25">
      <c r="A78" s="2">
        <f t="shared" si="5"/>
        <v>74</v>
      </c>
      <c r="B78" s="10" t="s">
        <v>215</v>
      </c>
      <c r="C78" s="11" t="s">
        <v>94</v>
      </c>
      <c r="D78" s="12">
        <v>46175</v>
      </c>
      <c r="E78" s="13" t="s">
        <v>308</v>
      </c>
      <c r="F78" s="13" t="s">
        <v>106</v>
      </c>
      <c r="G78" s="10">
        <v>48100</v>
      </c>
      <c r="H78" s="10">
        <v>14790</v>
      </c>
      <c r="I78" s="10">
        <f t="shared" si="4"/>
        <v>33310</v>
      </c>
    </row>
    <row r="79" spans="1:9" s="7" customFormat="1" ht="15" customHeight="1" x14ac:dyDescent="0.25">
      <c r="A79" s="2">
        <f t="shared" si="5"/>
        <v>75</v>
      </c>
      <c r="B79" s="10" t="s">
        <v>196</v>
      </c>
      <c r="C79" s="11" t="s">
        <v>102</v>
      </c>
      <c r="D79" s="12">
        <v>46175</v>
      </c>
      <c r="E79" s="13" t="s">
        <v>309</v>
      </c>
      <c r="F79" s="13" t="s">
        <v>106</v>
      </c>
      <c r="G79" s="10">
        <v>48570</v>
      </c>
      <c r="H79" s="10">
        <v>15390</v>
      </c>
      <c r="I79" s="10">
        <f t="shared" si="4"/>
        <v>33180</v>
      </c>
    </row>
    <row r="80" spans="1:9" s="7" customFormat="1" ht="15" customHeight="1" x14ac:dyDescent="0.25">
      <c r="A80" s="2">
        <f t="shared" si="5"/>
        <v>76</v>
      </c>
      <c r="B80" s="10" t="s">
        <v>189</v>
      </c>
      <c r="C80" s="11" t="s">
        <v>190</v>
      </c>
      <c r="D80" s="12">
        <v>46175</v>
      </c>
      <c r="E80" s="13" t="s">
        <v>309</v>
      </c>
      <c r="F80" s="13" t="s">
        <v>106</v>
      </c>
      <c r="G80" s="10">
        <v>48050</v>
      </c>
      <c r="H80" s="10">
        <v>14540</v>
      </c>
      <c r="I80" s="10">
        <f t="shared" si="4"/>
        <v>33510</v>
      </c>
    </row>
    <row r="81" spans="1:9" s="7" customFormat="1" ht="15" customHeight="1" x14ac:dyDescent="0.25">
      <c r="A81" s="2">
        <f t="shared" si="5"/>
        <v>77</v>
      </c>
      <c r="B81" s="10" t="s">
        <v>175</v>
      </c>
      <c r="C81" s="11" t="s">
        <v>68</v>
      </c>
      <c r="D81" s="12">
        <v>46175</v>
      </c>
      <c r="E81" s="13" t="s">
        <v>310</v>
      </c>
      <c r="F81" s="13" t="s">
        <v>106</v>
      </c>
      <c r="G81" s="10">
        <v>70630</v>
      </c>
      <c r="H81" s="10">
        <v>23580</v>
      </c>
      <c r="I81" s="10">
        <f t="shared" si="4"/>
        <v>47050</v>
      </c>
    </row>
    <row r="82" spans="1:9" s="7" customFormat="1" ht="15" customHeight="1" x14ac:dyDescent="0.25">
      <c r="A82" s="2">
        <f t="shared" si="5"/>
        <v>78</v>
      </c>
      <c r="B82" s="10" t="s">
        <v>164</v>
      </c>
      <c r="C82" s="11" t="s">
        <v>96</v>
      </c>
      <c r="D82" s="12">
        <v>46175</v>
      </c>
      <c r="E82" s="13" t="s">
        <v>130</v>
      </c>
      <c r="F82" s="13" t="s">
        <v>106</v>
      </c>
      <c r="G82" s="10">
        <v>45810</v>
      </c>
      <c r="H82" s="10">
        <v>14040</v>
      </c>
      <c r="I82" s="10">
        <f t="shared" si="4"/>
        <v>31770</v>
      </c>
    </row>
    <row r="83" spans="1:9" s="7" customFormat="1" ht="15" customHeight="1" x14ac:dyDescent="0.25">
      <c r="A83" s="2">
        <f t="shared" si="5"/>
        <v>79</v>
      </c>
      <c r="B83" s="10" t="s">
        <v>229</v>
      </c>
      <c r="C83" s="11" t="s">
        <v>228</v>
      </c>
      <c r="D83" s="12">
        <v>46175</v>
      </c>
      <c r="E83" s="13" t="s">
        <v>311</v>
      </c>
      <c r="F83" s="13" t="s">
        <v>106</v>
      </c>
      <c r="G83" s="10">
        <v>47310</v>
      </c>
      <c r="H83" s="10">
        <v>14110</v>
      </c>
      <c r="I83" s="10">
        <f t="shared" si="4"/>
        <v>33200</v>
      </c>
    </row>
    <row r="84" spans="1:9" s="7" customFormat="1" ht="15" customHeight="1" x14ac:dyDescent="0.25">
      <c r="A84" s="2">
        <f t="shared" si="5"/>
        <v>80</v>
      </c>
      <c r="B84" s="10" t="s">
        <v>235</v>
      </c>
      <c r="C84" s="11" t="s">
        <v>93</v>
      </c>
      <c r="D84" s="12">
        <v>46175</v>
      </c>
      <c r="E84" s="13" t="s">
        <v>312</v>
      </c>
      <c r="F84" s="13" t="s">
        <v>106</v>
      </c>
      <c r="G84" s="10">
        <v>44800</v>
      </c>
      <c r="H84" s="10">
        <v>12910</v>
      </c>
      <c r="I84" s="10">
        <f t="shared" si="4"/>
        <v>31890</v>
      </c>
    </row>
    <row r="85" spans="1:9" s="7" customFormat="1" ht="15" customHeight="1" x14ac:dyDescent="0.25">
      <c r="A85" s="2">
        <f t="shared" si="5"/>
        <v>81</v>
      </c>
      <c r="B85" s="10" t="s">
        <v>161</v>
      </c>
      <c r="C85" s="11" t="s">
        <v>49</v>
      </c>
      <c r="D85" s="12">
        <v>46175</v>
      </c>
      <c r="E85" s="13" t="s">
        <v>313</v>
      </c>
      <c r="F85" s="13" t="s">
        <v>106</v>
      </c>
      <c r="G85" s="10">
        <v>46350</v>
      </c>
      <c r="H85" s="10">
        <v>15270</v>
      </c>
      <c r="I85" s="10">
        <f t="shared" si="4"/>
        <v>31080</v>
      </c>
    </row>
    <row r="86" spans="1:9" s="7" customFormat="1" ht="15" customHeight="1" x14ac:dyDescent="0.25">
      <c r="A86" s="2">
        <f t="shared" si="5"/>
        <v>82</v>
      </c>
      <c r="B86" s="10" t="s">
        <v>173</v>
      </c>
      <c r="C86" s="11" t="s">
        <v>62</v>
      </c>
      <c r="D86" s="12">
        <v>46175</v>
      </c>
      <c r="E86" s="13" t="s">
        <v>314</v>
      </c>
      <c r="F86" s="13" t="s">
        <v>106</v>
      </c>
      <c r="G86" s="10">
        <v>47300</v>
      </c>
      <c r="H86" s="10">
        <v>15070</v>
      </c>
      <c r="I86" s="10">
        <f t="shared" si="4"/>
        <v>32230</v>
      </c>
    </row>
    <row r="87" spans="1:9" s="7" customFormat="1" ht="15" customHeight="1" x14ac:dyDescent="0.25">
      <c r="A87" s="2">
        <f t="shared" si="5"/>
        <v>83</v>
      </c>
      <c r="B87" s="10" t="s">
        <v>232</v>
      </c>
      <c r="C87" s="11" t="s">
        <v>41</v>
      </c>
      <c r="D87" s="12">
        <v>46175</v>
      </c>
      <c r="E87" s="13" t="s">
        <v>315</v>
      </c>
      <c r="F87" s="13" t="s">
        <v>106</v>
      </c>
      <c r="G87" s="10">
        <v>47820</v>
      </c>
      <c r="H87" s="10">
        <v>15760</v>
      </c>
      <c r="I87" s="10">
        <f t="shared" si="4"/>
        <v>32060</v>
      </c>
    </row>
    <row r="88" spans="1:9" s="7" customFormat="1" ht="15" customHeight="1" x14ac:dyDescent="0.25">
      <c r="A88" s="2">
        <f t="shared" si="5"/>
        <v>84</v>
      </c>
      <c r="B88" s="10" t="s">
        <v>230</v>
      </c>
      <c r="C88" s="11" t="s">
        <v>85</v>
      </c>
      <c r="D88" s="12">
        <v>46175</v>
      </c>
      <c r="E88" s="13" t="s">
        <v>316</v>
      </c>
      <c r="F88" s="13" t="s">
        <v>106</v>
      </c>
      <c r="G88" s="10">
        <v>47370</v>
      </c>
      <c r="H88" s="10">
        <v>16300</v>
      </c>
      <c r="I88" s="10">
        <f t="shared" si="4"/>
        <v>31070</v>
      </c>
    </row>
    <row r="89" spans="1:9" s="7" customFormat="1" ht="15" customHeight="1" x14ac:dyDescent="0.25">
      <c r="A89" s="2">
        <f t="shared" si="5"/>
        <v>85</v>
      </c>
      <c r="B89" s="10" t="s">
        <v>233</v>
      </c>
      <c r="C89" s="11" t="s">
        <v>35</v>
      </c>
      <c r="D89" s="12">
        <v>46175</v>
      </c>
      <c r="E89" s="13" t="s">
        <v>317</v>
      </c>
      <c r="F89" s="13" t="s">
        <v>106</v>
      </c>
      <c r="G89" s="10">
        <v>48580</v>
      </c>
      <c r="H89" s="10">
        <v>15370</v>
      </c>
      <c r="I89" s="10">
        <f t="shared" si="4"/>
        <v>33210</v>
      </c>
    </row>
    <row r="90" spans="1:9" s="7" customFormat="1" ht="15" customHeight="1" x14ac:dyDescent="0.25">
      <c r="A90" s="2">
        <f t="shared" si="5"/>
        <v>86</v>
      </c>
      <c r="B90" s="10" t="s">
        <v>223</v>
      </c>
      <c r="C90" s="11" t="s">
        <v>37</v>
      </c>
      <c r="D90" s="12">
        <v>46175</v>
      </c>
      <c r="E90" s="13" t="s">
        <v>318</v>
      </c>
      <c r="F90" s="13" t="s">
        <v>106</v>
      </c>
      <c r="G90" s="10">
        <v>48330</v>
      </c>
      <c r="H90" s="10">
        <v>16440</v>
      </c>
      <c r="I90" s="10">
        <f t="shared" si="4"/>
        <v>31890</v>
      </c>
    </row>
    <row r="91" spans="1:9" s="7" customFormat="1" ht="15" customHeight="1" x14ac:dyDescent="0.25">
      <c r="A91" s="2">
        <f t="shared" si="5"/>
        <v>87</v>
      </c>
      <c r="B91" s="10" t="s">
        <v>224</v>
      </c>
      <c r="C91" s="11" t="s">
        <v>82</v>
      </c>
      <c r="D91" s="12">
        <v>46175</v>
      </c>
      <c r="E91" s="13" t="s">
        <v>319</v>
      </c>
      <c r="F91" s="13" t="s">
        <v>106</v>
      </c>
      <c r="G91" s="10">
        <v>46680</v>
      </c>
      <c r="H91" s="10">
        <v>15800</v>
      </c>
      <c r="I91" s="10">
        <f t="shared" si="4"/>
        <v>30880</v>
      </c>
    </row>
    <row r="92" spans="1:9" s="7" customFormat="1" ht="15" customHeight="1" x14ac:dyDescent="0.25">
      <c r="A92" s="2">
        <f t="shared" si="5"/>
        <v>88</v>
      </c>
      <c r="B92" s="10" t="s">
        <v>231</v>
      </c>
      <c r="C92" s="11" t="s">
        <v>48</v>
      </c>
      <c r="D92" s="12">
        <v>46176</v>
      </c>
      <c r="E92" s="13" t="s">
        <v>320</v>
      </c>
      <c r="F92" s="13" t="s">
        <v>106</v>
      </c>
      <c r="G92" s="10">
        <v>46560</v>
      </c>
      <c r="H92" s="10">
        <v>15100</v>
      </c>
      <c r="I92" s="10">
        <f t="shared" si="4"/>
        <v>31460</v>
      </c>
    </row>
    <row r="93" spans="1:9" s="7" customFormat="1" ht="15" customHeight="1" x14ac:dyDescent="0.25">
      <c r="A93" s="2">
        <f t="shared" si="5"/>
        <v>89</v>
      </c>
      <c r="B93" s="10" t="s">
        <v>249</v>
      </c>
      <c r="C93" s="11" t="s">
        <v>61</v>
      </c>
      <c r="D93" s="12">
        <v>46176</v>
      </c>
      <c r="E93" s="13" t="s">
        <v>321</v>
      </c>
      <c r="F93" s="13" t="s">
        <v>106</v>
      </c>
      <c r="G93" s="10">
        <v>67100</v>
      </c>
      <c r="H93" s="10">
        <v>24370</v>
      </c>
      <c r="I93" s="10">
        <f t="shared" si="4"/>
        <v>42730</v>
      </c>
    </row>
    <row r="94" spans="1:9" s="7" customFormat="1" ht="15" customHeight="1" x14ac:dyDescent="0.25">
      <c r="A94" s="2">
        <f t="shared" si="5"/>
        <v>90</v>
      </c>
      <c r="B94" s="10" t="s">
        <v>134</v>
      </c>
      <c r="C94" s="11" t="s">
        <v>30</v>
      </c>
      <c r="D94" s="12">
        <v>46176</v>
      </c>
      <c r="E94" s="13" t="s">
        <v>322</v>
      </c>
      <c r="F94" s="13" t="s">
        <v>106</v>
      </c>
      <c r="G94" s="10">
        <v>46380</v>
      </c>
      <c r="H94" s="10">
        <v>14710</v>
      </c>
      <c r="I94" s="10">
        <f t="shared" si="4"/>
        <v>31670</v>
      </c>
    </row>
    <row r="95" spans="1:9" s="7" customFormat="1" ht="15" customHeight="1" x14ac:dyDescent="0.25">
      <c r="A95" s="2">
        <f t="shared" si="5"/>
        <v>91</v>
      </c>
      <c r="B95" s="10" t="s">
        <v>202</v>
      </c>
      <c r="C95" s="11" t="s">
        <v>60</v>
      </c>
      <c r="D95" s="12">
        <v>46176</v>
      </c>
      <c r="E95" s="13" t="s">
        <v>323</v>
      </c>
      <c r="F95" s="13" t="s">
        <v>106</v>
      </c>
      <c r="G95" s="10">
        <v>45270</v>
      </c>
      <c r="H95" s="10">
        <v>15520</v>
      </c>
      <c r="I95" s="10">
        <f t="shared" si="4"/>
        <v>29750</v>
      </c>
    </row>
    <row r="96" spans="1:9" s="7" customFormat="1" ht="15" customHeight="1" x14ac:dyDescent="0.25">
      <c r="A96" s="2">
        <f t="shared" si="5"/>
        <v>92</v>
      </c>
      <c r="B96" s="10" t="s">
        <v>186</v>
      </c>
      <c r="C96" s="11" t="s">
        <v>40</v>
      </c>
      <c r="D96" s="12">
        <v>46176</v>
      </c>
      <c r="E96" s="13" t="s">
        <v>324</v>
      </c>
      <c r="F96" s="13" t="s">
        <v>106</v>
      </c>
      <c r="G96" s="10">
        <v>47170</v>
      </c>
      <c r="H96" s="10">
        <v>15020</v>
      </c>
      <c r="I96" s="10">
        <f t="shared" si="4"/>
        <v>32150</v>
      </c>
    </row>
    <row r="97" spans="1:9" s="7" customFormat="1" ht="15" customHeight="1" x14ac:dyDescent="0.25">
      <c r="A97" s="2">
        <f t="shared" si="5"/>
        <v>93</v>
      </c>
      <c r="B97" s="10" t="s">
        <v>152</v>
      </c>
      <c r="C97" s="11" t="s">
        <v>83</v>
      </c>
      <c r="D97" s="12">
        <v>46176</v>
      </c>
      <c r="E97" s="13" t="s">
        <v>325</v>
      </c>
      <c r="F97" s="13" t="s">
        <v>106</v>
      </c>
      <c r="G97" s="10">
        <v>48160</v>
      </c>
      <c r="H97" s="10">
        <v>15110</v>
      </c>
      <c r="I97" s="10">
        <f t="shared" si="4"/>
        <v>33050</v>
      </c>
    </row>
    <row r="98" spans="1:9" s="7" customFormat="1" ht="15" customHeight="1" x14ac:dyDescent="0.25">
      <c r="A98" s="2">
        <f t="shared" si="5"/>
        <v>94</v>
      </c>
      <c r="B98" s="10" t="s">
        <v>158</v>
      </c>
      <c r="C98" s="11" t="s">
        <v>97</v>
      </c>
      <c r="D98" s="12">
        <v>46176</v>
      </c>
      <c r="E98" s="13" t="s">
        <v>326</v>
      </c>
      <c r="F98" s="13" t="s">
        <v>106</v>
      </c>
      <c r="G98" s="10">
        <v>50330</v>
      </c>
      <c r="H98" s="10">
        <v>15120</v>
      </c>
      <c r="I98" s="10">
        <f t="shared" si="4"/>
        <v>35210</v>
      </c>
    </row>
    <row r="99" spans="1:9" s="7" customFormat="1" ht="15" customHeight="1" x14ac:dyDescent="0.25">
      <c r="A99" s="2">
        <f t="shared" si="5"/>
        <v>95</v>
      </c>
      <c r="B99" s="10" t="s">
        <v>218</v>
      </c>
      <c r="C99" s="11" t="s">
        <v>27</v>
      </c>
      <c r="D99" s="12">
        <v>46176</v>
      </c>
      <c r="E99" s="13" t="s">
        <v>327</v>
      </c>
      <c r="F99" s="13" t="s">
        <v>106</v>
      </c>
      <c r="G99" s="10">
        <v>48230</v>
      </c>
      <c r="H99" s="10">
        <v>15310</v>
      </c>
      <c r="I99" s="10">
        <f t="shared" si="4"/>
        <v>32920</v>
      </c>
    </row>
    <row r="100" spans="1:9" s="7" customFormat="1" ht="15" customHeight="1" x14ac:dyDescent="0.25">
      <c r="A100" s="2">
        <f t="shared" si="5"/>
        <v>96</v>
      </c>
      <c r="B100" s="10" t="s">
        <v>156</v>
      </c>
      <c r="C100" s="11" t="s">
        <v>25</v>
      </c>
      <c r="D100" s="12">
        <v>46176</v>
      </c>
      <c r="E100" s="13" t="s">
        <v>328</v>
      </c>
      <c r="F100" s="13" t="s">
        <v>106</v>
      </c>
      <c r="G100" s="10">
        <v>45680</v>
      </c>
      <c r="H100" s="10">
        <v>14730</v>
      </c>
      <c r="I100" s="10">
        <f t="shared" si="4"/>
        <v>30950</v>
      </c>
    </row>
    <row r="101" spans="1:9" s="7" customFormat="1" ht="15" customHeight="1" x14ac:dyDescent="0.25">
      <c r="A101" s="2">
        <f t="shared" si="5"/>
        <v>97</v>
      </c>
      <c r="B101" s="10" t="s">
        <v>160</v>
      </c>
      <c r="C101" s="11" t="s">
        <v>92</v>
      </c>
      <c r="D101" s="12">
        <v>46176</v>
      </c>
      <c r="E101" s="13" t="s">
        <v>329</v>
      </c>
      <c r="F101" s="13" t="s">
        <v>106</v>
      </c>
      <c r="G101" s="10">
        <v>50100</v>
      </c>
      <c r="H101" s="10">
        <v>15980</v>
      </c>
      <c r="I101" s="10">
        <f t="shared" ref="I101:I117" si="6">G101-H101</f>
        <v>34120</v>
      </c>
    </row>
    <row r="102" spans="1:9" s="7" customFormat="1" ht="15" customHeight="1" x14ac:dyDescent="0.25">
      <c r="A102" s="2">
        <f t="shared" ref="A102:A117" si="7">A101+1</f>
        <v>98</v>
      </c>
      <c r="B102" s="10" t="s">
        <v>193</v>
      </c>
      <c r="C102" s="11" t="s">
        <v>98</v>
      </c>
      <c r="D102" s="12">
        <v>46176</v>
      </c>
      <c r="E102" s="13" t="s">
        <v>131</v>
      </c>
      <c r="F102" s="13" t="s">
        <v>106</v>
      </c>
      <c r="G102" s="10">
        <v>46720</v>
      </c>
      <c r="H102" s="10">
        <v>14490</v>
      </c>
      <c r="I102" s="10">
        <f t="shared" si="6"/>
        <v>32230</v>
      </c>
    </row>
    <row r="103" spans="1:9" s="7" customFormat="1" ht="15" customHeight="1" x14ac:dyDescent="0.25">
      <c r="A103" s="2">
        <f t="shared" si="7"/>
        <v>99</v>
      </c>
      <c r="B103" s="10" t="s">
        <v>180</v>
      </c>
      <c r="C103" s="11" t="s">
        <v>101</v>
      </c>
      <c r="D103" s="12">
        <v>46176</v>
      </c>
      <c r="E103" s="13" t="s">
        <v>330</v>
      </c>
      <c r="F103" s="13" t="s">
        <v>106</v>
      </c>
      <c r="G103" s="10">
        <v>47700</v>
      </c>
      <c r="H103" s="10">
        <v>15070</v>
      </c>
      <c r="I103" s="10">
        <f t="shared" si="6"/>
        <v>32630</v>
      </c>
    </row>
    <row r="104" spans="1:9" s="7" customFormat="1" ht="15" customHeight="1" x14ac:dyDescent="0.25">
      <c r="A104" s="2">
        <f t="shared" si="7"/>
        <v>100</v>
      </c>
      <c r="B104" s="10" t="s">
        <v>207</v>
      </c>
      <c r="C104" s="11" t="s">
        <v>104</v>
      </c>
      <c r="D104" s="12">
        <v>46176</v>
      </c>
      <c r="E104" s="13" t="s">
        <v>331</v>
      </c>
      <c r="F104" s="13" t="s">
        <v>106</v>
      </c>
      <c r="G104" s="10">
        <v>48870</v>
      </c>
      <c r="H104" s="10">
        <v>15620</v>
      </c>
      <c r="I104" s="10">
        <f t="shared" si="6"/>
        <v>33250</v>
      </c>
    </row>
    <row r="105" spans="1:9" s="7" customFormat="1" ht="15" customHeight="1" x14ac:dyDescent="0.25">
      <c r="A105" s="2">
        <f t="shared" si="7"/>
        <v>101</v>
      </c>
      <c r="B105" s="10" t="s">
        <v>222</v>
      </c>
      <c r="C105" s="11" t="s">
        <v>43</v>
      </c>
      <c r="D105" s="12">
        <v>46176</v>
      </c>
      <c r="E105" s="13" t="s">
        <v>332</v>
      </c>
      <c r="F105" s="13" t="s">
        <v>106</v>
      </c>
      <c r="G105" s="10">
        <v>48550</v>
      </c>
      <c r="H105" s="10">
        <v>14810</v>
      </c>
      <c r="I105" s="10">
        <f t="shared" si="6"/>
        <v>33740</v>
      </c>
    </row>
    <row r="106" spans="1:9" s="7" customFormat="1" ht="15" customHeight="1" x14ac:dyDescent="0.25">
      <c r="A106" s="2">
        <f t="shared" si="7"/>
        <v>102</v>
      </c>
      <c r="B106" s="10" t="s">
        <v>209</v>
      </c>
      <c r="C106" s="11" t="s">
        <v>88</v>
      </c>
      <c r="D106" s="12">
        <v>46176</v>
      </c>
      <c r="E106" s="13" t="s">
        <v>333</v>
      </c>
      <c r="F106" s="13" t="s">
        <v>106</v>
      </c>
      <c r="G106" s="10">
        <v>49140</v>
      </c>
      <c r="H106" s="10">
        <v>14890</v>
      </c>
      <c r="I106" s="10">
        <f t="shared" si="6"/>
        <v>34250</v>
      </c>
    </row>
    <row r="107" spans="1:9" s="7" customFormat="1" ht="15" customHeight="1" x14ac:dyDescent="0.25">
      <c r="A107" s="2">
        <f t="shared" si="7"/>
        <v>103</v>
      </c>
      <c r="B107" s="10" t="s">
        <v>210</v>
      </c>
      <c r="C107" s="11" t="s">
        <v>79</v>
      </c>
      <c r="D107" s="12">
        <v>46176</v>
      </c>
      <c r="E107" s="13" t="s">
        <v>334</v>
      </c>
      <c r="F107" s="13" t="s">
        <v>106</v>
      </c>
      <c r="G107" s="10">
        <v>47570</v>
      </c>
      <c r="H107" s="10">
        <v>14660</v>
      </c>
      <c r="I107" s="10">
        <f t="shared" si="6"/>
        <v>32910</v>
      </c>
    </row>
    <row r="108" spans="1:9" s="7" customFormat="1" ht="15" customHeight="1" x14ac:dyDescent="0.25">
      <c r="A108" s="2">
        <f t="shared" si="7"/>
        <v>104</v>
      </c>
      <c r="B108" s="10" t="s">
        <v>163</v>
      </c>
      <c r="C108" s="11" t="s">
        <v>90</v>
      </c>
      <c r="D108" s="12">
        <v>46176</v>
      </c>
      <c r="E108" s="13" t="s">
        <v>335</v>
      </c>
      <c r="F108" s="13" t="s">
        <v>106</v>
      </c>
      <c r="G108" s="10">
        <v>68560</v>
      </c>
      <c r="H108" s="10">
        <v>23230</v>
      </c>
      <c r="I108" s="10">
        <f t="shared" si="6"/>
        <v>45330</v>
      </c>
    </row>
    <row r="109" spans="1:9" s="7" customFormat="1" ht="15" customHeight="1" x14ac:dyDescent="0.25">
      <c r="A109" s="2">
        <f t="shared" si="7"/>
        <v>105</v>
      </c>
      <c r="B109" s="10" t="s">
        <v>177</v>
      </c>
      <c r="C109" s="11" t="s">
        <v>91</v>
      </c>
      <c r="D109" s="12">
        <v>46176</v>
      </c>
      <c r="E109" s="13" t="s">
        <v>336</v>
      </c>
      <c r="F109" s="13" t="s">
        <v>106</v>
      </c>
      <c r="G109" s="10">
        <v>50080</v>
      </c>
      <c r="H109" s="10">
        <v>15390</v>
      </c>
      <c r="I109" s="10">
        <f t="shared" si="6"/>
        <v>34690</v>
      </c>
    </row>
    <row r="110" spans="1:9" s="7" customFormat="1" ht="15" customHeight="1" x14ac:dyDescent="0.25">
      <c r="A110" s="2">
        <f t="shared" si="7"/>
        <v>106</v>
      </c>
      <c r="B110" s="10" t="s">
        <v>191</v>
      </c>
      <c r="C110" s="11" t="s">
        <v>192</v>
      </c>
      <c r="D110" s="12">
        <v>46176</v>
      </c>
      <c r="E110" s="13" t="s">
        <v>337</v>
      </c>
      <c r="F110" s="13" t="s">
        <v>106</v>
      </c>
      <c r="G110" s="10">
        <v>45560</v>
      </c>
      <c r="H110" s="10">
        <v>14090</v>
      </c>
      <c r="I110" s="10">
        <f t="shared" si="6"/>
        <v>31470</v>
      </c>
    </row>
    <row r="111" spans="1:9" s="7" customFormat="1" ht="15" customHeight="1" x14ac:dyDescent="0.25">
      <c r="A111" s="2">
        <f t="shared" si="7"/>
        <v>107</v>
      </c>
      <c r="B111" s="10" t="s">
        <v>338</v>
      </c>
      <c r="C111" s="11" t="s">
        <v>103</v>
      </c>
      <c r="D111" s="12">
        <v>46176</v>
      </c>
      <c r="E111" s="35">
        <v>0.37291666666666667</v>
      </c>
      <c r="F111" s="13" t="s">
        <v>106</v>
      </c>
      <c r="G111" s="10">
        <v>51020</v>
      </c>
      <c r="H111" s="10">
        <v>14980</v>
      </c>
      <c r="I111" s="10">
        <f t="shared" si="6"/>
        <v>36040</v>
      </c>
    </row>
    <row r="112" spans="1:9" s="7" customFormat="1" ht="15" customHeight="1" x14ac:dyDescent="0.25">
      <c r="A112" s="2">
        <f t="shared" si="7"/>
        <v>108</v>
      </c>
      <c r="B112" s="10" t="s">
        <v>339</v>
      </c>
      <c r="C112" s="11" t="s">
        <v>182</v>
      </c>
      <c r="D112" s="12">
        <v>46176</v>
      </c>
      <c r="E112" s="35">
        <v>0.38819444444444445</v>
      </c>
      <c r="F112" s="13" t="s">
        <v>106</v>
      </c>
      <c r="G112" s="10">
        <v>43820</v>
      </c>
      <c r="H112" s="10">
        <v>14200</v>
      </c>
      <c r="I112" s="10">
        <f t="shared" si="6"/>
        <v>29620</v>
      </c>
    </row>
    <row r="113" spans="1:9" s="7" customFormat="1" ht="15" customHeight="1" x14ac:dyDescent="0.25">
      <c r="A113" s="2">
        <f t="shared" si="7"/>
        <v>109</v>
      </c>
      <c r="B113" s="10" t="s">
        <v>340</v>
      </c>
      <c r="C113" s="11" t="s">
        <v>57</v>
      </c>
      <c r="D113" s="12">
        <v>46176</v>
      </c>
      <c r="E113" s="35">
        <v>0.3888888888888889</v>
      </c>
      <c r="F113" s="13" t="s">
        <v>106</v>
      </c>
      <c r="G113" s="10">
        <v>49290</v>
      </c>
      <c r="H113" s="10">
        <v>14590</v>
      </c>
      <c r="I113" s="10">
        <f t="shared" si="6"/>
        <v>34700</v>
      </c>
    </row>
    <row r="114" spans="1:9" s="7" customFormat="1" ht="15" customHeight="1" x14ac:dyDescent="0.25">
      <c r="A114" s="2">
        <f t="shared" si="7"/>
        <v>110</v>
      </c>
      <c r="B114" s="10" t="s">
        <v>343</v>
      </c>
      <c r="C114" s="11" t="s">
        <v>341</v>
      </c>
      <c r="D114" s="12">
        <v>46176</v>
      </c>
      <c r="E114" s="35">
        <v>0.56597222222222221</v>
      </c>
      <c r="F114" s="13" t="s">
        <v>106</v>
      </c>
      <c r="G114" s="10">
        <v>62040</v>
      </c>
      <c r="H114" s="10">
        <v>20440</v>
      </c>
      <c r="I114" s="10">
        <f t="shared" si="6"/>
        <v>41600</v>
      </c>
    </row>
    <row r="115" spans="1:9" s="7" customFormat="1" ht="15" customHeight="1" x14ac:dyDescent="0.25">
      <c r="A115" s="2">
        <f t="shared" si="7"/>
        <v>111</v>
      </c>
      <c r="B115" s="10" t="s">
        <v>344</v>
      </c>
      <c r="C115" s="11" t="s">
        <v>342</v>
      </c>
      <c r="D115" s="12">
        <v>46176</v>
      </c>
      <c r="E115" s="35">
        <v>0.52500000000000002</v>
      </c>
      <c r="F115" s="13" t="s">
        <v>106</v>
      </c>
      <c r="G115" s="10">
        <v>47350</v>
      </c>
      <c r="H115" s="10">
        <v>15470</v>
      </c>
      <c r="I115" s="10">
        <f t="shared" si="6"/>
        <v>31880</v>
      </c>
    </row>
    <row r="116" spans="1:9" s="7" customFormat="1" ht="15" customHeight="1" x14ac:dyDescent="0.25">
      <c r="A116" s="2">
        <f t="shared" si="7"/>
        <v>112</v>
      </c>
      <c r="B116" s="10" t="s">
        <v>345</v>
      </c>
      <c r="C116" s="11" t="s">
        <v>87</v>
      </c>
      <c r="D116" s="12">
        <v>46176</v>
      </c>
      <c r="E116" s="35">
        <v>0.52083333333333337</v>
      </c>
      <c r="F116" s="13" t="s">
        <v>106</v>
      </c>
      <c r="G116" s="10">
        <v>46500</v>
      </c>
      <c r="H116" s="10">
        <v>13670</v>
      </c>
      <c r="I116" s="10">
        <f t="shared" si="6"/>
        <v>32830</v>
      </c>
    </row>
    <row r="117" spans="1:9" s="7" customFormat="1" ht="15" customHeight="1" x14ac:dyDescent="0.25">
      <c r="A117" s="2">
        <f t="shared" si="7"/>
        <v>113</v>
      </c>
      <c r="B117" s="10" t="s">
        <v>346</v>
      </c>
      <c r="C117" s="11" t="s">
        <v>66</v>
      </c>
      <c r="D117" s="12">
        <v>46176</v>
      </c>
      <c r="E117" s="35">
        <v>0.48541666666666666</v>
      </c>
      <c r="F117" s="13" t="s">
        <v>106</v>
      </c>
      <c r="G117" s="10">
        <v>47490</v>
      </c>
      <c r="H117" s="10">
        <v>14540</v>
      </c>
      <c r="I117" s="10">
        <f t="shared" si="6"/>
        <v>32950</v>
      </c>
    </row>
    <row r="118" spans="1:9" s="7" customFormat="1" ht="15" customHeight="1" x14ac:dyDescent="0.25">
      <c r="B118" s="24"/>
      <c r="C118" s="25"/>
      <c r="D118" s="26"/>
      <c r="E118" s="27"/>
      <c r="F118" s="27"/>
      <c r="G118" s="24"/>
      <c r="H118" s="28"/>
      <c r="I118" s="28"/>
    </row>
    <row r="119" spans="1:9" s="7" customFormat="1" ht="15" customHeight="1" x14ac:dyDescent="0.25">
      <c r="G119" s="6" t="s">
        <v>9</v>
      </c>
      <c r="H119" s="6">
        <f>COUNTIF(I5:I117,"&gt;0")</f>
        <v>113</v>
      </c>
      <c r="I119" s="20">
        <f>SUM(I5:I117)/1000</f>
        <v>3770.01</v>
      </c>
    </row>
    <row r="120" spans="1:9" s="7" customFormat="1" ht="15" customHeight="1" x14ac:dyDescent="0.25">
      <c r="E120" s="36"/>
      <c r="H120" s="22"/>
      <c r="I120" s="23"/>
    </row>
    <row r="121" spans="1:9" s="7" customFormat="1" ht="15" customHeight="1" x14ac:dyDescent="0.25">
      <c r="E121" s="36"/>
    </row>
    <row r="122" spans="1:9" s="7" customFormat="1" ht="15" customHeight="1" x14ac:dyDescent="0.25">
      <c r="A122" s="40" t="s">
        <v>11</v>
      </c>
      <c r="B122" s="40"/>
      <c r="C122" s="40"/>
      <c r="D122" s="29"/>
      <c r="E122" s="29"/>
      <c r="F122" s="29"/>
      <c r="G122" s="40" t="s">
        <v>10</v>
      </c>
      <c r="H122" s="40"/>
      <c r="I122" s="40"/>
    </row>
    <row r="123" spans="1:9" s="7" customFormat="1" ht="15" customHeight="1" x14ac:dyDescent="0.25">
      <c r="A123" s="40" t="s">
        <v>19</v>
      </c>
      <c r="B123" s="40"/>
      <c r="C123" s="40"/>
      <c r="D123" s="29"/>
      <c r="E123" s="29"/>
      <c r="F123" s="29"/>
      <c r="G123" s="40" t="s">
        <v>20</v>
      </c>
      <c r="H123" s="40"/>
      <c r="I123" s="40"/>
    </row>
    <row r="124" spans="1:9" s="7" customFormat="1" ht="15" customHeight="1" x14ac:dyDescent="0.25">
      <c r="A124" s="29"/>
      <c r="B124" s="29"/>
      <c r="C124" s="29"/>
      <c r="D124" s="29"/>
      <c r="E124" s="29"/>
      <c r="F124" s="29"/>
      <c r="G124" s="29"/>
      <c r="H124" s="29"/>
      <c r="I124" s="29"/>
    </row>
    <row r="125" spans="1:9" s="7" customFormat="1" ht="15" customHeight="1" x14ac:dyDescent="0.25">
      <c r="A125" s="8"/>
      <c r="B125" s="8"/>
      <c r="C125" s="29"/>
      <c r="D125" s="29"/>
      <c r="E125" s="29"/>
      <c r="F125" s="29"/>
      <c r="G125" s="29"/>
      <c r="H125" s="8"/>
      <c r="I125" s="8"/>
    </row>
    <row r="126" spans="1:9" ht="1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2.95" customHeight="1" x14ac:dyDescent="0.2">
      <c r="A128" s="41" t="s">
        <v>13</v>
      </c>
      <c r="B128" s="41"/>
      <c r="C128" s="41"/>
      <c r="D128" s="9"/>
      <c r="E128" s="9"/>
      <c r="F128" s="9"/>
      <c r="G128" s="30"/>
      <c r="H128" s="30" t="s">
        <v>16</v>
      </c>
      <c r="I128" s="21"/>
    </row>
    <row r="129" spans="1:9" ht="12.95" customHeight="1" x14ac:dyDescent="0.2">
      <c r="A129" s="42" t="s">
        <v>14</v>
      </c>
      <c r="B129" s="42"/>
      <c r="C129" s="42"/>
      <c r="D129" s="9"/>
      <c r="E129" s="9"/>
      <c r="F129" s="9"/>
      <c r="G129" s="31"/>
      <c r="H129" s="31" t="s">
        <v>17</v>
      </c>
      <c r="I129" s="21"/>
    </row>
    <row r="130" spans="1:9" ht="15" customHeight="1" x14ac:dyDescent="0.2">
      <c r="H130" s="31"/>
    </row>
    <row r="131" spans="1:9" ht="15" customHeight="1" x14ac:dyDescent="0.2"/>
    <row r="132" spans="1:9" ht="15" customHeight="1" x14ac:dyDescent="0.2"/>
    <row r="133" spans="1:9" ht="15" customHeight="1" x14ac:dyDescent="0.2"/>
    <row r="134" spans="1:9" ht="15" customHeight="1" x14ac:dyDescent="0.2"/>
    <row r="135" spans="1:9" ht="15" customHeight="1" x14ac:dyDescent="0.2"/>
    <row r="136" spans="1:9" ht="15" customHeight="1" x14ac:dyDescent="0.2"/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3" ht="15" customHeight="1" x14ac:dyDescent="0.2"/>
    <row r="154" ht="15" customHeight="1" x14ac:dyDescent="0.2"/>
    <row r="160" ht="11.25" customHeight="1" x14ac:dyDescent="0.2"/>
    <row r="169" ht="11.25" customHeight="1" x14ac:dyDescent="0.2"/>
  </sheetData>
  <mergeCells count="7">
    <mergeCell ref="A123:C123"/>
    <mergeCell ref="G123:I123"/>
    <mergeCell ref="A128:C128"/>
    <mergeCell ref="A129:C129"/>
    <mergeCell ref="A2:I2"/>
    <mergeCell ref="A122:C122"/>
    <mergeCell ref="G122:I122"/>
  </mergeCells>
  <phoneticPr fontId="13" type="noConversion"/>
  <conditionalFormatting sqref="B185">
    <cfRule type="expression" dxfId="149" priority="62" stopIfTrue="1">
      <formula>$A185="Visa"</formula>
    </cfRule>
  </conditionalFormatting>
  <conditionalFormatting sqref="B191">
    <cfRule type="expression" dxfId="148" priority="53" stopIfTrue="1">
      <formula>$A191="Visa"</formula>
    </cfRule>
  </conditionalFormatting>
  <conditionalFormatting sqref="B223">
    <cfRule type="expression" dxfId="147" priority="69" stopIfTrue="1">
      <formula>$A223="Visa"</formula>
    </cfRule>
  </conditionalFormatting>
  <conditionalFormatting sqref="C5:C19">
    <cfRule type="expression" dxfId="146" priority="78" stopIfTrue="1">
      <formula>$B5="Visa"</formula>
    </cfRule>
  </conditionalFormatting>
  <conditionalFormatting sqref="C5:C121">
    <cfRule type="expression" dxfId="145" priority="7" stopIfTrue="1">
      <formula>$B5="Visa"</formula>
    </cfRule>
    <cfRule type="expression" dxfId="144" priority="38" stopIfTrue="1">
      <formula>$B5="Visa"</formula>
    </cfRule>
    <cfRule type="expression" dxfId="143" priority="61" stopIfTrue="1">
      <formula>$B5="Visa"</formula>
    </cfRule>
    <cfRule type="expression" dxfId="142" priority="76" stopIfTrue="1">
      <formula>$B5="Visa"</formula>
    </cfRule>
  </conditionalFormatting>
  <conditionalFormatting sqref="C13:C15">
    <cfRule type="expression" dxfId="141" priority="75" stopIfTrue="1">
      <formula>$B12="Visa"</formula>
    </cfRule>
  </conditionalFormatting>
  <conditionalFormatting sqref="C13:C20">
    <cfRule type="expression" dxfId="140" priority="6" stopIfTrue="1">
      <formula>$B12="Visa"</formula>
    </cfRule>
    <cfRule type="expression" dxfId="139" priority="60" stopIfTrue="1">
      <formula>$B12="Visa"</formula>
    </cfRule>
  </conditionalFormatting>
  <conditionalFormatting sqref="C13:C117 C119:C121">
    <cfRule type="expression" dxfId="138" priority="77" stopIfTrue="1">
      <formula>$B12="Visa"</formula>
    </cfRule>
  </conditionalFormatting>
  <conditionalFormatting sqref="C17">
    <cfRule type="expression" dxfId="137" priority="34" stopIfTrue="1">
      <formula>$B15="Visa"</formula>
    </cfRule>
    <cfRule type="expression" dxfId="136" priority="74" stopIfTrue="1">
      <formula>$B15="Visa"</formula>
    </cfRule>
  </conditionalFormatting>
  <conditionalFormatting sqref="C21">
    <cfRule type="expression" dxfId="135" priority="12" stopIfTrue="1">
      <formula>#REF!="Visa"</formula>
    </cfRule>
  </conditionalFormatting>
  <conditionalFormatting sqref="C118">
    <cfRule type="expression" dxfId="134" priority="341" stopIfTrue="1">
      <formula>#REF!="Visa"</formula>
    </cfRule>
  </conditionalFormatting>
  <conditionalFormatting sqref="C122:C127">
    <cfRule type="expression" dxfId="133" priority="1" stopIfTrue="1">
      <formula>$B122="Visa"</formula>
    </cfRule>
    <cfRule type="expression" dxfId="132" priority="5" stopIfTrue="1">
      <formula>$B121="Visa"</formula>
    </cfRule>
  </conditionalFormatting>
  <conditionalFormatting sqref="C130:C131 C133:C134 C12:C20">
    <cfRule type="expression" dxfId="131" priority="14" stopIfTrue="1">
      <formula>$B11="Visa"</formula>
    </cfRule>
  </conditionalFormatting>
  <conditionalFormatting sqref="C130:C132">
    <cfRule type="expression" dxfId="130" priority="19" stopIfTrue="1">
      <formula>$B129="Visa"</formula>
    </cfRule>
    <cfRule type="expression" dxfId="129" priority="20" stopIfTrue="1">
      <formula>$B130="Visa"</formula>
    </cfRule>
  </conditionalFormatting>
  <conditionalFormatting sqref="C130:C133 C135:C136">
    <cfRule type="expression" dxfId="128" priority="10" stopIfTrue="1">
      <formula>$B129="Visa"</formula>
    </cfRule>
    <cfRule type="expression" dxfId="127" priority="17" stopIfTrue="1">
      <formula>$B129="Visa"</formula>
    </cfRule>
    <cfRule type="expression" dxfId="126" priority="23" stopIfTrue="1">
      <formula>$B129="Visa"</formula>
    </cfRule>
    <cfRule type="expression" dxfId="125" priority="40" stopIfTrue="1">
      <formula>$B129="Visa"</formula>
    </cfRule>
  </conditionalFormatting>
  <conditionalFormatting sqref="C130:C137">
    <cfRule type="expression" dxfId="124" priority="18" stopIfTrue="1">
      <formula>$B130="Visa"</formula>
    </cfRule>
  </conditionalFormatting>
  <conditionalFormatting sqref="C130:C138">
    <cfRule type="expression" dxfId="123" priority="45" stopIfTrue="1">
      <formula>$B129="Visa"</formula>
    </cfRule>
    <cfRule type="expression" dxfId="122" priority="46" stopIfTrue="1">
      <formula>$B130="Visa"</formula>
    </cfRule>
  </conditionalFormatting>
  <conditionalFormatting sqref="C130:C143 C145:C156">
    <cfRule type="expression" dxfId="121" priority="27" stopIfTrue="1">
      <formula>$B129="Visa"</formula>
    </cfRule>
  </conditionalFormatting>
  <conditionalFormatting sqref="C130:C145">
    <cfRule type="expression" dxfId="120" priority="41" stopIfTrue="1">
      <formula>$B130="Visa"</formula>
    </cfRule>
  </conditionalFormatting>
  <conditionalFormatting sqref="C130:C146 C148:C160 C162:C163">
    <cfRule type="expression" dxfId="119" priority="32" stopIfTrue="1">
      <formula>$B129="Visa"</formula>
    </cfRule>
  </conditionalFormatting>
  <conditionalFormatting sqref="C130:C146 C185:C186">
    <cfRule type="expression" dxfId="118" priority="57" stopIfTrue="1">
      <formula>$B129="Visa"</formula>
    </cfRule>
  </conditionalFormatting>
  <conditionalFormatting sqref="C130:C146">
    <cfRule type="expression" dxfId="117" priority="15" stopIfTrue="1">
      <formula>$B130="Visa"</formula>
    </cfRule>
    <cfRule type="expression" dxfId="116" priority="49" stopIfTrue="1">
      <formula>$B129="Visa"</formula>
    </cfRule>
    <cfRule type="expression" dxfId="115" priority="71" stopIfTrue="1">
      <formula>$B129="Visa"</formula>
    </cfRule>
  </conditionalFormatting>
  <conditionalFormatting sqref="C130:C147">
    <cfRule type="expression" dxfId="114" priority="65" stopIfTrue="1">
      <formula>$B129="Visa"</formula>
    </cfRule>
  </conditionalFormatting>
  <conditionalFormatting sqref="C130:C148">
    <cfRule type="expression" dxfId="113" priority="11" stopIfTrue="1">
      <formula>$B130="Visa"</formula>
    </cfRule>
  </conditionalFormatting>
  <conditionalFormatting sqref="C130:C157">
    <cfRule type="expression" dxfId="112" priority="28" stopIfTrue="1">
      <formula>$B130="Visa"</formula>
    </cfRule>
  </conditionalFormatting>
  <conditionalFormatting sqref="C130:C158">
    <cfRule type="expression" dxfId="111" priority="24" stopIfTrue="1">
      <formula>$B130="Visa"</formula>
    </cfRule>
  </conditionalFormatting>
  <conditionalFormatting sqref="C130:C170">
    <cfRule type="expression" dxfId="110" priority="43" stopIfTrue="1">
      <formula>$B129="Visa"</formula>
    </cfRule>
  </conditionalFormatting>
  <conditionalFormatting sqref="C130:C171">
    <cfRule type="expression" dxfId="109" priority="44" stopIfTrue="1">
      <formula>$B130="Visa"</formula>
    </cfRule>
  </conditionalFormatting>
  <conditionalFormatting sqref="C130:C172">
    <cfRule type="expression" dxfId="108" priority="51" stopIfTrue="1">
      <formula>$B129="Visa"</formula>
    </cfRule>
  </conditionalFormatting>
  <conditionalFormatting sqref="C130:C173">
    <cfRule type="expression" dxfId="107" priority="52" stopIfTrue="1">
      <formula>$B130="Visa"</formula>
    </cfRule>
  </conditionalFormatting>
  <conditionalFormatting sqref="C130:C175">
    <cfRule type="expression" dxfId="106" priority="33" stopIfTrue="1">
      <formula>$B130="Visa"</formula>
    </cfRule>
  </conditionalFormatting>
  <conditionalFormatting sqref="C130:C184">
    <cfRule type="expression" dxfId="105" priority="67" stopIfTrue="1">
      <formula>$B130="Visa"</formula>
    </cfRule>
  </conditionalFormatting>
  <conditionalFormatting sqref="C130:C190">
    <cfRule type="expression" dxfId="104" priority="59" stopIfTrue="1">
      <formula>$B130="Visa"</formula>
    </cfRule>
  </conditionalFormatting>
  <conditionalFormatting sqref="C130:C202">
    <cfRule type="expression" dxfId="103" priority="73" stopIfTrue="1">
      <formula>$B130="Visa"</formula>
    </cfRule>
  </conditionalFormatting>
  <conditionalFormatting sqref="C132">
    <cfRule type="expression" dxfId="102" priority="13" stopIfTrue="1">
      <formula>$B16="Visa"</formula>
    </cfRule>
  </conditionalFormatting>
  <conditionalFormatting sqref="C134">
    <cfRule type="expression" dxfId="101" priority="9" stopIfTrue="1">
      <formula>$B17="Visa"</formula>
    </cfRule>
    <cfRule type="expression" dxfId="100" priority="16" stopIfTrue="1">
      <formula>$B17="Visa"</formula>
    </cfRule>
    <cfRule type="expression" dxfId="99" priority="22" stopIfTrue="1">
      <formula>$B17="Visa"</formula>
    </cfRule>
    <cfRule type="expression" dxfId="98" priority="39" stopIfTrue="1">
      <formula>$B17="Visa"</formula>
    </cfRule>
  </conditionalFormatting>
  <conditionalFormatting sqref="C144">
    <cfRule type="expression" dxfId="97" priority="25" stopIfTrue="1">
      <formula>$B120="Visa"</formula>
    </cfRule>
  </conditionalFormatting>
  <conditionalFormatting sqref="C146:C162">
    <cfRule type="expression" dxfId="96" priority="36" stopIfTrue="1">
      <formula>$B146="Visa"</formula>
    </cfRule>
  </conditionalFormatting>
  <conditionalFormatting sqref="C147">
    <cfRule type="expression" dxfId="95" priority="30" stopIfTrue="1">
      <formula>$B119="Visa"</formula>
    </cfRule>
    <cfRule type="expression" dxfId="94" priority="48" stopIfTrue="1">
      <formula>$B119="Visa"</formula>
    </cfRule>
    <cfRule type="expression" dxfId="93" priority="55" stopIfTrue="1">
      <formula>$B119="Visa"</formula>
    </cfRule>
    <cfRule type="expression" dxfId="92" priority="70" stopIfTrue="1">
      <formula>$B119="Visa"</formula>
    </cfRule>
  </conditionalFormatting>
  <conditionalFormatting sqref="C147:C162">
    <cfRule type="expression" dxfId="91" priority="35" stopIfTrue="1">
      <formula>$B146="Visa"</formula>
    </cfRule>
  </conditionalFormatting>
  <conditionalFormatting sqref="C148">
    <cfRule type="expression" dxfId="90" priority="64" stopIfTrue="1">
      <formula>$B120="Visa"</formula>
    </cfRule>
  </conditionalFormatting>
  <conditionalFormatting sqref="C148:C171 C173:C183">
    <cfRule type="expression" dxfId="89" priority="58" stopIfTrue="1">
      <formula>$B147="Visa"</formula>
    </cfRule>
  </conditionalFormatting>
  <conditionalFormatting sqref="C148:C190 C192:C202">
    <cfRule type="expression" dxfId="88" priority="72" stopIfTrue="1">
      <formula>$B147="Visa"</formula>
    </cfRule>
  </conditionalFormatting>
  <conditionalFormatting sqref="C149">
    <cfRule type="expression" dxfId="87" priority="8" stopIfTrue="1">
      <formula>$B149="Visa"</formula>
    </cfRule>
  </conditionalFormatting>
  <conditionalFormatting sqref="C149:C172 C174:C184">
    <cfRule type="expression" dxfId="86" priority="66" stopIfTrue="1">
      <formula>$B148="Visa"</formula>
    </cfRule>
  </conditionalFormatting>
  <conditionalFormatting sqref="C154">
    <cfRule type="expression" dxfId="85" priority="50" stopIfTrue="1">
      <formula>$B125="Visa"</formula>
    </cfRule>
  </conditionalFormatting>
  <conditionalFormatting sqref="C157">
    <cfRule type="expression" dxfId="84" priority="26" stopIfTrue="1">
      <formula>$B17="Visa"</formula>
    </cfRule>
  </conditionalFormatting>
  <conditionalFormatting sqref="C158">
    <cfRule type="expression" dxfId="83" priority="21" stopIfTrue="1">
      <formula>$B158="Visa"</formula>
    </cfRule>
  </conditionalFormatting>
  <conditionalFormatting sqref="C161">
    <cfRule type="expression" dxfId="82" priority="31" stopIfTrue="1">
      <formula>$B17="Visa"</formula>
    </cfRule>
  </conditionalFormatting>
  <conditionalFormatting sqref="C171">
    <cfRule type="expression" dxfId="81" priority="42" stopIfTrue="1">
      <formula>$B21="Visa"</formula>
    </cfRule>
  </conditionalFormatting>
  <conditionalFormatting sqref="C172">
    <cfRule type="expression" dxfId="80" priority="54" stopIfTrue="1">
      <formula>$B148="Visa"</formula>
    </cfRule>
  </conditionalFormatting>
  <conditionalFormatting sqref="C173">
    <cfRule type="expression" dxfId="79" priority="47" stopIfTrue="1">
      <formula>$B172="Visa"</formula>
    </cfRule>
    <cfRule type="expression" dxfId="78" priority="63" stopIfTrue="1">
      <formula>$B149="Visa"</formula>
    </cfRule>
  </conditionalFormatting>
  <conditionalFormatting sqref="C176">
    <cfRule type="expression" dxfId="77" priority="29" stopIfTrue="1">
      <formula>$B176="Visa"</formula>
    </cfRule>
  </conditionalFormatting>
  <conditionalFormatting sqref="C184">
    <cfRule type="expression" dxfId="76" priority="56" stopIfTrue="1">
      <formula>$B17="Visa"</formula>
    </cfRule>
  </conditionalFormatting>
  <conditionalFormatting sqref="C191">
    <cfRule type="expression" dxfId="75" priority="68" stopIfTrue="1">
      <formula>$B158="Visa"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>
    <tabColor rgb="FFFF0000"/>
  </sheetPr>
  <dimension ref="A1:I170"/>
  <sheetViews>
    <sheetView tabSelected="1" workbookViewId="0">
      <selection activeCell="L14" sqref="L14"/>
    </sheetView>
  </sheetViews>
  <sheetFormatPr defaultColWidth="9.140625" defaultRowHeight="11.25" x14ac:dyDescent="0.2"/>
  <cols>
    <col min="1" max="1" width="4.7109375" style="1" customWidth="1"/>
    <col min="2" max="2" width="16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5" width="9.140625" style="1"/>
    <col min="226" max="226" width="0.85546875" style="1" customWidth="1"/>
    <col min="227" max="227" width="3.42578125" style="1" customWidth="1"/>
    <col min="228" max="228" width="9.5703125" style="1" bestFit="1" customWidth="1"/>
    <col min="229" max="229" width="9.140625" style="1"/>
    <col min="230" max="230" width="8.7109375" style="1" bestFit="1" customWidth="1"/>
    <col min="231" max="16384" width="9.140625" style="1"/>
  </cols>
  <sheetData>
    <row r="1" spans="1:9" ht="23.25" x14ac:dyDescent="0.2">
      <c r="A1" s="14" t="s">
        <v>19</v>
      </c>
      <c r="B1" s="15"/>
      <c r="C1" s="16"/>
      <c r="D1" s="16"/>
      <c r="E1" s="16"/>
      <c r="F1" s="16"/>
      <c r="G1" s="16"/>
      <c r="H1" s="16"/>
      <c r="I1" s="32" t="s">
        <v>12</v>
      </c>
    </row>
    <row r="2" spans="1:9" ht="16.5" customHeight="1" x14ac:dyDescent="0.2">
      <c r="A2" s="43" t="s">
        <v>18</v>
      </c>
      <c r="B2" s="44"/>
      <c r="C2" s="44"/>
      <c r="D2" s="44"/>
      <c r="E2" s="44"/>
      <c r="F2" s="44"/>
      <c r="G2" s="44"/>
      <c r="H2" s="44"/>
      <c r="I2" s="45"/>
    </row>
    <row r="3" spans="1:9" ht="16.5" customHeight="1" x14ac:dyDescent="0.2">
      <c r="A3" s="19" t="s">
        <v>15</v>
      </c>
      <c r="B3" s="33">
        <f>'2'!B3+1</f>
        <v>46176</v>
      </c>
      <c r="C3" s="17"/>
      <c r="D3" s="17"/>
      <c r="E3" s="17"/>
      <c r="F3" s="17"/>
      <c r="G3" s="17"/>
      <c r="H3" s="17"/>
      <c r="I3" s="18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347</v>
      </c>
      <c r="C5" s="11" t="s">
        <v>33</v>
      </c>
      <c r="D5" s="12">
        <v>46176</v>
      </c>
      <c r="E5" s="13" t="s">
        <v>481</v>
      </c>
      <c r="F5" s="13" t="s">
        <v>106</v>
      </c>
      <c r="G5" s="10">
        <v>51100</v>
      </c>
      <c r="H5" s="10">
        <v>17910</v>
      </c>
      <c r="I5" s="10">
        <f t="shared" ref="I5:I36" si="0">G5-H5</f>
        <v>33190</v>
      </c>
    </row>
    <row r="6" spans="1:9" s="7" customFormat="1" ht="15" customHeight="1" x14ac:dyDescent="0.25">
      <c r="A6" s="2">
        <f t="shared" ref="A6:A37" si="1">A5+1</f>
        <v>2</v>
      </c>
      <c r="B6" s="10" t="s">
        <v>348</v>
      </c>
      <c r="C6" s="11" t="s">
        <v>29</v>
      </c>
      <c r="D6" s="12">
        <v>46176</v>
      </c>
      <c r="E6" s="13" t="s">
        <v>482</v>
      </c>
      <c r="F6" s="13" t="s">
        <v>106</v>
      </c>
      <c r="G6" s="10">
        <v>48210</v>
      </c>
      <c r="H6" s="10">
        <v>17020</v>
      </c>
      <c r="I6" s="10">
        <f t="shared" si="0"/>
        <v>31190</v>
      </c>
    </row>
    <row r="7" spans="1:9" s="7" customFormat="1" ht="15" customHeight="1" x14ac:dyDescent="0.25">
      <c r="A7" s="2">
        <f t="shared" si="1"/>
        <v>3</v>
      </c>
      <c r="B7" s="10" t="s">
        <v>349</v>
      </c>
      <c r="C7" s="11" t="s">
        <v>31</v>
      </c>
      <c r="D7" s="12">
        <v>46176</v>
      </c>
      <c r="E7" s="13" t="s">
        <v>483</v>
      </c>
      <c r="F7" s="13" t="s">
        <v>106</v>
      </c>
      <c r="G7" s="10">
        <v>48260</v>
      </c>
      <c r="H7" s="10">
        <v>15260</v>
      </c>
      <c r="I7" s="10">
        <f t="shared" si="0"/>
        <v>33000</v>
      </c>
    </row>
    <row r="8" spans="1:9" s="7" customFormat="1" ht="15" customHeight="1" x14ac:dyDescent="0.25">
      <c r="A8" s="2">
        <f t="shared" si="1"/>
        <v>4</v>
      </c>
      <c r="B8" s="10" t="s">
        <v>350</v>
      </c>
      <c r="C8" s="11" t="s">
        <v>242</v>
      </c>
      <c r="D8" s="12">
        <v>46176</v>
      </c>
      <c r="E8" s="13" t="s">
        <v>484</v>
      </c>
      <c r="F8" s="13" t="s">
        <v>106</v>
      </c>
      <c r="G8" s="10">
        <v>50250</v>
      </c>
      <c r="H8" s="10">
        <v>17170</v>
      </c>
      <c r="I8" s="10">
        <f t="shared" si="0"/>
        <v>33080</v>
      </c>
    </row>
    <row r="9" spans="1:9" s="7" customFormat="1" ht="15" customHeight="1" x14ac:dyDescent="0.25">
      <c r="A9" s="2">
        <f t="shared" si="1"/>
        <v>5</v>
      </c>
      <c r="B9" s="10" t="s">
        <v>351</v>
      </c>
      <c r="C9" s="11" t="s">
        <v>61</v>
      </c>
      <c r="D9" s="12">
        <v>46176</v>
      </c>
      <c r="E9" s="13" t="s">
        <v>485</v>
      </c>
      <c r="F9" s="13" t="s">
        <v>106</v>
      </c>
      <c r="G9" s="10">
        <v>66570</v>
      </c>
      <c r="H9" s="10">
        <v>24510</v>
      </c>
      <c r="I9" s="10">
        <f t="shared" si="0"/>
        <v>42060</v>
      </c>
    </row>
    <row r="10" spans="1:9" s="7" customFormat="1" ht="15" customHeight="1" x14ac:dyDescent="0.25">
      <c r="A10" s="2">
        <f t="shared" si="1"/>
        <v>6</v>
      </c>
      <c r="B10" s="10" t="s">
        <v>352</v>
      </c>
      <c r="C10" s="11" t="s">
        <v>56</v>
      </c>
      <c r="D10" s="12">
        <v>46176</v>
      </c>
      <c r="E10" s="13" t="s">
        <v>486</v>
      </c>
      <c r="F10" s="13" t="s">
        <v>106</v>
      </c>
      <c r="G10" s="10">
        <v>45550</v>
      </c>
      <c r="H10" s="10">
        <v>14330</v>
      </c>
      <c r="I10" s="10">
        <f t="shared" si="0"/>
        <v>31220</v>
      </c>
    </row>
    <row r="11" spans="1:9" s="7" customFormat="1" ht="15" customHeight="1" x14ac:dyDescent="0.25">
      <c r="A11" s="2">
        <f t="shared" si="1"/>
        <v>7</v>
      </c>
      <c r="B11" s="10" t="s">
        <v>353</v>
      </c>
      <c r="C11" s="11" t="s">
        <v>26</v>
      </c>
      <c r="D11" s="12">
        <v>46176</v>
      </c>
      <c r="E11" s="13" t="s">
        <v>114</v>
      </c>
      <c r="F11" s="13" t="s">
        <v>106</v>
      </c>
      <c r="G11" s="10">
        <v>47060</v>
      </c>
      <c r="H11" s="10">
        <v>14080</v>
      </c>
      <c r="I11" s="10">
        <f t="shared" si="0"/>
        <v>32980</v>
      </c>
    </row>
    <row r="12" spans="1:9" s="7" customFormat="1" ht="15" customHeight="1" x14ac:dyDescent="0.25">
      <c r="A12" s="2">
        <f t="shared" si="1"/>
        <v>8</v>
      </c>
      <c r="B12" s="10" t="s">
        <v>354</v>
      </c>
      <c r="C12" s="11" t="s">
        <v>355</v>
      </c>
      <c r="D12" s="12">
        <v>46176</v>
      </c>
      <c r="E12" s="13" t="s">
        <v>115</v>
      </c>
      <c r="F12" s="13" t="s">
        <v>106</v>
      </c>
      <c r="G12" s="10">
        <v>44670</v>
      </c>
      <c r="H12" s="10">
        <v>13680</v>
      </c>
      <c r="I12" s="10">
        <f t="shared" si="0"/>
        <v>30990</v>
      </c>
    </row>
    <row r="13" spans="1:9" s="7" customFormat="1" ht="15" customHeight="1" x14ac:dyDescent="0.25">
      <c r="A13" s="2">
        <f t="shared" si="1"/>
        <v>9</v>
      </c>
      <c r="B13" s="10" t="s">
        <v>356</v>
      </c>
      <c r="C13" s="11" t="s">
        <v>357</v>
      </c>
      <c r="D13" s="12">
        <v>46176</v>
      </c>
      <c r="E13" s="13" t="s">
        <v>115</v>
      </c>
      <c r="F13" s="13" t="s">
        <v>106</v>
      </c>
      <c r="G13" s="10">
        <v>47730</v>
      </c>
      <c r="H13" s="10">
        <v>15720</v>
      </c>
      <c r="I13" s="10">
        <f t="shared" si="0"/>
        <v>32010</v>
      </c>
    </row>
    <row r="14" spans="1:9" s="7" customFormat="1" ht="15" customHeight="1" x14ac:dyDescent="0.25">
      <c r="A14" s="2">
        <f t="shared" si="1"/>
        <v>10</v>
      </c>
      <c r="B14" s="10" t="s">
        <v>358</v>
      </c>
      <c r="C14" s="11" t="s">
        <v>67</v>
      </c>
      <c r="D14" s="12">
        <v>46176</v>
      </c>
      <c r="E14" s="13" t="s">
        <v>487</v>
      </c>
      <c r="F14" s="13" t="s">
        <v>106</v>
      </c>
      <c r="G14" s="10">
        <v>47740</v>
      </c>
      <c r="H14" s="10">
        <v>14710</v>
      </c>
      <c r="I14" s="10">
        <f t="shared" si="0"/>
        <v>33030</v>
      </c>
    </row>
    <row r="15" spans="1:9" s="7" customFormat="1" ht="15" customHeight="1" x14ac:dyDescent="0.25">
      <c r="A15" s="2">
        <f t="shared" si="1"/>
        <v>11</v>
      </c>
      <c r="B15" s="10" t="s">
        <v>359</v>
      </c>
      <c r="C15" s="11" t="s">
        <v>46</v>
      </c>
      <c r="D15" s="12">
        <v>46176</v>
      </c>
      <c r="E15" s="13" t="s">
        <v>488</v>
      </c>
      <c r="F15" s="13" t="s">
        <v>106</v>
      </c>
      <c r="G15" s="10">
        <v>48040</v>
      </c>
      <c r="H15" s="10">
        <v>14890</v>
      </c>
      <c r="I15" s="10">
        <f t="shared" si="0"/>
        <v>33150</v>
      </c>
    </row>
    <row r="16" spans="1:9" s="7" customFormat="1" ht="15" customHeight="1" x14ac:dyDescent="0.25">
      <c r="A16" s="2">
        <f t="shared" si="1"/>
        <v>12</v>
      </c>
      <c r="B16" s="10" t="s">
        <v>360</v>
      </c>
      <c r="C16" s="11" t="s">
        <v>70</v>
      </c>
      <c r="D16" s="12">
        <v>46176</v>
      </c>
      <c r="E16" s="13" t="s">
        <v>489</v>
      </c>
      <c r="F16" s="13" t="s">
        <v>106</v>
      </c>
      <c r="G16" s="10">
        <v>44020</v>
      </c>
      <c r="H16" s="10">
        <v>14550</v>
      </c>
      <c r="I16" s="10">
        <f t="shared" si="0"/>
        <v>29470</v>
      </c>
    </row>
    <row r="17" spans="1:9" s="7" customFormat="1" ht="15" customHeight="1" x14ac:dyDescent="0.25">
      <c r="A17" s="2">
        <f t="shared" si="1"/>
        <v>13</v>
      </c>
      <c r="B17" s="10" t="s">
        <v>361</v>
      </c>
      <c r="C17" s="11" t="s">
        <v>71</v>
      </c>
      <c r="D17" s="12">
        <v>46176</v>
      </c>
      <c r="E17" s="13" t="s">
        <v>490</v>
      </c>
      <c r="F17" s="13" t="s">
        <v>106</v>
      </c>
      <c r="G17" s="10">
        <v>46080</v>
      </c>
      <c r="H17" s="10">
        <v>15410</v>
      </c>
      <c r="I17" s="10">
        <f t="shared" si="0"/>
        <v>30670</v>
      </c>
    </row>
    <row r="18" spans="1:9" s="7" customFormat="1" ht="15" customHeight="1" x14ac:dyDescent="0.25">
      <c r="A18" s="2">
        <f t="shared" si="1"/>
        <v>14</v>
      </c>
      <c r="B18" s="10" t="s">
        <v>362</v>
      </c>
      <c r="C18" s="11" t="s">
        <v>228</v>
      </c>
      <c r="D18" s="12">
        <v>46176</v>
      </c>
      <c r="E18" s="13" t="s">
        <v>491</v>
      </c>
      <c r="F18" s="13" t="s">
        <v>106</v>
      </c>
      <c r="G18" s="10">
        <v>48900</v>
      </c>
      <c r="H18" s="10">
        <v>14230</v>
      </c>
      <c r="I18" s="10">
        <f t="shared" si="0"/>
        <v>34670</v>
      </c>
    </row>
    <row r="19" spans="1:9" s="7" customFormat="1" ht="15" customHeight="1" x14ac:dyDescent="0.25">
      <c r="A19" s="2">
        <f t="shared" si="1"/>
        <v>15</v>
      </c>
      <c r="B19" s="10" t="s">
        <v>363</v>
      </c>
      <c r="C19" s="11" t="s">
        <v>364</v>
      </c>
      <c r="D19" s="12">
        <v>46176</v>
      </c>
      <c r="E19" s="13" t="s">
        <v>255</v>
      </c>
      <c r="F19" s="13" t="s">
        <v>106</v>
      </c>
      <c r="G19" s="10">
        <v>48120</v>
      </c>
      <c r="H19" s="10">
        <v>14830</v>
      </c>
      <c r="I19" s="10">
        <f t="shared" si="0"/>
        <v>33290</v>
      </c>
    </row>
    <row r="20" spans="1:9" s="7" customFormat="1" ht="15" customHeight="1" x14ac:dyDescent="0.25">
      <c r="A20" s="2">
        <f t="shared" si="1"/>
        <v>16</v>
      </c>
      <c r="B20" s="10" t="s">
        <v>365</v>
      </c>
      <c r="C20" s="11" t="s">
        <v>148</v>
      </c>
      <c r="D20" s="12">
        <v>46176</v>
      </c>
      <c r="E20" s="13" t="s">
        <v>492</v>
      </c>
      <c r="F20" s="13" t="s">
        <v>106</v>
      </c>
      <c r="G20" s="10">
        <v>45940</v>
      </c>
      <c r="H20" s="10">
        <v>13690</v>
      </c>
      <c r="I20" s="10">
        <f t="shared" si="0"/>
        <v>32250</v>
      </c>
    </row>
    <row r="21" spans="1:9" s="7" customFormat="1" ht="15" customHeight="1" x14ac:dyDescent="0.25">
      <c r="A21" s="2">
        <f t="shared" si="1"/>
        <v>17</v>
      </c>
      <c r="B21" s="10" t="s">
        <v>366</v>
      </c>
      <c r="C21" s="11" t="s">
        <v>84</v>
      </c>
      <c r="D21" s="12">
        <v>46176</v>
      </c>
      <c r="E21" s="13" t="s">
        <v>493</v>
      </c>
      <c r="F21" s="13" t="s">
        <v>106</v>
      </c>
      <c r="G21" s="10">
        <v>45720</v>
      </c>
      <c r="H21" s="10">
        <v>14680</v>
      </c>
      <c r="I21" s="10">
        <f t="shared" si="0"/>
        <v>31040</v>
      </c>
    </row>
    <row r="22" spans="1:9" s="7" customFormat="1" ht="15" customHeight="1" x14ac:dyDescent="0.25">
      <c r="A22" s="2">
        <f t="shared" si="1"/>
        <v>18</v>
      </c>
      <c r="B22" s="10" t="s">
        <v>367</v>
      </c>
      <c r="C22" s="11" t="s">
        <v>23</v>
      </c>
      <c r="D22" s="12">
        <v>46176</v>
      </c>
      <c r="E22" s="13" t="s">
        <v>494</v>
      </c>
      <c r="F22" s="13" t="s">
        <v>106</v>
      </c>
      <c r="G22" s="10">
        <v>45760</v>
      </c>
      <c r="H22" s="10">
        <v>15410</v>
      </c>
      <c r="I22" s="10">
        <f t="shared" si="0"/>
        <v>30350</v>
      </c>
    </row>
    <row r="23" spans="1:9" s="7" customFormat="1" ht="15" customHeight="1" x14ac:dyDescent="0.25">
      <c r="A23" s="2">
        <f t="shared" si="1"/>
        <v>19</v>
      </c>
      <c r="B23" s="10" t="s">
        <v>368</v>
      </c>
      <c r="C23" s="11" t="s">
        <v>30</v>
      </c>
      <c r="D23" s="12">
        <v>46176</v>
      </c>
      <c r="E23" s="13" t="s">
        <v>495</v>
      </c>
      <c r="F23" s="13" t="s">
        <v>106</v>
      </c>
      <c r="G23" s="10">
        <v>45640</v>
      </c>
      <c r="H23" s="10">
        <v>14350</v>
      </c>
      <c r="I23" s="10">
        <f t="shared" si="0"/>
        <v>31290</v>
      </c>
    </row>
    <row r="24" spans="1:9" s="7" customFormat="1" ht="15" customHeight="1" x14ac:dyDescent="0.25">
      <c r="A24" s="2">
        <f t="shared" si="1"/>
        <v>20</v>
      </c>
      <c r="B24" s="10" t="s">
        <v>369</v>
      </c>
      <c r="C24" s="11" t="s">
        <v>73</v>
      </c>
      <c r="D24" s="12">
        <v>46176</v>
      </c>
      <c r="E24" s="13" t="s">
        <v>496</v>
      </c>
      <c r="F24" s="13" t="s">
        <v>106</v>
      </c>
      <c r="G24" s="10">
        <v>47320</v>
      </c>
      <c r="H24" s="10">
        <v>14890</v>
      </c>
      <c r="I24" s="10">
        <f t="shared" si="0"/>
        <v>32430</v>
      </c>
    </row>
    <row r="25" spans="1:9" s="7" customFormat="1" ht="15" customHeight="1" x14ac:dyDescent="0.25">
      <c r="A25" s="2">
        <f t="shared" si="1"/>
        <v>21</v>
      </c>
      <c r="B25" s="10" t="s">
        <v>370</v>
      </c>
      <c r="C25" s="11" t="s">
        <v>47</v>
      </c>
      <c r="D25" s="12">
        <v>46176</v>
      </c>
      <c r="E25" s="13" t="s">
        <v>496</v>
      </c>
      <c r="F25" s="13" t="s">
        <v>106</v>
      </c>
      <c r="G25" s="10">
        <v>45980</v>
      </c>
      <c r="H25" s="10">
        <v>14490</v>
      </c>
      <c r="I25" s="10">
        <f t="shared" si="0"/>
        <v>31490</v>
      </c>
    </row>
    <row r="26" spans="1:9" s="7" customFormat="1" ht="15" customHeight="1" x14ac:dyDescent="0.25">
      <c r="A26" s="2">
        <f t="shared" si="1"/>
        <v>22</v>
      </c>
      <c r="B26" s="10" t="s">
        <v>371</v>
      </c>
      <c r="C26" s="11" t="s">
        <v>48</v>
      </c>
      <c r="D26" s="12">
        <v>46176</v>
      </c>
      <c r="E26" s="13" t="s">
        <v>497</v>
      </c>
      <c r="F26" s="13" t="s">
        <v>106</v>
      </c>
      <c r="G26" s="10">
        <v>44970</v>
      </c>
      <c r="H26" s="10">
        <v>15170</v>
      </c>
      <c r="I26" s="10">
        <f t="shared" si="0"/>
        <v>29800</v>
      </c>
    </row>
    <row r="27" spans="1:9" s="7" customFormat="1" ht="15" customHeight="1" x14ac:dyDescent="0.25">
      <c r="A27" s="2">
        <f t="shared" si="1"/>
        <v>23</v>
      </c>
      <c r="B27" s="10" t="s">
        <v>372</v>
      </c>
      <c r="C27" s="11" t="s">
        <v>21</v>
      </c>
      <c r="D27" s="12">
        <v>46176</v>
      </c>
      <c r="E27" s="13" t="s">
        <v>498</v>
      </c>
      <c r="F27" s="13" t="s">
        <v>106</v>
      </c>
      <c r="G27" s="10">
        <v>66830</v>
      </c>
      <c r="H27" s="10">
        <v>23770</v>
      </c>
      <c r="I27" s="10">
        <f t="shared" si="0"/>
        <v>43060</v>
      </c>
    </row>
    <row r="28" spans="1:9" s="7" customFormat="1" ht="15" customHeight="1" x14ac:dyDescent="0.25">
      <c r="A28" s="2">
        <f t="shared" si="1"/>
        <v>24</v>
      </c>
      <c r="B28" s="10" t="s">
        <v>373</v>
      </c>
      <c r="C28" s="11" t="s">
        <v>374</v>
      </c>
      <c r="D28" s="12">
        <v>46176</v>
      </c>
      <c r="E28" s="13" t="s">
        <v>498</v>
      </c>
      <c r="F28" s="13" t="s">
        <v>106</v>
      </c>
      <c r="G28" s="10">
        <v>44490</v>
      </c>
      <c r="H28" s="10">
        <v>14280</v>
      </c>
      <c r="I28" s="10">
        <f t="shared" si="0"/>
        <v>30210</v>
      </c>
    </row>
    <row r="29" spans="1:9" s="7" customFormat="1" ht="15" customHeight="1" x14ac:dyDescent="0.25">
      <c r="A29" s="2">
        <f t="shared" si="1"/>
        <v>25</v>
      </c>
      <c r="B29" s="10" t="s">
        <v>375</v>
      </c>
      <c r="C29" s="11" t="s">
        <v>376</v>
      </c>
      <c r="D29" s="12">
        <v>46176</v>
      </c>
      <c r="E29" s="13" t="s">
        <v>499</v>
      </c>
      <c r="F29" s="13" t="s">
        <v>106</v>
      </c>
      <c r="G29" s="10">
        <v>46230</v>
      </c>
      <c r="H29" s="10">
        <v>14700</v>
      </c>
      <c r="I29" s="10">
        <f t="shared" si="0"/>
        <v>31530</v>
      </c>
    </row>
    <row r="30" spans="1:9" s="7" customFormat="1" ht="15" customHeight="1" x14ac:dyDescent="0.25">
      <c r="A30" s="2">
        <f t="shared" si="1"/>
        <v>26</v>
      </c>
      <c r="B30" s="10" t="s">
        <v>377</v>
      </c>
      <c r="C30" s="11" t="s">
        <v>378</v>
      </c>
      <c r="D30" s="12">
        <v>46176</v>
      </c>
      <c r="E30" s="13" t="s">
        <v>118</v>
      </c>
      <c r="F30" s="13" t="s">
        <v>106</v>
      </c>
      <c r="G30" s="10">
        <v>42760</v>
      </c>
      <c r="H30" s="10">
        <v>14490</v>
      </c>
      <c r="I30" s="10">
        <f t="shared" si="0"/>
        <v>28270</v>
      </c>
    </row>
    <row r="31" spans="1:9" s="7" customFormat="1" ht="15" customHeight="1" x14ac:dyDescent="0.25">
      <c r="A31" s="2">
        <f t="shared" si="1"/>
        <v>27</v>
      </c>
      <c r="B31" s="10" t="s">
        <v>379</v>
      </c>
      <c r="C31" s="11" t="s">
        <v>380</v>
      </c>
      <c r="D31" s="12">
        <v>46176</v>
      </c>
      <c r="E31" s="13" t="s">
        <v>500</v>
      </c>
      <c r="F31" s="13" t="s">
        <v>106</v>
      </c>
      <c r="G31" s="10">
        <v>46790</v>
      </c>
      <c r="H31" s="10">
        <v>13830</v>
      </c>
      <c r="I31" s="10">
        <f t="shared" si="0"/>
        <v>32960</v>
      </c>
    </row>
    <row r="32" spans="1:9" s="7" customFormat="1" ht="15" customHeight="1" x14ac:dyDescent="0.25">
      <c r="A32" s="2">
        <f t="shared" si="1"/>
        <v>28</v>
      </c>
      <c r="B32" s="10" t="s">
        <v>381</v>
      </c>
      <c r="C32" s="11" t="s">
        <v>382</v>
      </c>
      <c r="D32" s="12">
        <v>46176</v>
      </c>
      <c r="E32" s="13" t="s">
        <v>501</v>
      </c>
      <c r="F32" s="13" t="s">
        <v>106</v>
      </c>
      <c r="G32" s="10">
        <v>42920</v>
      </c>
      <c r="H32" s="10">
        <v>14490</v>
      </c>
      <c r="I32" s="10">
        <f t="shared" si="0"/>
        <v>28430</v>
      </c>
    </row>
    <row r="33" spans="1:9" s="7" customFormat="1" ht="15" customHeight="1" x14ac:dyDescent="0.25">
      <c r="A33" s="2">
        <f t="shared" si="1"/>
        <v>29</v>
      </c>
      <c r="B33" s="10" t="s">
        <v>383</v>
      </c>
      <c r="C33" s="11" t="s">
        <v>384</v>
      </c>
      <c r="D33" s="12">
        <v>46176</v>
      </c>
      <c r="E33" s="13" t="s">
        <v>270</v>
      </c>
      <c r="F33" s="13" t="s">
        <v>106</v>
      </c>
      <c r="G33" s="10">
        <v>47700</v>
      </c>
      <c r="H33" s="10">
        <v>15620</v>
      </c>
      <c r="I33" s="10">
        <f t="shared" si="0"/>
        <v>32080</v>
      </c>
    </row>
    <row r="34" spans="1:9" s="7" customFormat="1" ht="15" customHeight="1" x14ac:dyDescent="0.25">
      <c r="A34" s="2">
        <f t="shared" si="1"/>
        <v>30</v>
      </c>
      <c r="B34" s="10" t="s">
        <v>385</v>
      </c>
      <c r="C34" s="11" t="s">
        <v>24</v>
      </c>
      <c r="D34" s="12">
        <v>46176</v>
      </c>
      <c r="E34" s="13" t="s">
        <v>502</v>
      </c>
      <c r="F34" s="13" t="s">
        <v>106</v>
      </c>
      <c r="G34" s="10">
        <v>48100</v>
      </c>
      <c r="H34" s="10">
        <v>14540</v>
      </c>
      <c r="I34" s="10">
        <f t="shared" si="0"/>
        <v>33560</v>
      </c>
    </row>
    <row r="35" spans="1:9" s="7" customFormat="1" ht="15" customHeight="1" x14ac:dyDescent="0.25">
      <c r="A35" s="2">
        <f t="shared" si="1"/>
        <v>31</v>
      </c>
      <c r="B35" s="10" t="s">
        <v>386</v>
      </c>
      <c r="C35" s="11" t="s">
        <v>79</v>
      </c>
      <c r="D35" s="12">
        <v>46176</v>
      </c>
      <c r="E35" s="13" t="s">
        <v>503</v>
      </c>
      <c r="F35" s="13" t="s">
        <v>106</v>
      </c>
      <c r="G35" s="10">
        <v>45830</v>
      </c>
      <c r="H35" s="10">
        <v>14940</v>
      </c>
      <c r="I35" s="10">
        <f t="shared" si="0"/>
        <v>30890</v>
      </c>
    </row>
    <row r="36" spans="1:9" s="7" customFormat="1" ht="15" customHeight="1" x14ac:dyDescent="0.25">
      <c r="A36" s="2">
        <f t="shared" si="1"/>
        <v>32</v>
      </c>
      <c r="B36" s="10" t="s">
        <v>387</v>
      </c>
      <c r="C36" s="11" t="s">
        <v>388</v>
      </c>
      <c r="D36" s="12">
        <v>46176</v>
      </c>
      <c r="E36" s="13" t="s">
        <v>504</v>
      </c>
      <c r="F36" s="13" t="s">
        <v>106</v>
      </c>
      <c r="G36" s="10">
        <v>47010</v>
      </c>
      <c r="H36" s="10">
        <v>15540</v>
      </c>
      <c r="I36" s="10">
        <f t="shared" si="0"/>
        <v>31470</v>
      </c>
    </row>
    <row r="37" spans="1:9" s="7" customFormat="1" ht="15" customHeight="1" x14ac:dyDescent="0.25">
      <c r="A37" s="2">
        <f t="shared" si="1"/>
        <v>33</v>
      </c>
      <c r="B37" s="10" t="s">
        <v>389</v>
      </c>
      <c r="C37" s="11" t="s">
        <v>390</v>
      </c>
      <c r="D37" s="12">
        <v>46176</v>
      </c>
      <c r="E37" s="13" t="s">
        <v>119</v>
      </c>
      <c r="F37" s="13" t="s">
        <v>106</v>
      </c>
      <c r="G37" s="10">
        <v>41430</v>
      </c>
      <c r="H37" s="10">
        <v>13080</v>
      </c>
      <c r="I37" s="10">
        <f t="shared" ref="I37:I68" si="2">G37-H37</f>
        <v>28350</v>
      </c>
    </row>
    <row r="38" spans="1:9" s="7" customFormat="1" ht="15" customHeight="1" x14ac:dyDescent="0.25">
      <c r="A38" s="2">
        <f t="shared" ref="A38:A69" si="3">A37+1</f>
        <v>34</v>
      </c>
      <c r="B38" s="10" t="s">
        <v>391</v>
      </c>
      <c r="C38" s="11" t="s">
        <v>105</v>
      </c>
      <c r="D38" s="12">
        <v>46176</v>
      </c>
      <c r="E38" s="13" t="s">
        <v>505</v>
      </c>
      <c r="F38" s="13" t="s">
        <v>106</v>
      </c>
      <c r="G38" s="10">
        <v>46330</v>
      </c>
      <c r="H38" s="10">
        <v>15050</v>
      </c>
      <c r="I38" s="10">
        <f t="shared" si="2"/>
        <v>31280</v>
      </c>
    </row>
    <row r="39" spans="1:9" s="7" customFormat="1" ht="15" customHeight="1" x14ac:dyDescent="0.25">
      <c r="A39" s="2">
        <f t="shared" si="3"/>
        <v>35</v>
      </c>
      <c r="B39" s="10" t="s">
        <v>392</v>
      </c>
      <c r="C39" s="11" t="s">
        <v>188</v>
      </c>
      <c r="D39" s="12">
        <v>46176</v>
      </c>
      <c r="E39" s="13" t="s">
        <v>506</v>
      </c>
      <c r="F39" s="13" t="s">
        <v>106</v>
      </c>
      <c r="G39" s="10">
        <v>48970</v>
      </c>
      <c r="H39" s="10">
        <v>14890</v>
      </c>
      <c r="I39" s="10">
        <f t="shared" si="2"/>
        <v>34080</v>
      </c>
    </row>
    <row r="40" spans="1:9" s="7" customFormat="1" ht="15" customHeight="1" x14ac:dyDescent="0.25">
      <c r="A40" s="2">
        <f t="shared" si="3"/>
        <v>36</v>
      </c>
      <c r="B40" s="10" t="s">
        <v>393</v>
      </c>
      <c r="C40" s="11" t="s">
        <v>77</v>
      </c>
      <c r="D40" s="12">
        <v>46176</v>
      </c>
      <c r="E40" s="13" t="s">
        <v>507</v>
      </c>
      <c r="F40" s="13" t="s">
        <v>106</v>
      </c>
      <c r="G40" s="10">
        <v>48240</v>
      </c>
      <c r="H40" s="10">
        <v>14180</v>
      </c>
      <c r="I40" s="10">
        <f t="shared" si="2"/>
        <v>34060</v>
      </c>
    </row>
    <row r="41" spans="1:9" s="7" customFormat="1" ht="15" customHeight="1" x14ac:dyDescent="0.25">
      <c r="A41" s="2">
        <f t="shared" si="3"/>
        <v>37</v>
      </c>
      <c r="B41" s="10" t="s">
        <v>394</v>
      </c>
      <c r="C41" s="11" t="s">
        <v>78</v>
      </c>
      <c r="D41" s="12">
        <v>46176</v>
      </c>
      <c r="E41" s="13" t="s">
        <v>507</v>
      </c>
      <c r="F41" s="13" t="s">
        <v>106</v>
      </c>
      <c r="G41" s="10">
        <v>42880</v>
      </c>
      <c r="H41" s="10">
        <v>13400</v>
      </c>
      <c r="I41" s="10">
        <f t="shared" si="2"/>
        <v>29480</v>
      </c>
    </row>
    <row r="42" spans="1:9" s="7" customFormat="1" ht="15" customHeight="1" x14ac:dyDescent="0.25">
      <c r="A42" s="2">
        <f t="shared" si="3"/>
        <v>38</v>
      </c>
      <c r="B42" s="10" t="s">
        <v>395</v>
      </c>
      <c r="C42" s="11" t="s">
        <v>68</v>
      </c>
      <c r="D42" s="12">
        <v>46176</v>
      </c>
      <c r="E42" s="13" t="s">
        <v>508</v>
      </c>
      <c r="F42" s="13" t="s">
        <v>106</v>
      </c>
      <c r="G42" s="10">
        <v>68560</v>
      </c>
      <c r="H42" s="10">
        <v>23600</v>
      </c>
      <c r="I42" s="10">
        <f t="shared" si="2"/>
        <v>44960</v>
      </c>
    </row>
    <row r="43" spans="1:9" s="7" customFormat="1" ht="15" customHeight="1" x14ac:dyDescent="0.25">
      <c r="A43" s="2">
        <f t="shared" si="3"/>
        <v>39</v>
      </c>
      <c r="B43" s="10" t="s">
        <v>396</v>
      </c>
      <c r="C43" s="11" t="s">
        <v>397</v>
      </c>
      <c r="D43" s="12">
        <v>46176</v>
      </c>
      <c r="E43" s="13" t="s">
        <v>509</v>
      </c>
      <c r="F43" s="13" t="s">
        <v>106</v>
      </c>
      <c r="G43" s="10">
        <v>45750</v>
      </c>
      <c r="H43" s="10">
        <v>15820</v>
      </c>
      <c r="I43" s="10">
        <f t="shared" si="2"/>
        <v>29930</v>
      </c>
    </row>
    <row r="44" spans="1:9" s="7" customFormat="1" ht="15" customHeight="1" x14ac:dyDescent="0.25">
      <c r="A44" s="2">
        <f t="shared" si="3"/>
        <v>40</v>
      </c>
      <c r="B44" s="10" t="s">
        <v>398</v>
      </c>
      <c r="C44" s="11" t="s">
        <v>58</v>
      </c>
      <c r="D44" s="12">
        <v>46176</v>
      </c>
      <c r="E44" s="13" t="s">
        <v>510</v>
      </c>
      <c r="F44" s="13" t="s">
        <v>106</v>
      </c>
      <c r="G44" s="10">
        <v>47290</v>
      </c>
      <c r="H44" s="10">
        <v>15180</v>
      </c>
      <c r="I44" s="10">
        <f t="shared" si="2"/>
        <v>32110</v>
      </c>
    </row>
    <row r="45" spans="1:9" s="7" customFormat="1" ht="15" customHeight="1" x14ac:dyDescent="0.25">
      <c r="A45" s="2">
        <f t="shared" si="3"/>
        <v>41</v>
      </c>
      <c r="B45" s="10" t="s">
        <v>399</v>
      </c>
      <c r="C45" s="11" t="s">
        <v>400</v>
      </c>
      <c r="D45" s="12">
        <v>46176</v>
      </c>
      <c r="E45" s="13" t="s">
        <v>511</v>
      </c>
      <c r="F45" s="13" t="s">
        <v>106</v>
      </c>
      <c r="G45" s="10">
        <v>47580</v>
      </c>
      <c r="H45" s="10">
        <v>14850</v>
      </c>
      <c r="I45" s="10">
        <f t="shared" si="2"/>
        <v>32730</v>
      </c>
    </row>
    <row r="46" spans="1:9" s="7" customFormat="1" ht="15" customHeight="1" x14ac:dyDescent="0.25">
      <c r="A46" s="2">
        <f t="shared" si="3"/>
        <v>42</v>
      </c>
      <c r="B46" s="10" t="s">
        <v>401</v>
      </c>
      <c r="C46" s="11" t="s">
        <v>93</v>
      </c>
      <c r="D46" s="12">
        <v>46176</v>
      </c>
      <c r="E46" s="13" t="s">
        <v>120</v>
      </c>
      <c r="F46" s="13" t="s">
        <v>106</v>
      </c>
      <c r="G46" s="10">
        <v>43920</v>
      </c>
      <c r="H46" s="10">
        <v>13030</v>
      </c>
      <c r="I46" s="10">
        <f t="shared" si="2"/>
        <v>30890</v>
      </c>
    </row>
    <row r="47" spans="1:9" s="7" customFormat="1" ht="15" customHeight="1" x14ac:dyDescent="0.25">
      <c r="A47" s="2">
        <f t="shared" si="3"/>
        <v>43</v>
      </c>
      <c r="B47" s="10" t="s">
        <v>402</v>
      </c>
      <c r="C47" s="11" t="s">
        <v>94</v>
      </c>
      <c r="D47" s="12">
        <v>46176</v>
      </c>
      <c r="E47" s="13" t="s">
        <v>108</v>
      </c>
      <c r="F47" s="13" t="s">
        <v>106</v>
      </c>
      <c r="G47" s="10">
        <v>49090</v>
      </c>
      <c r="H47" s="10">
        <v>14960</v>
      </c>
      <c r="I47" s="10">
        <f t="shared" si="2"/>
        <v>34130</v>
      </c>
    </row>
    <row r="48" spans="1:9" s="7" customFormat="1" ht="15" customHeight="1" x14ac:dyDescent="0.25">
      <c r="A48" s="2">
        <f t="shared" si="3"/>
        <v>44</v>
      </c>
      <c r="B48" s="10" t="s">
        <v>403</v>
      </c>
      <c r="C48" s="11" t="s">
        <v>404</v>
      </c>
      <c r="D48" s="12">
        <v>46176</v>
      </c>
      <c r="E48" s="13" t="s">
        <v>512</v>
      </c>
      <c r="F48" s="13" t="s">
        <v>106</v>
      </c>
      <c r="G48" s="10">
        <v>45240</v>
      </c>
      <c r="H48" s="10">
        <v>14690</v>
      </c>
      <c r="I48" s="10">
        <f t="shared" si="2"/>
        <v>30550</v>
      </c>
    </row>
    <row r="49" spans="1:9" s="7" customFormat="1" ht="15" customHeight="1" x14ac:dyDescent="0.25">
      <c r="A49" s="2">
        <f t="shared" si="3"/>
        <v>45</v>
      </c>
      <c r="B49" s="10" t="s">
        <v>405</v>
      </c>
      <c r="C49" s="11" t="s">
        <v>92</v>
      </c>
      <c r="D49" s="12">
        <v>46176</v>
      </c>
      <c r="E49" s="13" t="s">
        <v>278</v>
      </c>
      <c r="F49" s="13" t="s">
        <v>106</v>
      </c>
      <c r="G49" s="10">
        <v>50360</v>
      </c>
      <c r="H49" s="10">
        <v>15730</v>
      </c>
      <c r="I49" s="10">
        <f t="shared" si="2"/>
        <v>34630</v>
      </c>
    </row>
    <row r="50" spans="1:9" s="7" customFormat="1" ht="15" customHeight="1" x14ac:dyDescent="0.25">
      <c r="A50" s="2">
        <f t="shared" si="3"/>
        <v>46</v>
      </c>
      <c r="B50" s="10" t="s">
        <v>406</v>
      </c>
      <c r="C50" s="11" t="s">
        <v>90</v>
      </c>
      <c r="D50" s="12">
        <v>46176</v>
      </c>
      <c r="E50" s="13" t="s">
        <v>121</v>
      </c>
      <c r="F50" s="13" t="s">
        <v>106</v>
      </c>
      <c r="G50" s="10">
        <v>69560</v>
      </c>
      <c r="H50" s="10">
        <v>23550</v>
      </c>
      <c r="I50" s="10">
        <f t="shared" si="2"/>
        <v>46010</v>
      </c>
    </row>
    <row r="51" spans="1:9" s="7" customFormat="1" ht="15" customHeight="1" x14ac:dyDescent="0.25">
      <c r="A51" s="2">
        <f t="shared" si="3"/>
        <v>47</v>
      </c>
      <c r="B51" s="10" t="s">
        <v>407</v>
      </c>
      <c r="C51" s="11" t="s">
        <v>55</v>
      </c>
      <c r="D51" s="12">
        <v>46176</v>
      </c>
      <c r="E51" s="13" t="s">
        <v>282</v>
      </c>
      <c r="F51" s="13" t="s">
        <v>106</v>
      </c>
      <c r="G51" s="10">
        <v>67550</v>
      </c>
      <c r="H51" s="10">
        <v>24400</v>
      </c>
      <c r="I51" s="10">
        <f t="shared" si="2"/>
        <v>43150</v>
      </c>
    </row>
    <row r="52" spans="1:9" s="7" customFormat="1" ht="15" customHeight="1" x14ac:dyDescent="0.25">
      <c r="A52" s="2">
        <f t="shared" si="3"/>
        <v>48</v>
      </c>
      <c r="B52" s="10" t="s">
        <v>408</v>
      </c>
      <c r="C52" s="11" t="s">
        <v>74</v>
      </c>
      <c r="D52" s="12">
        <v>46176</v>
      </c>
      <c r="E52" s="13" t="s">
        <v>283</v>
      </c>
      <c r="F52" s="13" t="s">
        <v>106</v>
      </c>
      <c r="G52" s="10">
        <v>47550</v>
      </c>
      <c r="H52" s="10">
        <v>15910</v>
      </c>
      <c r="I52" s="10">
        <f t="shared" si="2"/>
        <v>31640</v>
      </c>
    </row>
    <row r="53" spans="1:9" s="7" customFormat="1" ht="15" customHeight="1" x14ac:dyDescent="0.25">
      <c r="A53" s="2">
        <f t="shared" si="3"/>
        <v>49</v>
      </c>
      <c r="B53" s="10" t="s">
        <v>409</v>
      </c>
      <c r="C53" s="11" t="s">
        <v>45</v>
      </c>
      <c r="D53" s="12">
        <v>46176</v>
      </c>
      <c r="E53" s="13" t="s">
        <v>122</v>
      </c>
      <c r="F53" s="13" t="s">
        <v>106</v>
      </c>
      <c r="G53" s="10">
        <v>47670</v>
      </c>
      <c r="H53" s="10">
        <v>15500</v>
      </c>
      <c r="I53" s="10">
        <f t="shared" si="2"/>
        <v>32170</v>
      </c>
    </row>
    <row r="54" spans="1:9" s="7" customFormat="1" ht="15" customHeight="1" x14ac:dyDescent="0.25">
      <c r="A54" s="2">
        <f t="shared" si="3"/>
        <v>50</v>
      </c>
      <c r="B54" s="10" t="s">
        <v>410</v>
      </c>
      <c r="C54" s="11" t="s">
        <v>34</v>
      </c>
      <c r="D54" s="12">
        <v>46176</v>
      </c>
      <c r="E54" s="13" t="s">
        <v>123</v>
      </c>
      <c r="F54" s="13" t="s">
        <v>106</v>
      </c>
      <c r="G54" s="10">
        <v>45930</v>
      </c>
      <c r="H54" s="10">
        <v>15930</v>
      </c>
      <c r="I54" s="10">
        <f t="shared" si="2"/>
        <v>30000</v>
      </c>
    </row>
    <row r="55" spans="1:9" s="7" customFormat="1" ht="15" customHeight="1" x14ac:dyDescent="0.25">
      <c r="A55" s="2">
        <f t="shared" si="3"/>
        <v>51</v>
      </c>
      <c r="B55" s="10" t="s">
        <v>411</v>
      </c>
      <c r="C55" s="11" t="s">
        <v>35</v>
      </c>
      <c r="D55" s="12">
        <v>46176</v>
      </c>
      <c r="E55" s="13" t="s">
        <v>513</v>
      </c>
      <c r="F55" s="13" t="s">
        <v>106</v>
      </c>
      <c r="G55" s="10">
        <v>45980</v>
      </c>
      <c r="H55" s="10">
        <v>15030</v>
      </c>
      <c r="I55" s="10">
        <f t="shared" si="2"/>
        <v>30950</v>
      </c>
    </row>
    <row r="56" spans="1:9" s="7" customFormat="1" ht="15" customHeight="1" x14ac:dyDescent="0.25">
      <c r="A56" s="2">
        <f t="shared" si="3"/>
        <v>52</v>
      </c>
      <c r="B56" s="10" t="s">
        <v>412</v>
      </c>
      <c r="C56" s="11" t="s">
        <v>38</v>
      </c>
      <c r="D56" s="12">
        <v>46176</v>
      </c>
      <c r="E56" s="13" t="s">
        <v>514</v>
      </c>
      <c r="F56" s="13" t="s">
        <v>106</v>
      </c>
      <c r="G56" s="10">
        <v>47770</v>
      </c>
      <c r="H56" s="10">
        <v>16370</v>
      </c>
      <c r="I56" s="10">
        <f t="shared" si="2"/>
        <v>31400</v>
      </c>
    </row>
    <row r="57" spans="1:9" s="7" customFormat="1" ht="15" customHeight="1" x14ac:dyDescent="0.25">
      <c r="A57" s="2">
        <f t="shared" si="3"/>
        <v>53</v>
      </c>
      <c r="B57" s="10" t="s">
        <v>413</v>
      </c>
      <c r="C57" s="11" t="s">
        <v>44</v>
      </c>
      <c r="D57" s="12">
        <v>46176</v>
      </c>
      <c r="E57" s="13" t="s">
        <v>515</v>
      </c>
      <c r="F57" s="13" t="s">
        <v>106</v>
      </c>
      <c r="G57" s="10">
        <v>44060</v>
      </c>
      <c r="H57" s="10">
        <v>14500</v>
      </c>
      <c r="I57" s="10">
        <f t="shared" si="2"/>
        <v>29560</v>
      </c>
    </row>
    <row r="58" spans="1:9" s="7" customFormat="1" ht="15" customHeight="1" x14ac:dyDescent="0.25">
      <c r="A58" s="2">
        <f t="shared" si="3"/>
        <v>54</v>
      </c>
      <c r="B58" s="10" t="s">
        <v>414</v>
      </c>
      <c r="C58" s="11" t="s">
        <v>28</v>
      </c>
      <c r="D58" s="12">
        <v>46176</v>
      </c>
      <c r="E58" s="13" t="s">
        <v>516</v>
      </c>
      <c r="F58" s="13" t="s">
        <v>106</v>
      </c>
      <c r="G58" s="10">
        <v>48160</v>
      </c>
      <c r="H58" s="10">
        <v>15200</v>
      </c>
      <c r="I58" s="10">
        <f t="shared" si="2"/>
        <v>32960</v>
      </c>
    </row>
    <row r="59" spans="1:9" s="7" customFormat="1" ht="15" customHeight="1" x14ac:dyDescent="0.25">
      <c r="A59" s="2">
        <f t="shared" si="3"/>
        <v>55</v>
      </c>
      <c r="B59" s="10" t="s">
        <v>415</v>
      </c>
      <c r="C59" s="11" t="s">
        <v>103</v>
      </c>
      <c r="D59" s="12">
        <v>46176</v>
      </c>
      <c r="E59" s="13" t="s">
        <v>517</v>
      </c>
      <c r="F59" s="13" t="s">
        <v>106</v>
      </c>
      <c r="G59" s="10">
        <v>47410</v>
      </c>
      <c r="H59" s="10">
        <v>15180</v>
      </c>
      <c r="I59" s="10">
        <f t="shared" si="2"/>
        <v>32230</v>
      </c>
    </row>
    <row r="60" spans="1:9" s="7" customFormat="1" ht="15" customHeight="1" x14ac:dyDescent="0.25">
      <c r="A60" s="2">
        <f t="shared" si="3"/>
        <v>56</v>
      </c>
      <c r="B60" s="10" t="s">
        <v>416</v>
      </c>
      <c r="C60" s="11" t="s">
        <v>63</v>
      </c>
      <c r="D60" s="12">
        <v>46176</v>
      </c>
      <c r="E60" s="13" t="s">
        <v>518</v>
      </c>
      <c r="F60" s="13" t="s">
        <v>106</v>
      </c>
      <c r="G60" s="10">
        <v>48940</v>
      </c>
      <c r="H60" s="10">
        <v>15300</v>
      </c>
      <c r="I60" s="10">
        <f t="shared" si="2"/>
        <v>33640</v>
      </c>
    </row>
    <row r="61" spans="1:9" s="7" customFormat="1" ht="15" customHeight="1" x14ac:dyDescent="0.25">
      <c r="A61" s="2">
        <f t="shared" si="3"/>
        <v>57</v>
      </c>
      <c r="B61" s="10" t="s">
        <v>417</v>
      </c>
      <c r="C61" s="11" t="s">
        <v>192</v>
      </c>
      <c r="D61" s="12">
        <v>46176</v>
      </c>
      <c r="E61" s="13" t="s">
        <v>519</v>
      </c>
      <c r="F61" s="13" t="s">
        <v>106</v>
      </c>
      <c r="G61" s="10">
        <v>47010</v>
      </c>
      <c r="H61" s="10">
        <v>14020</v>
      </c>
      <c r="I61" s="10">
        <f t="shared" si="2"/>
        <v>32990</v>
      </c>
    </row>
    <row r="62" spans="1:9" s="7" customFormat="1" ht="15" customHeight="1" x14ac:dyDescent="0.25">
      <c r="A62" s="2">
        <f t="shared" si="3"/>
        <v>58</v>
      </c>
      <c r="B62" s="10" t="s">
        <v>418</v>
      </c>
      <c r="C62" s="11" t="s">
        <v>86</v>
      </c>
      <c r="D62" s="12">
        <v>46176</v>
      </c>
      <c r="E62" s="13" t="s">
        <v>520</v>
      </c>
      <c r="F62" s="13" t="s">
        <v>106</v>
      </c>
      <c r="G62" s="10">
        <v>47280</v>
      </c>
      <c r="H62" s="10">
        <v>15310</v>
      </c>
      <c r="I62" s="10">
        <f t="shared" si="2"/>
        <v>31970</v>
      </c>
    </row>
    <row r="63" spans="1:9" s="7" customFormat="1" ht="15" customHeight="1" x14ac:dyDescent="0.25">
      <c r="A63" s="2">
        <f t="shared" si="3"/>
        <v>59</v>
      </c>
      <c r="B63" s="10" t="s">
        <v>419</v>
      </c>
      <c r="C63" s="11" t="s">
        <v>100</v>
      </c>
      <c r="D63" s="12">
        <v>46176</v>
      </c>
      <c r="E63" s="13" t="s">
        <v>521</v>
      </c>
      <c r="F63" s="13" t="s">
        <v>106</v>
      </c>
      <c r="G63" s="10">
        <v>48890</v>
      </c>
      <c r="H63" s="10">
        <v>15860</v>
      </c>
      <c r="I63" s="10">
        <f t="shared" si="2"/>
        <v>33030</v>
      </c>
    </row>
    <row r="64" spans="1:9" s="7" customFormat="1" ht="15" customHeight="1" x14ac:dyDescent="0.25">
      <c r="A64" s="2">
        <f t="shared" si="3"/>
        <v>60</v>
      </c>
      <c r="B64" s="10" t="s">
        <v>420</v>
      </c>
      <c r="C64" s="11" t="s">
        <v>150</v>
      </c>
      <c r="D64" s="12">
        <v>46176</v>
      </c>
      <c r="E64" s="13" t="s">
        <v>522</v>
      </c>
      <c r="F64" s="13" t="s">
        <v>106</v>
      </c>
      <c r="G64" s="10">
        <v>48280</v>
      </c>
      <c r="H64" s="10">
        <v>14380</v>
      </c>
      <c r="I64" s="10">
        <f t="shared" si="2"/>
        <v>33900</v>
      </c>
    </row>
    <row r="65" spans="1:9" s="7" customFormat="1" ht="15" customHeight="1" x14ac:dyDescent="0.25">
      <c r="A65" s="2">
        <f t="shared" si="3"/>
        <v>61</v>
      </c>
      <c r="B65" s="10" t="s">
        <v>421</v>
      </c>
      <c r="C65" s="11" t="s">
        <v>39</v>
      </c>
      <c r="D65" s="12">
        <v>46176</v>
      </c>
      <c r="E65" s="13" t="s">
        <v>523</v>
      </c>
      <c r="F65" s="13" t="s">
        <v>106</v>
      </c>
      <c r="G65" s="10">
        <v>47890</v>
      </c>
      <c r="H65" s="10">
        <v>15540</v>
      </c>
      <c r="I65" s="10">
        <f t="shared" si="2"/>
        <v>32350</v>
      </c>
    </row>
    <row r="66" spans="1:9" s="7" customFormat="1" ht="15" customHeight="1" x14ac:dyDescent="0.25">
      <c r="A66" s="2">
        <f t="shared" si="3"/>
        <v>62</v>
      </c>
      <c r="B66" s="10" t="s">
        <v>422</v>
      </c>
      <c r="C66" s="11" t="s">
        <v>182</v>
      </c>
      <c r="D66" s="12">
        <v>46176</v>
      </c>
      <c r="E66" s="13" t="s">
        <v>524</v>
      </c>
      <c r="F66" s="13" t="s">
        <v>106</v>
      </c>
      <c r="G66" s="10">
        <v>45020</v>
      </c>
      <c r="H66" s="10">
        <v>13990</v>
      </c>
      <c r="I66" s="10">
        <f t="shared" si="2"/>
        <v>31030</v>
      </c>
    </row>
    <row r="67" spans="1:9" s="7" customFormat="1" ht="15" customHeight="1" x14ac:dyDescent="0.25">
      <c r="A67" s="2">
        <f t="shared" si="3"/>
        <v>63</v>
      </c>
      <c r="B67" s="10" t="s">
        <v>423</v>
      </c>
      <c r="C67" s="11" t="s">
        <v>57</v>
      </c>
      <c r="D67" s="12">
        <v>46176</v>
      </c>
      <c r="E67" s="13" t="s">
        <v>525</v>
      </c>
      <c r="F67" s="13" t="s">
        <v>106</v>
      </c>
      <c r="G67" s="10">
        <v>46410</v>
      </c>
      <c r="H67" s="10">
        <v>14740</v>
      </c>
      <c r="I67" s="10">
        <f t="shared" si="2"/>
        <v>31670</v>
      </c>
    </row>
    <row r="68" spans="1:9" s="7" customFormat="1" ht="15" customHeight="1" x14ac:dyDescent="0.25">
      <c r="A68" s="2">
        <f t="shared" si="3"/>
        <v>64</v>
      </c>
      <c r="B68" s="10" t="s">
        <v>424</v>
      </c>
      <c r="C68" s="11" t="s">
        <v>36</v>
      </c>
      <c r="D68" s="12">
        <v>46176</v>
      </c>
      <c r="E68" s="13" t="s">
        <v>296</v>
      </c>
      <c r="F68" s="13" t="s">
        <v>106</v>
      </c>
      <c r="G68" s="10">
        <v>43810</v>
      </c>
      <c r="H68" s="10">
        <v>13890</v>
      </c>
      <c r="I68" s="10">
        <f t="shared" si="2"/>
        <v>29920</v>
      </c>
    </row>
    <row r="69" spans="1:9" s="7" customFormat="1" ht="15" customHeight="1" x14ac:dyDescent="0.25">
      <c r="A69" s="2">
        <f t="shared" si="3"/>
        <v>65</v>
      </c>
      <c r="B69" s="10" t="s">
        <v>425</v>
      </c>
      <c r="C69" s="11" t="s">
        <v>198</v>
      </c>
      <c r="D69" s="12">
        <v>46176</v>
      </c>
      <c r="E69" s="13" t="s">
        <v>111</v>
      </c>
      <c r="F69" s="13" t="s">
        <v>106</v>
      </c>
      <c r="G69" s="10">
        <v>45260</v>
      </c>
      <c r="H69" s="10">
        <v>14600</v>
      </c>
      <c r="I69" s="10">
        <f t="shared" ref="I69:I100" si="4">G69-H69</f>
        <v>30660</v>
      </c>
    </row>
    <row r="70" spans="1:9" s="7" customFormat="1" ht="15" customHeight="1" x14ac:dyDescent="0.25">
      <c r="A70" s="2">
        <f t="shared" ref="A70:A101" si="5">A69+1</f>
        <v>66</v>
      </c>
      <c r="B70" s="10" t="s">
        <v>426</v>
      </c>
      <c r="C70" s="11" t="s">
        <v>59</v>
      </c>
      <c r="D70" s="12">
        <v>46176</v>
      </c>
      <c r="E70" s="13" t="s">
        <v>299</v>
      </c>
      <c r="F70" s="13" t="s">
        <v>106</v>
      </c>
      <c r="G70" s="10">
        <v>46490</v>
      </c>
      <c r="H70" s="10">
        <v>15030</v>
      </c>
      <c r="I70" s="10">
        <f t="shared" si="4"/>
        <v>31460</v>
      </c>
    </row>
    <row r="71" spans="1:9" s="7" customFormat="1" ht="15" customHeight="1" x14ac:dyDescent="0.25">
      <c r="A71" s="2">
        <f t="shared" si="5"/>
        <v>67</v>
      </c>
      <c r="B71" s="10" t="s">
        <v>427</v>
      </c>
      <c r="C71" s="11" t="s">
        <v>83</v>
      </c>
      <c r="D71" s="12">
        <v>46176</v>
      </c>
      <c r="E71" s="13" t="s">
        <v>125</v>
      </c>
      <c r="F71" s="13" t="s">
        <v>106</v>
      </c>
      <c r="G71" s="10">
        <v>47880</v>
      </c>
      <c r="H71" s="10">
        <v>15220</v>
      </c>
      <c r="I71" s="10">
        <f t="shared" si="4"/>
        <v>32660</v>
      </c>
    </row>
    <row r="72" spans="1:9" s="7" customFormat="1" ht="15" customHeight="1" x14ac:dyDescent="0.25">
      <c r="A72" s="2">
        <f t="shared" si="5"/>
        <v>68</v>
      </c>
      <c r="B72" s="10" t="s">
        <v>428</v>
      </c>
      <c r="C72" s="11" t="s">
        <v>82</v>
      </c>
      <c r="D72" s="12">
        <v>46176</v>
      </c>
      <c r="E72" s="13" t="s">
        <v>526</v>
      </c>
      <c r="F72" s="13" t="s">
        <v>106</v>
      </c>
      <c r="G72" s="10">
        <v>48260</v>
      </c>
      <c r="H72" s="10">
        <v>15680</v>
      </c>
      <c r="I72" s="10">
        <f t="shared" si="4"/>
        <v>32580</v>
      </c>
    </row>
    <row r="73" spans="1:9" s="7" customFormat="1" ht="15" customHeight="1" x14ac:dyDescent="0.25">
      <c r="A73" s="2">
        <f t="shared" si="5"/>
        <v>69</v>
      </c>
      <c r="B73" s="10" t="s">
        <v>429</v>
      </c>
      <c r="C73" s="11" t="s">
        <v>133</v>
      </c>
      <c r="D73" s="12">
        <v>46176</v>
      </c>
      <c r="E73" s="13" t="s">
        <v>527</v>
      </c>
      <c r="F73" s="13" t="s">
        <v>106</v>
      </c>
      <c r="G73" s="10">
        <v>44110</v>
      </c>
      <c r="H73" s="10">
        <v>14820</v>
      </c>
      <c r="I73" s="10">
        <f t="shared" si="4"/>
        <v>29290</v>
      </c>
    </row>
    <row r="74" spans="1:9" s="7" customFormat="1" ht="15" customHeight="1" x14ac:dyDescent="0.25">
      <c r="A74" s="2">
        <f t="shared" si="5"/>
        <v>70</v>
      </c>
      <c r="B74" s="10" t="s">
        <v>430</v>
      </c>
      <c r="C74" s="11" t="s">
        <v>40</v>
      </c>
      <c r="D74" s="12">
        <v>46176</v>
      </c>
      <c r="E74" s="13" t="s">
        <v>528</v>
      </c>
      <c r="F74" s="13" t="s">
        <v>106</v>
      </c>
      <c r="G74" s="10">
        <v>45790</v>
      </c>
      <c r="H74" s="10">
        <v>14560</v>
      </c>
      <c r="I74" s="10">
        <f t="shared" si="4"/>
        <v>31230</v>
      </c>
    </row>
    <row r="75" spans="1:9" s="7" customFormat="1" ht="15" customHeight="1" x14ac:dyDescent="0.25">
      <c r="A75" s="2">
        <f t="shared" si="5"/>
        <v>71</v>
      </c>
      <c r="B75" s="10" t="s">
        <v>431</v>
      </c>
      <c r="C75" s="11" t="s">
        <v>170</v>
      </c>
      <c r="D75" s="12">
        <v>46176</v>
      </c>
      <c r="E75" s="13" t="s">
        <v>529</v>
      </c>
      <c r="F75" s="13" t="s">
        <v>106</v>
      </c>
      <c r="G75" s="10">
        <v>46510</v>
      </c>
      <c r="H75" s="10">
        <v>14590</v>
      </c>
      <c r="I75" s="10">
        <f t="shared" si="4"/>
        <v>31920</v>
      </c>
    </row>
    <row r="76" spans="1:9" s="7" customFormat="1" ht="15" customHeight="1" x14ac:dyDescent="0.25">
      <c r="A76" s="2">
        <f t="shared" si="5"/>
        <v>72</v>
      </c>
      <c r="B76" s="10" t="s">
        <v>432</v>
      </c>
      <c r="C76" s="11" t="s">
        <v>96</v>
      </c>
      <c r="D76" s="12">
        <v>46176</v>
      </c>
      <c r="E76" s="13" t="s">
        <v>300</v>
      </c>
      <c r="F76" s="13" t="s">
        <v>106</v>
      </c>
      <c r="G76" s="10">
        <v>46010</v>
      </c>
      <c r="H76" s="10">
        <v>13800</v>
      </c>
      <c r="I76" s="10">
        <f t="shared" si="4"/>
        <v>32210</v>
      </c>
    </row>
    <row r="77" spans="1:9" s="7" customFormat="1" ht="15" customHeight="1" x14ac:dyDescent="0.25">
      <c r="A77" s="2">
        <f t="shared" si="5"/>
        <v>73</v>
      </c>
      <c r="B77" s="10" t="s">
        <v>433</v>
      </c>
      <c r="C77" s="11" t="s">
        <v>102</v>
      </c>
      <c r="D77" s="12">
        <v>46176</v>
      </c>
      <c r="E77" s="13" t="s">
        <v>530</v>
      </c>
      <c r="F77" s="13" t="s">
        <v>106</v>
      </c>
      <c r="G77" s="10">
        <v>49710</v>
      </c>
      <c r="H77" s="10">
        <v>15490</v>
      </c>
      <c r="I77" s="10">
        <f t="shared" si="4"/>
        <v>34220</v>
      </c>
    </row>
    <row r="78" spans="1:9" s="7" customFormat="1" ht="15" customHeight="1" x14ac:dyDescent="0.25">
      <c r="A78" s="2">
        <f t="shared" si="5"/>
        <v>74</v>
      </c>
      <c r="B78" s="10" t="s">
        <v>434</v>
      </c>
      <c r="C78" s="11" t="s">
        <v>101</v>
      </c>
      <c r="D78" s="12">
        <v>46176</v>
      </c>
      <c r="E78" s="13" t="s">
        <v>531</v>
      </c>
      <c r="F78" s="13" t="s">
        <v>106</v>
      </c>
      <c r="G78" s="10">
        <v>47300</v>
      </c>
      <c r="H78" s="10">
        <v>15060</v>
      </c>
      <c r="I78" s="10">
        <f t="shared" si="4"/>
        <v>32240</v>
      </c>
    </row>
    <row r="79" spans="1:9" s="7" customFormat="1" ht="15" customHeight="1" x14ac:dyDescent="0.25">
      <c r="A79" s="2">
        <f t="shared" si="5"/>
        <v>75</v>
      </c>
      <c r="B79" s="10" t="s">
        <v>435</v>
      </c>
      <c r="C79" s="11" t="s">
        <v>190</v>
      </c>
      <c r="D79" s="12">
        <v>46176</v>
      </c>
      <c r="E79" s="13" t="s">
        <v>532</v>
      </c>
      <c r="F79" s="13" t="s">
        <v>106</v>
      </c>
      <c r="G79" s="10">
        <v>48930</v>
      </c>
      <c r="H79" s="10">
        <v>14290</v>
      </c>
      <c r="I79" s="10">
        <f t="shared" si="4"/>
        <v>34640</v>
      </c>
    </row>
    <row r="80" spans="1:9" s="7" customFormat="1" ht="15" customHeight="1" x14ac:dyDescent="0.25">
      <c r="A80" s="2">
        <f t="shared" si="5"/>
        <v>76</v>
      </c>
      <c r="B80" s="10" t="s">
        <v>436</v>
      </c>
      <c r="C80" s="11" t="s">
        <v>437</v>
      </c>
      <c r="D80" s="12">
        <v>46176</v>
      </c>
      <c r="E80" s="13" t="s">
        <v>533</v>
      </c>
      <c r="F80" s="13" t="s">
        <v>106</v>
      </c>
      <c r="G80" s="10">
        <v>45510</v>
      </c>
      <c r="H80" s="10">
        <v>14880</v>
      </c>
      <c r="I80" s="10">
        <f t="shared" si="4"/>
        <v>30630</v>
      </c>
    </row>
    <row r="81" spans="1:9" s="7" customFormat="1" ht="15" customHeight="1" x14ac:dyDescent="0.25">
      <c r="A81" s="2">
        <f t="shared" si="5"/>
        <v>77</v>
      </c>
      <c r="B81" s="10" t="s">
        <v>438</v>
      </c>
      <c r="C81" s="11" t="s">
        <v>97</v>
      </c>
      <c r="D81" s="12">
        <v>46176</v>
      </c>
      <c r="E81" s="13" t="s">
        <v>534</v>
      </c>
      <c r="F81" s="13" t="s">
        <v>106</v>
      </c>
      <c r="G81" s="10">
        <v>48360</v>
      </c>
      <c r="H81" s="10">
        <v>15320</v>
      </c>
      <c r="I81" s="10">
        <f t="shared" si="4"/>
        <v>33040</v>
      </c>
    </row>
    <row r="82" spans="1:9" s="7" customFormat="1" ht="15" customHeight="1" x14ac:dyDescent="0.25">
      <c r="A82" s="2">
        <f t="shared" si="5"/>
        <v>78</v>
      </c>
      <c r="B82" s="10" t="s">
        <v>439</v>
      </c>
      <c r="C82" s="11" t="s">
        <v>440</v>
      </c>
      <c r="D82" s="12">
        <v>46176</v>
      </c>
      <c r="E82" s="13" t="s">
        <v>535</v>
      </c>
      <c r="F82" s="13" t="s">
        <v>106</v>
      </c>
      <c r="G82" s="10">
        <v>44430</v>
      </c>
      <c r="H82" s="10">
        <v>15570</v>
      </c>
      <c r="I82" s="10">
        <f t="shared" si="4"/>
        <v>28860</v>
      </c>
    </row>
    <row r="83" spans="1:9" s="7" customFormat="1" ht="15" customHeight="1" x14ac:dyDescent="0.25">
      <c r="A83" s="2">
        <f t="shared" si="5"/>
        <v>79</v>
      </c>
      <c r="B83" s="10" t="s">
        <v>441</v>
      </c>
      <c r="C83" s="11" t="s">
        <v>50</v>
      </c>
      <c r="D83" s="12">
        <v>46176</v>
      </c>
      <c r="E83" s="13" t="s">
        <v>536</v>
      </c>
      <c r="F83" s="13" t="s">
        <v>106</v>
      </c>
      <c r="G83" s="10">
        <v>48810</v>
      </c>
      <c r="H83" s="10">
        <v>15300</v>
      </c>
      <c r="I83" s="10">
        <f t="shared" si="4"/>
        <v>33510</v>
      </c>
    </row>
    <row r="84" spans="1:9" s="7" customFormat="1" ht="15" customHeight="1" x14ac:dyDescent="0.25">
      <c r="A84" s="2">
        <f t="shared" si="5"/>
        <v>80</v>
      </c>
      <c r="B84" s="10" t="s">
        <v>442</v>
      </c>
      <c r="C84" s="11" t="s">
        <v>43</v>
      </c>
      <c r="D84" s="12">
        <v>46176</v>
      </c>
      <c r="E84" s="13" t="s">
        <v>537</v>
      </c>
      <c r="F84" s="13" t="s">
        <v>106</v>
      </c>
      <c r="G84" s="10">
        <v>48440</v>
      </c>
      <c r="H84" s="10">
        <v>15050</v>
      </c>
      <c r="I84" s="10">
        <f t="shared" si="4"/>
        <v>33390</v>
      </c>
    </row>
    <row r="85" spans="1:9" s="7" customFormat="1" ht="15" customHeight="1" x14ac:dyDescent="0.25">
      <c r="A85" s="2">
        <f t="shared" si="5"/>
        <v>81</v>
      </c>
      <c r="B85" s="10" t="s">
        <v>443</v>
      </c>
      <c r="C85" s="11" t="s">
        <v>104</v>
      </c>
      <c r="D85" s="12">
        <v>46176</v>
      </c>
      <c r="E85" s="13" t="s">
        <v>538</v>
      </c>
      <c r="F85" s="13" t="s">
        <v>106</v>
      </c>
      <c r="G85" s="10">
        <v>47790</v>
      </c>
      <c r="H85" s="10">
        <v>15510</v>
      </c>
      <c r="I85" s="10">
        <f t="shared" si="4"/>
        <v>32280</v>
      </c>
    </row>
    <row r="86" spans="1:9" s="7" customFormat="1" ht="15" customHeight="1" x14ac:dyDescent="0.25">
      <c r="A86" s="2">
        <f t="shared" si="5"/>
        <v>82</v>
      </c>
      <c r="B86" s="10" t="s">
        <v>444</v>
      </c>
      <c r="C86" s="11" t="s">
        <v>37</v>
      </c>
      <c r="D86" s="12">
        <v>46176</v>
      </c>
      <c r="E86" s="13" t="s">
        <v>539</v>
      </c>
      <c r="F86" s="13" t="s">
        <v>106</v>
      </c>
      <c r="G86" s="10">
        <v>48150</v>
      </c>
      <c r="H86" s="10">
        <v>15970</v>
      </c>
      <c r="I86" s="10">
        <f t="shared" si="4"/>
        <v>32180</v>
      </c>
    </row>
    <row r="87" spans="1:9" s="7" customFormat="1" ht="15" customHeight="1" x14ac:dyDescent="0.25">
      <c r="A87" s="2">
        <f t="shared" si="5"/>
        <v>83</v>
      </c>
      <c r="B87" s="10" t="s">
        <v>445</v>
      </c>
      <c r="C87" s="11" t="s">
        <v>41</v>
      </c>
      <c r="D87" s="12">
        <v>46176</v>
      </c>
      <c r="E87" s="13" t="s">
        <v>113</v>
      </c>
      <c r="F87" s="13" t="s">
        <v>106</v>
      </c>
      <c r="G87" s="10">
        <v>46340</v>
      </c>
      <c r="H87" s="10">
        <v>15470</v>
      </c>
      <c r="I87" s="10">
        <f t="shared" si="4"/>
        <v>30870</v>
      </c>
    </row>
    <row r="88" spans="1:9" s="7" customFormat="1" ht="15" customHeight="1" x14ac:dyDescent="0.25">
      <c r="A88" s="2">
        <f t="shared" si="5"/>
        <v>84</v>
      </c>
      <c r="B88" s="10" t="s">
        <v>446</v>
      </c>
      <c r="C88" s="11" t="s">
        <v>447</v>
      </c>
      <c r="D88" s="12">
        <v>46176</v>
      </c>
      <c r="E88" s="13" t="s">
        <v>307</v>
      </c>
      <c r="F88" s="13" t="s">
        <v>106</v>
      </c>
      <c r="G88" s="10">
        <v>47700</v>
      </c>
      <c r="H88" s="10">
        <v>14550</v>
      </c>
      <c r="I88" s="10">
        <f t="shared" si="4"/>
        <v>33150</v>
      </c>
    </row>
    <row r="89" spans="1:9" s="7" customFormat="1" ht="15" customHeight="1" x14ac:dyDescent="0.25">
      <c r="A89" s="2">
        <f t="shared" si="5"/>
        <v>85</v>
      </c>
      <c r="B89" s="10" t="s">
        <v>448</v>
      </c>
      <c r="C89" s="11" t="s">
        <v>228</v>
      </c>
      <c r="D89" s="12">
        <v>46176</v>
      </c>
      <c r="E89" s="13" t="s">
        <v>540</v>
      </c>
      <c r="F89" s="13" t="s">
        <v>106</v>
      </c>
      <c r="G89" s="10">
        <v>49500</v>
      </c>
      <c r="H89" s="10">
        <v>14240</v>
      </c>
      <c r="I89" s="10">
        <f t="shared" si="4"/>
        <v>35260</v>
      </c>
    </row>
    <row r="90" spans="1:9" s="7" customFormat="1" ht="15" customHeight="1" x14ac:dyDescent="0.25">
      <c r="A90" s="2">
        <f t="shared" si="5"/>
        <v>86</v>
      </c>
      <c r="B90" s="10" t="s">
        <v>449</v>
      </c>
      <c r="C90" s="11" t="s">
        <v>95</v>
      </c>
      <c r="D90" s="12">
        <v>46176</v>
      </c>
      <c r="E90" s="13" t="s">
        <v>541</v>
      </c>
      <c r="F90" s="13" t="s">
        <v>106</v>
      </c>
      <c r="G90" s="10">
        <v>48740</v>
      </c>
      <c r="H90" s="10">
        <v>14880</v>
      </c>
      <c r="I90" s="10">
        <f t="shared" si="4"/>
        <v>33860</v>
      </c>
    </row>
    <row r="91" spans="1:9" s="7" customFormat="1" ht="15" customHeight="1" x14ac:dyDescent="0.25">
      <c r="A91" s="2">
        <f t="shared" si="5"/>
        <v>87</v>
      </c>
      <c r="B91" s="10" t="s">
        <v>450</v>
      </c>
      <c r="C91" s="11" t="s">
        <v>49</v>
      </c>
      <c r="D91" s="12">
        <v>46176</v>
      </c>
      <c r="E91" s="13" t="s">
        <v>542</v>
      </c>
      <c r="F91" s="13" t="s">
        <v>106</v>
      </c>
      <c r="G91" s="10">
        <v>47690</v>
      </c>
      <c r="H91" s="10">
        <v>15350</v>
      </c>
      <c r="I91" s="10">
        <f t="shared" si="4"/>
        <v>32340</v>
      </c>
    </row>
    <row r="92" spans="1:9" s="7" customFormat="1" ht="15" customHeight="1" x14ac:dyDescent="0.25">
      <c r="A92" s="2">
        <f t="shared" si="5"/>
        <v>88</v>
      </c>
      <c r="B92" s="10" t="s">
        <v>451</v>
      </c>
      <c r="C92" s="11" t="s">
        <v>90</v>
      </c>
      <c r="D92" s="12">
        <v>46176</v>
      </c>
      <c r="E92" s="13" t="s">
        <v>543</v>
      </c>
      <c r="F92" s="13" t="s">
        <v>106</v>
      </c>
      <c r="G92" s="10">
        <v>69700</v>
      </c>
      <c r="H92" s="10">
        <v>23900</v>
      </c>
      <c r="I92" s="10">
        <f t="shared" si="4"/>
        <v>45800</v>
      </c>
    </row>
    <row r="93" spans="1:9" s="7" customFormat="1" ht="15" customHeight="1" x14ac:dyDescent="0.25">
      <c r="A93" s="2">
        <f t="shared" si="5"/>
        <v>89</v>
      </c>
      <c r="B93" s="10" t="s">
        <v>452</v>
      </c>
      <c r="C93" s="11" t="s">
        <v>453</v>
      </c>
      <c r="D93" s="12">
        <v>46176</v>
      </c>
      <c r="E93" s="13" t="s">
        <v>544</v>
      </c>
      <c r="F93" s="13" t="s">
        <v>106</v>
      </c>
      <c r="G93" s="10">
        <v>44800</v>
      </c>
      <c r="H93" s="10">
        <v>15560</v>
      </c>
      <c r="I93" s="10">
        <f t="shared" si="4"/>
        <v>29240</v>
      </c>
    </row>
    <row r="94" spans="1:9" s="7" customFormat="1" ht="15" customHeight="1" x14ac:dyDescent="0.25">
      <c r="A94" s="2">
        <f t="shared" si="5"/>
        <v>90</v>
      </c>
      <c r="B94" s="10" t="s">
        <v>454</v>
      </c>
      <c r="C94" s="11" t="s">
        <v>455</v>
      </c>
      <c r="D94" s="12">
        <v>46176</v>
      </c>
      <c r="E94" s="13" t="s">
        <v>545</v>
      </c>
      <c r="F94" s="13" t="s">
        <v>106</v>
      </c>
      <c r="G94" s="10">
        <v>45360</v>
      </c>
      <c r="H94" s="10">
        <v>15450</v>
      </c>
      <c r="I94" s="10">
        <f t="shared" si="4"/>
        <v>29910</v>
      </c>
    </row>
    <row r="95" spans="1:9" s="7" customFormat="1" ht="15" customHeight="1" x14ac:dyDescent="0.25">
      <c r="A95" s="2">
        <f t="shared" si="5"/>
        <v>91</v>
      </c>
      <c r="B95" s="10" t="s">
        <v>456</v>
      </c>
      <c r="C95" s="11" t="s">
        <v>457</v>
      </c>
      <c r="D95" s="12">
        <v>46176</v>
      </c>
      <c r="E95" s="13" t="s">
        <v>546</v>
      </c>
      <c r="F95" s="13" t="s">
        <v>106</v>
      </c>
      <c r="G95" s="10">
        <v>42680</v>
      </c>
      <c r="H95" s="10">
        <v>14730</v>
      </c>
      <c r="I95" s="10">
        <f t="shared" si="4"/>
        <v>27950</v>
      </c>
    </row>
    <row r="96" spans="1:9" s="7" customFormat="1" ht="15" customHeight="1" x14ac:dyDescent="0.25">
      <c r="A96" s="2">
        <f t="shared" si="5"/>
        <v>92</v>
      </c>
      <c r="B96" s="10" t="s">
        <v>458</v>
      </c>
      <c r="C96" s="11" t="s">
        <v>91</v>
      </c>
      <c r="D96" s="12">
        <v>46176</v>
      </c>
      <c r="E96" s="13" t="s">
        <v>547</v>
      </c>
      <c r="F96" s="13" t="s">
        <v>106</v>
      </c>
      <c r="G96" s="10">
        <v>47170</v>
      </c>
      <c r="H96" s="10">
        <v>15630</v>
      </c>
      <c r="I96" s="10">
        <f t="shared" si="4"/>
        <v>31540</v>
      </c>
    </row>
    <row r="97" spans="1:9" s="7" customFormat="1" ht="15" customHeight="1" x14ac:dyDescent="0.25">
      <c r="A97" s="2">
        <f t="shared" si="5"/>
        <v>93</v>
      </c>
      <c r="B97" s="10" t="s">
        <v>459</v>
      </c>
      <c r="C97" s="11" t="s">
        <v>48</v>
      </c>
      <c r="D97" s="12">
        <v>46176</v>
      </c>
      <c r="E97" s="13" t="s">
        <v>548</v>
      </c>
      <c r="F97" s="13" t="s">
        <v>106</v>
      </c>
      <c r="G97" s="10">
        <v>46180</v>
      </c>
      <c r="H97" s="10">
        <v>15430</v>
      </c>
      <c r="I97" s="10">
        <f t="shared" si="4"/>
        <v>30750</v>
      </c>
    </row>
    <row r="98" spans="1:9" s="7" customFormat="1" ht="15" customHeight="1" x14ac:dyDescent="0.25">
      <c r="A98" s="2">
        <f t="shared" si="5"/>
        <v>94</v>
      </c>
      <c r="B98" s="10" t="s">
        <v>460</v>
      </c>
      <c r="C98" s="11" t="s">
        <v>27</v>
      </c>
      <c r="D98" s="12">
        <v>46176</v>
      </c>
      <c r="E98" s="13" t="s">
        <v>549</v>
      </c>
      <c r="F98" s="13" t="s">
        <v>106</v>
      </c>
      <c r="G98" s="10">
        <v>46690</v>
      </c>
      <c r="H98" s="10">
        <v>15490</v>
      </c>
      <c r="I98" s="10">
        <f t="shared" si="4"/>
        <v>31200</v>
      </c>
    </row>
    <row r="99" spans="1:9" s="7" customFormat="1" ht="15" customHeight="1" x14ac:dyDescent="0.25">
      <c r="A99" s="2">
        <f t="shared" si="5"/>
        <v>95</v>
      </c>
      <c r="B99" s="10" t="s">
        <v>461</v>
      </c>
      <c r="C99" s="11" t="s">
        <v>341</v>
      </c>
      <c r="D99" s="12">
        <v>46176</v>
      </c>
      <c r="E99" s="13" t="s">
        <v>550</v>
      </c>
      <c r="F99" s="13" t="s">
        <v>106</v>
      </c>
      <c r="G99" s="10">
        <v>62520</v>
      </c>
      <c r="H99" s="10">
        <v>19800</v>
      </c>
      <c r="I99" s="10">
        <f t="shared" si="4"/>
        <v>42720</v>
      </c>
    </row>
    <row r="100" spans="1:9" s="7" customFormat="1" ht="15" customHeight="1" x14ac:dyDescent="0.25">
      <c r="A100" s="2">
        <f t="shared" si="5"/>
        <v>96</v>
      </c>
      <c r="B100" s="10" t="s">
        <v>462</v>
      </c>
      <c r="C100" s="11" t="s">
        <v>47</v>
      </c>
      <c r="D100" s="12">
        <v>46176</v>
      </c>
      <c r="E100" s="13" t="s">
        <v>551</v>
      </c>
      <c r="F100" s="13" t="s">
        <v>106</v>
      </c>
      <c r="G100" s="10">
        <v>45870</v>
      </c>
      <c r="H100" s="10">
        <v>15140</v>
      </c>
      <c r="I100" s="10">
        <f t="shared" si="4"/>
        <v>30730</v>
      </c>
    </row>
    <row r="101" spans="1:9" s="7" customFormat="1" ht="15" customHeight="1" x14ac:dyDescent="0.25">
      <c r="A101" s="2">
        <f t="shared" si="5"/>
        <v>97</v>
      </c>
      <c r="B101" s="10" t="s">
        <v>463</v>
      </c>
      <c r="C101" s="11" t="s">
        <v>23</v>
      </c>
      <c r="D101" s="12">
        <v>46176</v>
      </c>
      <c r="E101" s="13" t="s">
        <v>552</v>
      </c>
      <c r="F101" s="13" t="s">
        <v>106</v>
      </c>
      <c r="G101" s="10">
        <v>47800</v>
      </c>
      <c r="H101" s="10">
        <v>15800</v>
      </c>
      <c r="I101" s="10">
        <f t="shared" ref="I101:I118" si="6">G101-H101</f>
        <v>32000</v>
      </c>
    </row>
    <row r="102" spans="1:9" s="7" customFormat="1" ht="15" customHeight="1" x14ac:dyDescent="0.25">
      <c r="A102" s="2">
        <f t="shared" ref="A102:A118" si="7">A101+1</f>
        <v>98</v>
      </c>
      <c r="B102" s="10" t="s">
        <v>464</v>
      </c>
      <c r="C102" s="11" t="s">
        <v>62</v>
      </c>
      <c r="D102" s="12">
        <v>46177</v>
      </c>
      <c r="E102" s="13" t="s">
        <v>320</v>
      </c>
      <c r="F102" s="13" t="s">
        <v>106</v>
      </c>
      <c r="G102" s="10">
        <v>46740</v>
      </c>
      <c r="H102" s="10">
        <v>15020</v>
      </c>
      <c r="I102" s="10">
        <f t="shared" si="6"/>
        <v>31720</v>
      </c>
    </row>
    <row r="103" spans="1:9" s="7" customFormat="1" ht="15" customHeight="1" x14ac:dyDescent="0.25">
      <c r="A103" s="2">
        <f t="shared" si="7"/>
        <v>99</v>
      </c>
      <c r="B103" s="10" t="s">
        <v>465</v>
      </c>
      <c r="C103" s="11" t="s">
        <v>466</v>
      </c>
      <c r="D103" s="12">
        <v>46177</v>
      </c>
      <c r="E103" s="13" t="s">
        <v>553</v>
      </c>
      <c r="F103" s="13" t="s">
        <v>106</v>
      </c>
      <c r="G103" s="10">
        <v>44890</v>
      </c>
      <c r="H103" s="10">
        <v>15260</v>
      </c>
      <c r="I103" s="10">
        <f t="shared" si="6"/>
        <v>29630</v>
      </c>
    </row>
    <row r="104" spans="1:9" s="7" customFormat="1" ht="15" customHeight="1" x14ac:dyDescent="0.25">
      <c r="A104" s="2">
        <f t="shared" si="7"/>
        <v>100</v>
      </c>
      <c r="B104" s="10" t="s">
        <v>467</v>
      </c>
      <c r="C104" s="11" t="s">
        <v>89</v>
      </c>
      <c r="D104" s="12">
        <v>46177</v>
      </c>
      <c r="E104" s="13" t="s">
        <v>554</v>
      </c>
      <c r="F104" s="13" t="s">
        <v>106</v>
      </c>
      <c r="G104" s="10">
        <v>48270</v>
      </c>
      <c r="H104" s="10">
        <v>15230</v>
      </c>
      <c r="I104" s="10">
        <f t="shared" si="6"/>
        <v>33040</v>
      </c>
    </row>
    <row r="105" spans="1:9" s="7" customFormat="1" ht="15" customHeight="1" x14ac:dyDescent="0.25">
      <c r="A105" s="2">
        <f t="shared" si="7"/>
        <v>101</v>
      </c>
      <c r="B105" s="10" t="s">
        <v>468</v>
      </c>
      <c r="C105" s="11" t="s">
        <v>469</v>
      </c>
      <c r="D105" s="12">
        <v>46177</v>
      </c>
      <c r="E105" s="13" t="s">
        <v>555</v>
      </c>
      <c r="F105" s="13" t="s">
        <v>106</v>
      </c>
      <c r="G105" s="10">
        <v>46610</v>
      </c>
      <c r="H105" s="10">
        <v>14610</v>
      </c>
      <c r="I105" s="10">
        <f t="shared" si="6"/>
        <v>32000</v>
      </c>
    </row>
    <row r="106" spans="1:9" s="7" customFormat="1" ht="15" customHeight="1" x14ac:dyDescent="0.25">
      <c r="A106" s="2">
        <f t="shared" si="7"/>
        <v>102</v>
      </c>
      <c r="B106" s="10" t="s">
        <v>470</v>
      </c>
      <c r="C106" s="11" t="s">
        <v>34</v>
      </c>
      <c r="D106" s="12">
        <v>46177</v>
      </c>
      <c r="E106" s="13" t="s">
        <v>556</v>
      </c>
      <c r="F106" s="13" t="s">
        <v>106</v>
      </c>
      <c r="G106" s="10">
        <v>46480</v>
      </c>
      <c r="H106" s="10">
        <v>15380</v>
      </c>
      <c r="I106" s="10">
        <f t="shared" si="6"/>
        <v>31100</v>
      </c>
    </row>
    <row r="107" spans="1:9" s="7" customFormat="1" ht="15" customHeight="1" x14ac:dyDescent="0.25">
      <c r="A107" s="2">
        <f t="shared" si="7"/>
        <v>103</v>
      </c>
      <c r="B107" s="10" t="s">
        <v>471</v>
      </c>
      <c r="C107" s="11" t="s">
        <v>45</v>
      </c>
      <c r="D107" s="12">
        <v>46177</v>
      </c>
      <c r="E107" s="13" t="s">
        <v>557</v>
      </c>
      <c r="F107" s="13" t="s">
        <v>106</v>
      </c>
      <c r="G107" s="10">
        <v>47570</v>
      </c>
      <c r="H107" s="10">
        <v>15640</v>
      </c>
      <c r="I107" s="10">
        <f t="shared" si="6"/>
        <v>31930</v>
      </c>
    </row>
    <row r="108" spans="1:9" s="7" customFormat="1" ht="15" customHeight="1" x14ac:dyDescent="0.25">
      <c r="A108" s="2">
        <f t="shared" si="7"/>
        <v>104</v>
      </c>
      <c r="B108" s="10" t="s">
        <v>472</v>
      </c>
      <c r="C108" s="11" t="s">
        <v>87</v>
      </c>
      <c r="D108" s="12">
        <v>46177</v>
      </c>
      <c r="E108" s="13" t="s">
        <v>558</v>
      </c>
      <c r="F108" s="13" t="s">
        <v>106</v>
      </c>
      <c r="G108" s="10">
        <v>45440</v>
      </c>
      <c r="H108" s="10">
        <v>14250</v>
      </c>
      <c r="I108" s="10">
        <f t="shared" si="6"/>
        <v>31190</v>
      </c>
    </row>
    <row r="109" spans="1:9" s="7" customFormat="1" ht="15" customHeight="1" x14ac:dyDescent="0.25">
      <c r="A109" s="2">
        <f t="shared" si="7"/>
        <v>105</v>
      </c>
      <c r="B109" s="10" t="s">
        <v>473</v>
      </c>
      <c r="C109" s="11" t="s">
        <v>94</v>
      </c>
      <c r="D109" s="12">
        <v>46177</v>
      </c>
      <c r="E109" s="13" t="s">
        <v>559</v>
      </c>
      <c r="F109" s="13" t="s">
        <v>106</v>
      </c>
      <c r="G109" s="10">
        <v>47860</v>
      </c>
      <c r="H109" s="10">
        <v>14900</v>
      </c>
      <c r="I109" s="10">
        <f t="shared" si="6"/>
        <v>32960</v>
      </c>
    </row>
    <row r="110" spans="1:9" s="7" customFormat="1" ht="15" customHeight="1" x14ac:dyDescent="0.25">
      <c r="A110" s="2">
        <f t="shared" si="7"/>
        <v>106</v>
      </c>
      <c r="B110" s="10" t="s">
        <v>474</v>
      </c>
      <c r="C110" s="11" t="s">
        <v>71</v>
      </c>
      <c r="D110" s="12">
        <v>46177</v>
      </c>
      <c r="E110" s="13" t="s">
        <v>560</v>
      </c>
      <c r="F110" s="13" t="s">
        <v>106</v>
      </c>
      <c r="G110" s="10">
        <v>48050</v>
      </c>
      <c r="H110" s="10">
        <v>15700</v>
      </c>
      <c r="I110" s="10">
        <f t="shared" si="6"/>
        <v>32350</v>
      </c>
    </row>
    <row r="111" spans="1:9" s="7" customFormat="1" ht="15" customHeight="1" x14ac:dyDescent="0.25">
      <c r="A111" s="2">
        <f t="shared" si="7"/>
        <v>107</v>
      </c>
      <c r="B111" s="10" t="s">
        <v>475</v>
      </c>
      <c r="C111" s="11" t="s">
        <v>44</v>
      </c>
      <c r="D111" s="12">
        <v>46177</v>
      </c>
      <c r="E111" s="13" t="s">
        <v>561</v>
      </c>
      <c r="F111" s="13" t="s">
        <v>106</v>
      </c>
      <c r="G111" s="10">
        <v>45770</v>
      </c>
      <c r="H111" s="10">
        <v>15040</v>
      </c>
      <c r="I111" s="10">
        <f t="shared" si="6"/>
        <v>30730</v>
      </c>
    </row>
    <row r="112" spans="1:9" s="7" customFormat="1" ht="15" customHeight="1" x14ac:dyDescent="0.25">
      <c r="A112" s="2">
        <f t="shared" si="7"/>
        <v>108</v>
      </c>
      <c r="B112" s="10" t="s">
        <v>476</v>
      </c>
      <c r="C112" s="11" t="s">
        <v>39</v>
      </c>
      <c r="D112" s="12">
        <v>46177</v>
      </c>
      <c r="E112" s="13" t="s">
        <v>562</v>
      </c>
      <c r="F112" s="13" t="s">
        <v>106</v>
      </c>
      <c r="G112" s="10">
        <v>46550</v>
      </c>
      <c r="H112" s="10">
        <v>15310</v>
      </c>
      <c r="I112" s="10">
        <f t="shared" si="6"/>
        <v>31240</v>
      </c>
    </row>
    <row r="113" spans="1:9" s="7" customFormat="1" ht="15" customHeight="1" x14ac:dyDescent="0.25">
      <c r="A113" s="2">
        <f t="shared" si="7"/>
        <v>109</v>
      </c>
      <c r="B113" s="10" t="s">
        <v>477</v>
      </c>
      <c r="C113" s="11" t="s">
        <v>22</v>
      </c>
      <c r="D113" s="12">
        <v>46177</v>
      </c>
      <c r="E113" s="13" t="s">
        <v>563</v>
      </c>
      <c r="F113" s="13" t="s">
        <v>106</v>
      </c>
      <c r="G113" s="10">
        <v>50710</v>
      </c>
      <c r="H113" s="10">
        <v>15180</v>
      </c>
      <c r="I113" s="10">
        <f t="shared" si="6"/>
        <v>35530</v>
      </c>
    </row>
    <row r="114" spans="1:9" s="7" customFormat="1" ht="15" customHeight="1" x14ac:dyDescent="0.25">
      <c r="A114" s="2">
        <f t="shared" si="7"/>
        <v>110</v>
      </c>
      <c r="B114" s="10" t="s">
        <v>478</v>
      </c>
      <c r="C114" s="11" t="s">
        <v>66</v>
      </c>
      <c r="D114" s="12">
        <v>46177</v>
      </c>
      <c r="E114" s="13" t="s">
        <v>564</v>
      </c>
      <c r="F114" s="13" t="s">
        <v>106</v>
      </c>
      <c r="G114" s="10">
        <v>47570</v>
      </c>
      <c r="H114" s="10">
        <v>14490</v>
      </c>
      <c r="I114" s="10">
        <f t="shared" si="6"/>
        <v>33080</v>
      </c>
    </row>
    <row r="115" spans="1:9" s="7" customFormat="1" ht="15" customHeight="1" x14ac:dyDescent="0.25">
      <c r="A115" s="2">
        <f t="shared" si="7"/>
        <v>111</v>
      </c>
      <c r="B115" s="34" t="s">
        <v>479</v>
      </c>
      <c r="C115" s="37" t="s">
        <v>103</v>
      </c>
      <c r="D115" s="38">
        <v>46177</v>
      </c>
      <c r="E115" s="39" t="s">
        <v>565</v>
      </c>
      <c r="F115" s="39" t="s">
        <v>106</v>
      </c>
      <c r="G115" s="34">
        <v>48720</v>
      </c>
      <c r="H115" s="34">
        <v>15220</v>
      </c>
      <c r="I115" s="34">
        <f t="shared" si="6"/>
        <v>33500</v>
      </c>
    </row>
    <row r="116" spans="1:9" s="7" customFormat="1" ht="15" customHeight="1" x14ac:dyDescent="0.25">
      <c r="A116" s="2">
        <f t="shared" si="7"/>
        <v>112</v>
      </c>
      <c r="B116" s="10" t="s">
        <v>480</v>
      </c>
      <c r="C116" s="11" t="s">
        <v>92</v>
      </c>
      <c r="D116" s="12">
        <v>46177</v>
      </c>
      <c r="E116" s="13" t="s">
        <v>132</v>
      </c>
      <c r="F116" s="13" t="s">
        <v>106</v>
      </c>
      <c r="G116" s="10">
        <v>50840</v>
      </c>
      <c r="H116" s="10">
        <v>15690</v>
      </c>
      <c r="I116" s="10">
        <f t="shared" si="6"/>
        <v>35150</v>
      </c>
    </row>
    <row r="117" spans="1:9" s="7" customFormat="1" ht="15" customHeight="1" x14ac:dyDescent="0.25">
      <c r="A117" s="2">
        <f t="shared" si="7"/>
        <v>113</v>
      </c>
      <c r="B117" s="10" t="s">
        <v>566</v>
      </c>
      <c r="C117" s="11" t="s">
        <v>59</v>
      </c>
      <c r="D117" s="12">
        <v>46178</v>
      </c>
      <c r="E117" s="35">
        <v>0.42499999999999999</v>
      </c>
      <c r="F117" s="13" t="s">
        <v>106</v>
      </c>
      <c r="G117" s="10">
        <v>45790</v>
      </c>
      <c r="H117" s="10">
        <v>15570</v>
      </c>
      <c r="I117" s="10">
        <f t="shared" si="6"/>
        <v>30220</v>
      </c>
    </row>
    <row r="118" spans="1:9" s="7" customFormat="1" ht="15" customHeight="1" x14ac:dyDescent="0.25">
      <c r="A118" s="2">
        <f t="shared" si="7"/>
        <v>114</v>
      </c>
      <c r="B118" s="10" t="s">
        <v>567</v>
      </c>
      <c r="C118" s="11" t="s">
        <v>63</v>
      </c>
      <c r="D118" s="12">
        <v>46179</v>
      </c>
      <c r="E118" s="35">
        <v>0.42638888888888887</v>
      </c>
      <c r="F118" s="13" t="s">
        <v>106</v>
      </c>
      <c r="G118" s="10">
        <v>46060</v>
      </c>
      <c r="H118" s="10">
        <v>15440</v>
      </c>
      <c r="I118" s="10">
        <f t="shared" si="6"/>
        <v>30620</v>
      </c>
    </row>
    <row r="119" spans="1:9" s="7" customFormat="1" ht="15" customHeight="1" x14ac:dyDescent="0.25">
      <c r="B119" s="24"/>
      <c r="C119" s="25"/>
      <c r="D119" s="26"/>
      <c r="E119" s="27"/>
      <c r="F119" s="27"/>
      <c r="G119" s="24"/>
      <c r="H119" s="28"/>
      <c r="I119" s="28"/>
    </row>
    <row r="120" spans="1:9" s="7" customFormat="1" ht="15" customHeight="1" x14ac:dyDescent="0.25">
      <c r="G120" s="6" t="s">
        <v>9</v>
      </c>
      <c r="H120" s="6">
        <f>COUNTIF(I5:I118,"&gt;0")</f>
        <v>114</v>
      </c>
      <c r="I120" s="20">
        <f>SUM(I5:I118)/1000</f>
        <v>3713.17</v>
      </c>
    </row>
    <row r="121" spans="1:9" s="7" customFormat="1" ht="15" customHeight="1" x14ac:dyDescent="0.25">
      <c r="H121" s="22"/>
      <c r="I121" s="23"/>
    </row>
    <row r="122" spans="1:9" s="7" customFormat="1" ht="15" customHeight="1" x14ac:dyDescent="0.25">
      <c r="E122" s="36"/>
    </row>
    <row r="123" spans="1:9" s="7" customFormat="1" ht="15" customHeight="1" x14ac:dyDescent="0.25">
      <c r="A123" s="40" t="s">
        <v>11</v>
      </c>
      <c r="B123" s="40"/>
      <c r="C123" s="40"/>
      <c r="D123" s="29"/>
      <c r="E123" s="29"/>
      <c r="F123" s="29"/>
      <c r="G123" s="40" t="s">
        <v>10</v>
      </c>
      <c r="H123" s="40"/>
      <c r="I123" s="40"/>
    </row>
    <row r="124" spans="1:9" s="7" customFormat="1" ht="15" customHeight="1" x14ac:dyDescent="0.25">
      <c r="A124" s="40" t="s">
        <v>19</v>
      </c>
      <c r="B124" s="40"/>
      <c r="C124" s="40"/>
      <c r="D124" s="29"/>
      <c r="E124" s="29"/>
      <c r="F124" s="29"/>
      <c r="G124" s="40" t="s">
        <v>20</v>
      </c>
      <c r="H124" s="40"/>
      <c r="I124" s="40"/>
    </row>
    <row r="125" spans="1:9" s="7" customFormat="1" ht="15" customHeight="1" x14ac:dyDescent="0.25">
      <c r="A125" s="29"/>
      <c r="B125" s="29"/>
      <c r="C125" s="29"/>
      <c r="D125" s="29"/>
      <c r="E125" s="29"/>
      <c r="F125" s="29"/>
      <c r="G125" s="29"/>
      <c r="H125" s="29"/>
      <c r="I125" s="29"/>
    </row>
    <row r="126" spans="1:9" s="7" customFormat="1" ht="15" customHeight="1" x14ac:dyDescent="0.25">
      <c r="A126" s="8"/>
      <c r="B126" s="8"/>
      <c r="C126" s="29"/>
      <c r="D126" s="29"/>
      <c r="E126" s="29"/>
      <c r="F126" s="29"/>
      <c r="G126" s="29"/>
      <c r="H126" s="8"/>
      <c r="I126" s="8"/>
    </row>
    <row r="127" spans="1:9" ht="1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2.95" customHeight="1" x14ac:dyDescent="0.2">
      <c r="A129" s="41" t="s">
        <v>13</v>
      </c>
      <c r="B129" s="41"/>
      <c r="C129" s="41"/>
      <c r="D129" s="9"/>
      <c r="E129" s="9"/>
      <c r="F129" s="9"/>
      <c r="G129" s="30"/>
      <c r="H129" s="30" t="s">
        <v>16</v>
      </c>
      <c r="I129" s="21"/>
    </row>
    <row r="130" spans="1:9" ht="12.95" customHeight="1" x14ac:dyDescent="0.2">
      <c r="A130" s="42" t="s">
        <v>14</v>
      </c>
      <c r="B130" s="42"/>
      <c r="C130" s="42"/>
      <c r="D130" s="9"/>
      <c r="E130" s="9"/>
      <c r="F130" s="9"/>
      <c r="G130" s="31"/>
      <c r="H130" s="31" t="s">
        <v>17</v>
      </c>
      <c r="I130" s="21"/>
    </row>
    <row r="131" spans="1:9" ht="15" customHeight="1" x14ac:dyDescent="0.2"/>
    <row r="132" spans="1:9" ht="15" customHeight="1" x14ac:dyDescent="0.2"/>
    <row r="133" spans="1:9" ht="15" customHeight="1" x14ac:dyDescent="0.2"/>
    <row r="134" spans="1:9" ht="15" customHeight="1" x14ac:dyDescent="0.2"/>
    <row r="135" spans="1:9" ht="15" customHeight="1" x14ac:dyDescent="0.2"/>
    <row r="136" spans="1:9" ht="15" customHeight="1" x14ac:dyDescent="0.2"/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4" ht="15" customHeight="1" x14ac:dyDescent="0.2"/>
    <row r="155" ht="15" customHeight="1" x14ac:dyDescent="0.2"/>
    <row r="161" ht="11.25" customHeight="1" x14ac:dyDescent="0.2"/>
    <row r="170" ht="11.25" customHeight="1" x14ac:dyDescent="0.2"/>
  </sheetData>
  <mergeCells count="7">
    <mergeCell ref="A124:C124"/>
    <mergeCell ref="G124:I124"/>
    <mergeCell ref="A129:C129"/>
    <mergeCell ref="A130:C130"/>
    <mergeCell ref="A2:I2"/>
    <mergeCell ref="A123:C123"/>
    <mergeCell ref="G123:I123"/>
  </mergeCells>
  <phoneticPr fontId="13" type="noConversion"/>
  <conditionalFormatting sqref="B186">
    <cfRule type="expression" dxfId="74" priority="62" stopIfTrue="1">
      <formula>$A186="Visa"</formula>
    </cfRule>
  </conditionalFormatting>
  <conditionalFormatting sqref="B192">
    <cfRule type="expression" dxfId="73" priority="53" stopIfTrue="1">
      <formula>$A192="Visa"</formula>
    </cfRule>
  </conditionalFormatting>
  <conditionalFormatting sqref="B224">
    <cfRule type="expression" dxfId="72" priority="69" stopIfTrue="1">
      <formula>$A224="Visa"</formula>
    </cfRule>
  </conditionalFormatting>
  <conditionalFormatting sqref="C5:C19">
    <cfRule type="expression" dxfId="71" priority="78" stopIfTrue="1">
      <formula>$B5="Visa"</formula>
    </cfRule>
  </conditionalFormatting>
  <conditionalFormatting sqref="C5:C122">
    <cfRule type="expression" dxfId="70" priority="7" stopIfTrue="1">
      <formula>$B5="Visa"</formula>
    </cfRule>
    <cfRule type="expression" dxfId="69" priority="38" stopIfTrue="1">
      <formula>$B5="Visa"</formula>
    </cfRule>
    <cfRule type="expression" dxfId="68" priority="61" stopIfTrue="1">
      <formula>$B5="Visa"</formula>
    </cfRule>
    <cfRule type="expression" dxfId="67" priority="76" stopIfTrue="1">
      <formula>$B5="Visa"</formula>
    </cfRule>
  </conditionalFormatting>
  <conditionalFormatting sqref="C13:C15">
    <cfRule type="expression" dxfId="66" priority="75" stopIfTrue="1">
      <formula>$B12="Visa"</formula>
    </cfRule>
  </conditionalFormatting>
  <conditionalFormatting sqref="C13:C20">
    <cfRule type="expression" dxfId="65" priority="6" stopIfTrue="1">
      <formula>$B12="Visa"</formula>
    </cfRule>
    <cfRule type="expression" dxfId="64" priority="60" stopIfTrue="1">
      <formula>$B12="Visa"</formula>
    </cfRule>
  </conditionalFormatting>
  <conditionalFormatting sqref="C13:C118 C120:C122">
    <cfRule type="expression" dxfId="63" priority="77" stopIfTrue="1">
      <formula>$B12="Visa"</formula>
    </cfRule>
  </conditionalFormatting>
  <conditionalFormatting sqref="C17">
    <cfRule type="expression" dxfId="62" priority="34" stopIfTrue="1">
      <formula>$B15="Visa"</formula>
    </cfRule>
    <cfRule type="expression" dxfId="61" priority="74" stopIfTrue="1">
      <formula>$B15="Visa"</formula>
    </cfRule>
  </conditionalFormatting>
  <conditionalFormatting sqref="C21">
    <cfRule type="expression" dxfId="60" priority="12" stopIfTrue="1">
      <formula>#REF!="Visa"</formula>
    </cfRule>
  </conditionalFormatting>
  <conditionalFormatting sqref="C119">
    <cfRule type="expression" dxfId="59" priority="353" stopIfTrue="1">
      <formula>#REF!="Visa"</formula>
    </cfRule>
  </conditionalFormatting>
  <conditionalFormatting sqref="C123:C128">
    <cfRule type="expression" dxfId="58" priority="1" stopIfTrue="1">
      <formula>$B123="Visa"</formula>
    </cfRule>
    <cfRule type="expression" dxfId="57" priority="5" stopIfTrue="1">
      <formula>$B122="Visa"</formula>
    </cfRule>
  </conditionalFormatting>
  <conditionalFormatting sqref="C131:C132 C134:C135 C12:C20">
    <cfRule type="expression" dxfId="56" priority="14" stopIfTrue="1">
      <formula>$B11="Visa"</formula>
    </cfRule>
  </conditionalFormatting>
  <conditionalFormatting sqref="C131:C133">
    <cfRule type="expression" dxfId="55" priority="19" stopIfTrue="1">
      <formula>$B130="Visa"</formula>
    </cfRule>
    <cfRule type="expression" dxfId="54" priority="20" stopIfTrue="1">
      <formula>$B131="Visa"</formula>
    </cfRule>
  </conditionalFormatting>
  <conditionalFormatting sqref="C131:C134 C136:C137">
    <cfRule type="expression" dxfId="53" priority="10" stopIfTrue="1">
      <formula>$B130="Visa"</formula>
    </cfRule>
    <cfRule type="expression" dxfId="52" priority="17" stopIfTrue="1">
      <formula>$B130="Visa"</formula>
    </cfRule>
    <cfRule type="expression" dxfId="51" priority="23" stopIfTrue="1">
      <formula>$B130="Visa"</formula>
    </cfRule>
    <cfRule type="expression" dxfId="50" priority="40" stopIfTrue="1">
      <formula>$B130="Visa"</formula>
    </cfRule>
  </conditionalFormatting>
  <conditionalFormatting sqref="C131:C138">
    <cfRule type="expression" dxfId="49" priority="18" stopIfTrue="1">
      <formula>$B131="Visa"</formula>
    </cfRule>
  </conditionalFormatting>
  <conditionalFormatting sqref="C131:C139">
    <cfRule type="expression" dxfId="48" priority="45" stopIfTrue="1">
      <formula>$B130="Visa"</formula>
    </cfRule>
    <cfRule type="expression" dxfId="47" priority="46" stopIfTrue="1">
      <formula>$B131="Visa"</formula>
    </cfRule>
  </conditionalFormatting>
  <conditionalFormatting sqref="C131:C144 C146:C157">
    <cfRule type="expression" dxfId="46" priority="27" stopIfTrue="1">
      <formula>$B130="Visa"</formula>
    </cfRule>
  </conditionalFormatting>
  <conditionalFormatting sqref="C131:C146">
    <cfRule type="expression" dxfId="45" priority="41" stopIfTrue="1">
      <formula>$B131="Visa"</formula>
    </cfRule>
  </conditionalFormatting>
  <conditionalFormatting sqref="C131:C147 C149:C161 C163:C164">
    <cfRule type="expression" dxfId="44" priority="32" stopIfTrue="1">
      <formula>$B130="Visa"</formula>
    </cfRule>
  </conditionalFormatting>
  <conditionalFormatting sqref="C131:C147 C186:C187">
    <cfRule type="expression" dxfId="43" priority="57" stopIfTrue="1">
      <formula>$B130="Visa"</formula>
    </cfRule>
  </conditionalFormatting>
  <conditionalFormatting sqref="C131:C147">
    <cfRule type="expression" dxfId="42" priority="15" stopIfTrue="1">
      <formula>$B131="Visa"</formula>
    </cfRule>
    <cfRule type="expression" dxfId="41" priority="49" stopIfTrue="1">
      <formula>$B130="Visa"</formula>
    </cfRule>
    <cfRule type="expression" dxfId="40" priority="71" stopIfTrue="1">
      <formula>$B130="Visa"</formula>
    </cfRule>
  </conditionalFormatting>
  <conditionalFormatting sqref="C131:C148">
    <cfRule type="expression" dxfId="39" priority="65" stopIfTrue="1">
      <formula>$B130="Visa"</formula>
    </cfRule>
  </conditionalFormatting>
  <conditionalFormatting sqref="C131:C149">
    <cfRule type="expression" dxfId="38" priority="11" stopIfTrue="1">
      <formula>$B131="Visa"</formula>
    </cfRule>
  </conditionalFormatting>
  <conditionalFormatting sqref="C131:C158">
    <cfRule type="expression" dxfId="37" priority="28" stopIfTrue="1">
      <formula>$B131="Visa"</formula>
    </cfRule>
  </conditionalFormatting>
  <conditionalFormatting sqref="C131:C159">
    <cfRule type="expression" dxfId="36" priority="24" stopIfTrue="1">
      <formula>$B131="Visa"</formula>
    </cfRule>
  </conditionalFormatting>
  <conditionalFormatting sqref="C131:C171">
    <cfRule type="expression" dxfId="35" priority="43" stopIfTrue="1">
      <formula>$B130="Visa"</formula>
    </cfRule>
  </conditionalFormatting>
  <conditionalFormatting sqref="C131:C172">
    <cfRule type="expression" dxfId="34" priority="44" stopIfTrue="1">
      <formula>$B131="Visa"</formula>
    </cfRule>
  </conditionalFormatting>
  <conditionalFormatting sqref="C131:C173">
    <cfRule type="expression" dxfId="33" priority="51" stopIfTrue="1">
      <formula>$B130="Visa"</formula>
    </cfRule>
  </conditionalFormatting>
  <conditionalFormatting sqref="C131:C174">
    <cfRule type="expression" dxfId="32" priority="52" stopIfTrue="1">
      <formula>$B131="Visa"</formula>
    </cfRule>
  </conditionalFormatting>
  <conditionalFormatting sqref="C131:C176">
    <cfRule type="expression" dxfId="31" priority="33" stopIfTrue="1">
      <formula>$B131="Visa"</formula>
    </cfRule>
  </conditionalFormatting>
  <conditionalFormatting sqref="C131:C185">
    <cfRule type="expression" dxfId="30" priority="67" stopIfTrue="1">
      <formula>$B131="Visa"</formula>
    </cfRule>
  </conditionalFormatting>
  <conditionalFormatting sqref="C131:C191">
    <cfRule type="expression" dxfId="29" priority="59" stopIfTrue="1">
      <formula>$B131="Visa"</formula>
    </cfRule>
  </conditionalFormatting>
  <conditionalFormatting sqref="C131:C203">
    <cfRule type="expression" dxfId="28" priority="73" stopIfTrue="1">
      <formula>$B131="Visa"</formula>
    </cfRule>
  </conditionalFormatting>
  <conditionalFormatting sqref="C133">
    <cfRule type="expression" dxfId="27" priority="13" stopIfTrue="1">
      <formula>$B16="Visa"</formula>
    </cfRule>
  </conditionalFormatting>
  <conditionalFormatting sqref="C135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45">
    <cfRule type="expression" dxfId="22" priority="25" stopIfTrue="1">
      <formula>$B121="Visa"</formula>
    </cfRule>
  </conditionalFormatting>
  <conditionalFormatting sqref="C147:C163">
    <cfRule type="expression" dxfId="21" priority="36" stopIfTrue="1">
      <formula>$B147="Visa"</formula>
    </cfRule>
  </conditionalFormatting>
  <conditionalFormatting sqref="C148">
    <cfRule type="expression" dxfId="20" priority="30" stopIfTrue="1">
      <formula>$B120="Visa"</formula>
    </cfRule>
    <cfRule type="expression" dxfId="19" priority="48" stopIfTrue="1">
      <formula>$B120="Visa"</formula>
    </cfRule>
    <cfRule type="expression" dxfId="18" priority="55" stopIfTrue="1">
      <formula>$B120="Visa"</formula>
    </cfRule>
    <cfRule type="expression" dxfId="17" priority="70" stopIfTrue="1">
      <formula>$B120="Visa"</formula>
    </cfRule>
  </conditionalFormatting>
  <conditionalFormatting sqref="C148:C163">
    <cfRule type="expression" dxfId="16" priority="35" stopIfTrue="1">
      <formula>$B147="Visa"</formula>
    </cfRule>
  </conditionalFormatting>
  <conditionalFormatting sqref="C149">
    <cfRule type="expression" dxfId="15" priority="64" stopIfTrue="1">
      <formula>$B121="Visa"</formula>
    </cfRule>
  </conditionalFormatting>
  <conditionalFormatting sqref="C149:C172 C174:C184">
    <cfRule type="expression" dxfId="14" priority="58" stopIfTrue="1">
      <formula>$B148="Visa"</formula>
    </cfRule>
  </conditionalFormatting>
  <conditionalFormatting sqref="C149:C191 C193:C203">
    <cfRule type="expression" dxfId="13" priority="72" stopIfTrue="1">
      <formula>$B148="Visa"</formula>
    </cfRule>
  </conditionalFormatting>
  <conditionalFormatting sqref="C150">
    <cfRule type="expression" dxfId="12" priority="8" stopIfTrue="1">
      <formula>$B150="Visa"</formula>
    </cfRule>
  </conditionalFormatting>
  <conditionalFormatting sqref="C150:C173 C175:C185">
    <cfRule type="expression" dxfId="11" priority="66" stopIfTrue="1">
      <formula>$B149="Visa"</formula>
    </cfRule>
  </conditionalFormatting>
  <conditionalFormatting sqref="C155">
    <cfRule type="expression" dxfId="10" priority="50" stopIfTrue="1">
      <formula>$B126="Visa"</formula>
    </cfRule>
  </conditionalFormatting>
  <conditionalFormatting sqref="C158">
    <cfRule type="expression" dxfId="9" priority="26" stopIfTrue="1">
      <formula>$B17="Visa"</formula>
    </cfRule>
  </conditionalFormatting>
  <conditionalFormatting sqref="C159">
    <cfRule type="expression" dxfId="8" priority="21" stopIfTrue="1">
      <formula>$B159="Visa"</formula>
    </cfRule>
  </conditionalFormatting>
  <conditionalFormatting sqref="C162">
    <cfRule type="expression" dxfId="7" priority="31" stopIfTrue="1">
      <formula>$B17="Visa"</formula>
    </cfRule>
  </conditionalFormatting>
  <conditionalFormatting sqref="C172">
    <cfRule type="expression" dxfId="6" priority="42" stopIfTrue="1">
      <formula>$B21="Visa"</formula>
    </cfRule>
  </conditionalFormatting>
  <conditionalFormatting sqref="C173">
    <cfRule type="expression" dxfId="5" priority="54" stopIfTrue="1">
      <formula>$B149="Visa"</formula>
    </cfRule>
  </conditionalFormatting>
  <conditionalFormatting sqref="C174">
    <cfRule type="expression" dxfId="4" priority="47" stopIfTrue="1">
      <formula>$B173="Visa"</formula>
    </cfRule>
    <cfRule type="expression" dxfId="3" priority="63" stopIfTrue="1">
      <formula>$B150="Visa"</formula>
    </cfRule>
  </conditionalFormatting>
  <conditionalFormatting sqref="C177">
    <cfRule type="expression" dxfId="2" priority="29" stopIfTrue="1">
      <formula>$B177="Visa"</formula>
    </cfRule>
  </conditionalFormatting>
  <conditionalFormatting sqref="C185">
    <cfRule type="expression" dxfId="1" priority="56" stopIfTrue="1">
      <formula>$B17="Visa"</formula>
    </cfRule>
  </conditionalFormatting>
  <conditionalFormatting sqref="C192">
    <cfRule type="expression" dxfId="0" priority="68" stopIfTrue="1">
      <formula>$B159="Visa"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2026-06-04T05:59:57Z</dcterms:modified>
</cp:coreProperties>
</file>