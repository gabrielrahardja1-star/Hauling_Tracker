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codeName="ThisWorkbook" defaultThemeVersion="124226"/>
  <xr:revisionPtr revIDLastSave="0" documentId="13_ncr:1_{BA11A997-7683-4216-BD4D-F0A89CC47A02}" xr6:coauthVersionLast="47" xr6:coauthVersionMax="47" xr10:uidLastSave="{00000000-0000-0000-0000-000000000000}"/>
  <bookViews>
    <workbookView xWindow="-120" yWindow="-120" windowWidth="24240" windowHeight="13140" tabRatio="915" firstSheet="6" activeTab="6" xr2:uid="{00000000-000D-0000-FFFF-FFFF00000000}"/>
  </bookViews>
  <sheets>
    <sheet name="1" sheetId="203" state="hidden" r:id="rId1"/>
    <sheet name="2" sheetId="204" state="hidden" r:id="rId2"/>
    <sheet name="3" sheetId="206" state="hidden" r:id="rId3"/>
    <sheet name="4" sheetId="207" state="hidden" r:id="rId4"/>
    <sheet name="5" sheetId="208" state="hidden" r:id="rId5"/>
    <sheet name="6" sheetId="209" state="hidden" r:id="rId6"/>
    <sheet name="22" sheetId="225" r:id="rId7"/>
  </sheets>
  <definedNames>
    <definedName name="_xlnm._FilterDatabase" localSheetId="6" hidden="1">'22'!$A$4:$I$4</definedName>
    <definedName name="_xlnm.Print_Area" localSheetId="0">'1'!$A$174:$I$187</definedName>
  </definedNames>
  <calcPr calcId="181029"/>
</workbook>
</file>

<file path=xl/calcChain.xml><?xml version="1.0" encoding="utf-8"?>
<calcChain xmlns="http://schemas.openxmlformats.org/spreadsheetml/2006/main">
  <c r="P137" i="203" l="1"/>
  <c r="O137" i="203"/>
  <c r="P136" i="203"/>
  <c r="O136" i="203"/>
  <c r="P135" i="203"/>
  <c r="O135" i="203"/>
  <c r="P134" i="203"/>
  <c r="O134" i="203"/>
  <c r="P133" i="203"/>
  <c r="O133" i="203"/>
  <c r="P132" i="203"/>
  <c r="O132" i="203"/>
  <c r="P131" i="203"/>
  <c r="O131" i="203"/>
  <c r="P130" i="203"/>
  <c r="O130" i="203"/>
  <c r="P129" i="203"/>
  <c r="O129" i="203"/>
  <c r="P128" i="203"/>
  <c r="O128" i="203"/>
  <c r="P127" i="203"/>
  <c r="O127" i="203"/>
  <c r="P126" i="203"/>
  <c r="O126" i="203"/>
  <c r="P125" i="203"/>
  <c r="O125" i="203"/>
  <c r="Q124" i="203"/>
  <c r="P124" i="203"/>
  <c r="O124" i="203"/>
  <c r="P123" i="203"/>
  <c r="O123" i="203"/>
  <c r="P122" i="203"/>
  <c r="O122" i="203"/>
  <c r="P121" i="203"/>
  <c r="O121" i="203"/>
  <c r="P120" i="203"/>
  <c r="O120" i="203"/>
  <c r="P119" i="203"/>
  <c r="O119" i="203"/>
  <c r="P118" i="203"/>
  <c r="O118" i="203"/>
  <c r="P117" i="203"/>
  <c r="O117" i="203"/>
  <c r="Q116" i="203"/>
  <c r="P116" i="203"/>
  <c r="O116" i="203"/>
  <c r="P115" i="203"/>
  <c r="O115" i="203"/>
  <c r="P114" i="203"/>
  <c r="O114" i="203"/>
  <c r="P113" i="203"/>
  <c r="O113" i="203"/>
  <c r="P112" i="203"/>
  <c r="O112" i="203"/>
  <c r="P111" i="203"/>
  <c r="O111" i="203"/>
  <c r="P110" i="203"/>
  <c r="O110" i="203"/>
  <c r="P109" i="203"/>
  <c r="O109" i="203"/>
  <c r="P108" i="203"/>
  <c r="O108" i="203"/>
  <c r="P107" i="203"/>
  <c r="O107" i="203"/>
  <c r="P106" i="203"/>
  <c r="O106" i="203"/>
  <c r="P105" i="203"/>
  <c r="O105" i="203"/>
  <c r="P104" i="203"/>
  <c r="O104" i="203"/>
  <c r="P103" i="203"/>
  <c r="O103" i="203"/>
  <c r="P102" i="203"/>
  <c r="O102" i="203"/>
  <c r="P101" i="203"/>
  <c r="O101" i="203"/>
  <c r="Q100" i="203"/>
  <c r="P100" i="203"/>
  <c r="O100" i="203"/>
  <c r="P99" i="203"/>
  <c r="O99" i="203"/>
  <c r="P98" i="203"/>
  <c r="O98" i="203"/>
  <c r="P97" i="203"/>
  <c r="O97" i="203"/>
  <c r="P96" i="203"/>
  <c r="O96" i="203"/>
  <c r="P95" i="203"/>
  <c r="O95" i="203"/>
  <c r="P94" i="203"/>
  <c r="O94" i="203"/>
  <c r="P93" i="203"/>
  <c r="O93" i="203"/>
  <c r="Q92" i="203"/>
  <c r="P92" i="203"/>
  <c r="O92" i="203"/>
  <c r="P91" i="203"/>
  <c r="O91" i="203"/>
  <c r="P90" i="203"/>
  <c r="O90" i="203"/>
  <c r="P89" i="203"/>
  <c r="O89" i="203"/>
  <c r="P88" i="203"/>
  <c r="O88" i="203"/>
  <c r="P87" i="203"/>
  <c r="O87" i="203"/>
  <c r="P86" i="203"/>
  <c r="O86" i="203"/>
  <c r="P85" i="203"/>
  <c r="O85" i="203"/>
  <c r="P84" i="203"/>
  <c r="O84" i="203"/>
  <c r="P83" i="203"/>
  <c r="O83" i="203"/>
  <c r="P82" i="203"/>
  <c r="O82" i="203"/>
  <c r="P81" i="203"/>
  <c r="O81" i="203"/>
  <c r="P80" i="203"/>
  <c r="O80" i="203"/>
  <c r="P79" i="203"/>
  <c r="O79" i="203"/>
  <c r="P78" i="203"/>
  <c r="O78" i="203"/>
  <c r="P77" i="203"/>
  <c r="O77" i="203"/>
  <c r="Q76" i="203"/>
  <c r="P76" i="203"/>
  <c r="O76" i="203"/>
  <c r="P75" i="203"/>
  <c r="O75" i="203"/>
  <c r="P74" i="203"/>
  <c r="O74" i="203"/>
  <c r="P73" i="203"/>
  <c r="O73" i="203"/>
  <c r="P72" i="203"/>
  <c r="O72" i="203"/>
  <c r="P71" i="203"/>
  <c r="O71" i="203"/>
  <c r="P70" i="203"/>
  <c r="O70" i="203"/>
  <c r="P69" i="203"/>
  <c r="O69" i="203"/>
  <c r="Q68" i="203"/>
  <c r="P68" i="203"/>
  <c r="O68" i="203"/>
  <c r="P67" i="203"/>
  <c r="O67" i="203"/>
  <c r="P66" i="203"/>
  <c r="O66" i="203"/>
  <c r="P65" i="203"/>
  <c r="O65" i="203"/>
  <c r="P64" i="203"/>
  <c r="O64" i="203"/>
  <c r="P63" i="203"/>
  <c r="O63" i="203"/>
  <c r="P62" i="203"/>
  <c r="O62" i="203"/>
  <c r="P61" i="203"/>
  <c r="O61" i="203"/>
  <c r="P60" i="203"/>
  <c r="O60" i="203"/>
  <c r="P59" i="203"/>
  <c r="O59" i="203"/>
  <c r="P58" i="203"/>
  <c r="O58" i="203"/>
  <c r="P57" i="203"/>
  <c r="O57" i="203"/>
  <c r="P56" i="203"/>
  <c r="O56" i="203"/>
  <c r="P55" i="203"/>
  <c r="O55" i="203"/>
  <c r="P54" i="203"/>
  <c r="O54" i="203"/>
  <c r="P53" i="203"/>
  <c r="O53" i="203"/>
  <c r="Q52" i="203"/>
  <c r="P52" i="203"/>
  <c r="O52" i="203"/>
  <c r="P51" i="203"/>
  <c r="O51" i="203"/>
  <c r="P50" i="203"/>
  <c r="O50" i="203"/>
  <c r="P49" i="203"/>
  <c r="O49" i="203"/>
  <c r="P48" i="203"/>
  <c r="O48" i="203"/>
  <c r="P47" i="203"/>
  <c r="O47" i="203"/>
  <c r="P46" i="203"/>
  <c r="O46" i="203"/>
  <c r="P45" i="203"/>
  <c r="O45" i="203"/>
  <c r="Q44" i="203"/>
  <c r="P44" i="203"/>
  <c r="O44" i="203"/>
  <c r="P43" i="203"/>
  <c r="O43" i="203"/>
  <c r="P42" i="203"/>
  <c r="O42" i="203"/>
  <c r="P41" i="203"/>
  <c r="O41" i="203"/>
  <c r="P40" i="203"/>
  <c r="O40" i="203"/>
  <c r="P39" i="203"/>
  <c r="O39" i="203"/>
  <c r="P38" i="203"/>
  <c r="O38" i="203"/>
  <c r="P37" i="203"/>
  <c r="O37" i="203"/>
  <c r="P36" i="203"/>
  <c r="O36" i="203"/>
  <c r="P35" i="203"/>
  <c r="O35" i="203"/>
  <c r="P34" i="203"/>
  <c r="O34" i="203"/>
  <c r="P33" i="203"/>
  <c r="O33" i="203"/>
  <c r="P32" i="203"/>
  <c r="O32" i="203"/>
  <c r="P31" i="203"/>
  <c r="O31" i="203"/>
  <c r="P30" i="203"/>
  <c r="O30" i="203"/>
  <c r="P29" i="203"/>
  <c r="O29" i="203"/>
  <c r="Q28" i="203"/>
  <c r="P28" i="203"/>
  <c r="O28" i="203"/>
  <c r="P27" i="203"/>
  <c r="O27" i="203"/>
  <c r="P26" i="203"/>
  <c r="O26" i="203"/>
  <c r="P25" i="203"/>
  <c r="O25" i="203"/>
  <c r="P24" i="203"/>
  <c r="O24" i="203"/>
  <c r="P23" i="203"/>
  <c r="O23" i="203"/>
  <c r="P22" i="203"/>
  <c r="O22" i="203"/>
  <c r="P21" i="203"/>
  <c r="O21" i="203"/>
  <c r="Q20" i="203"/>
  <c r="P20" i="203"/>
  <c r="O20" i="203"/>
  <c r="P19" i="203"/>
  <c r="O19" i="203"/>
  <c r="P18" i="203"/>
  <c r="O18" i="203"/>
  <c r="P17" i="203"/>
  <c r="O17" i="203"/>
  <c r="P16" i="203"/>
  <c r="O16" i="203"/>
  <c r="P15" i="203"/>
  <c r="O15" i="203"/>
  <c r="P14" i="203"/>
  <c r="O14" i="203"/>
  <c r="P13" i="203"/>
  <c r="O13" i="203"/>
  <c r="P12" i="203"/>
  <c r="O12" i="203"/>
  <c r="P11" i="203"/>
  <c r="O11" i="203"/>
  <c r="P10" i="203"/>
  <c r="O10" i="203"/>
  <c r="P9" i="203"/>
  <c r="O9" i="203"/>
  <c r="P8" i="203"/>
  <c r="O8" i="203"/>
  <c r="P7" i="203"/>
  <c r="O7" i="203"/>
  <c r="N8" i="203"/>
  <c r="Q8" i="203" s="1"/>
  <c r="N9" i="203"/>
  <c r="N10" i="203"/>
  <c r="N11" i="203"/>
  <c r="N12" i="203"/>
  <c r="N13" i="203"/>
  <c r="Q13" i="203" s="1"/>
  <c r="N14" i="203"/>
  <c r="Q14" i="203" s="1"/>
  <c r="N15" i="203"/>
  <c r="N16" i="203"/>
  <c r="N17" i="203"/>
  <c r="N18" i="203"/>
  <c r="N19" i="203"/>
  <c r="N20" i="203"/>
  <c r="N21" i="203"/>
  <c r="N22" i="203"/>
  <c r="N23" i="203"/>
  <c r="N24" i="203"/>
  <c r="N25" i="203"/>
  <c r="Q25" i="203" s="1"/>
  <c r="N26" i="203"/>
  <c r="Q26" i="203" s="1"/>
  <c r="N27" i="203"/>
  <c r="N28" i="203"/>
  <c r="N29" i="203"/>
  <c r="N30" i="203"/>
  <c r="N31" i="203"/>
  <c r="N32" i="203"/>
  <c r="Q32" i="203" s="1"/>
  <c r="N33" i="203"/>
  <c r="N34" i="203"/>
  <c r="N35" i="203"/>
  <c r="N36" i="203"/>
  <c r="N37" i="203"/>
  <c r="Q37" i="203" s="1"/>
  <c r="N38" i="203"/>
  <c r="Q38" i="203" s="1"/>
  <c r="N39" i="203"/>
  <c r="N40" i="203"/>
  <c r="N41" i="203"/>
  <c r="N42" i="203"/>
  <c r="N43" i="203"/>
  <c r="N44" i="203"/>
  <c r="N45" i="203"/>
  <c r="N46" i="203"/>
  <c r="N47" i="203"/>
  <c r="N48" i="203"/>
  <c r="N49" i="203"/>
  <c r="Q49" i="203" s="1"/>
  <c r="N50" i="203"/>
  <c r="Q50" i="203" s="1"/>
  <c r="N51" i="203"/>
  <c r="N52" i="203"/>
  <c r="N53" i="203"/>
  <c r="N54" i="203"/>
  <c r="N55" i="203"/>
  <c r="N56" i="203"/>
  <c r="Q56" i="203" s="1"/>
  <c r="N57" i="203"/>
  <c r="N58" i="203"/>
  <c r="N59" i="203"/>
  <c r="N60" i="203"/>
  <c r="N61" i="203"/>
  <c r="Q61" i="203" s="1"/>
  <c r="N62" i="203"/>
  <c r="Q62" i="203" s="1"/>
  <c r="N63" i="203"/>
  <c r="N64" i="203"/>
  <c r="N65" i="203"/>
  <c r="N66" i="203"/>
  <c r="N67" i="203"/>
  <c r="N68" i="203"/>
  <c r="N69" i="203"/>
  <c r="N70" i="203"/>
  <c r="N71" i="203"/>
  <c r="N72" i="203"/>
  <c r="N73" i="203"/>
  <c r="Q73" i="203" s="1"/>
  <c r="N74" i="203"/>
  <c r="Q74" i="203" s="1"/>
  <c r="N75" i="203"/>
  <c r="N76" i="203"/>
  <c r="N77" i="203"/>
  <c r="N78" i="203"/>
  <c r="N79" i="203"/>
  <c r="N80" i="203"/>
  <c r="Q80" i="203" s="1"/>
  <c r="N81" i="203"/>
  <c r="N82" i="203"/>
  <c r="N83" i="203"/>
  <c r="N84" i="203"/>
  <c r="N85" i="203"/>
  <c r="Q85" i="203" s="1"/>
  <c r="N86" i="203"/>
  <c r="Q86" i="203" s="1"/>
  <c r="N87" i="203"/>
  <c r="N88" i="203"/>
  <c r="N89" i="203"/>
  <c r="N90" i="203"/>
  <c r="N91" i="203"/>
  <c r="N92" i="203"/>
  <c r="N93" i="203"/>
  <c r="N94" i="203"/>
  <c r="N95" i="203"/>
  <c r="N96" i="203"/>
  <c r="N97" i="203"/>
  <c r="Q97" i="203" s="1"/>
  <c r="N98" i="203"/>
  <c r="Q98" i="203" s="1"/>
  <c r="N99" i="203"/>
  <c r="N100" i="203"/>
  <c r="N101" i="203"/>
  <c r="N102" i="203"/>
  <c r="N103" i="203"/>
  <c r="N104" i="203"/>
  <c r="Q104" i="203" s="1"/>
  <c r="N105" i="203"/>
  <c r="N106" i="203"/>
  <c r="N107" i="203"/>
  <c r="N108" i="203"/>
  <c r="N109" i="203"/>
  <c r="Q109" i="203" s="1"/>
  <c r="N110" i="203"/>
  <c r="Q110" i="203" s="1"/>
  <c r="N111" i="203"/>
  <c r="N112" i="203"/>
  <c r="N113" i="203"/>
  <c r="N114" i="203"/>
  <c r="N115" i="203"/>
  <c r="N116" i="203"/>
  <c r="N117" i="203"/>
  <c r="N118" i="203"/>
  <c r="N119" i="203"/>
  <c r="N120" i="203"/>
  <c r="N121" i="203"/>
  <c r="Q121" i="203" s="1"/>
  <c r="N122" i="203"/>
  <c r="Q122" i="203" s="1"/>
  <c r="N123" i="203"/>
  <c r="N124" i="203"/>
  <c r="N125" i="203"/>
  <c r="N126" i="203"/>
  <c r="N127" i="203"/>
  <c r="N128" i="203"/>
  <c r="Q128" i="203" s="1"/>
  <c r="N129" i="203"/>
  <c r="N130" i="203"/>
  <c r="N131" i="203"/>
  <c r="N132" i="203"/>
  <c r="N133" i="203"/>
  <c r="Q133" i="203" s="1"/>
  <c r="N134" i="203"/>
  <c r="Q134" i="203" s="1"/>
  <c r="N135" i="203"/>
  <c r="N136" i="203"/>
  <c r="N137" i="203"/>
  <c r="N138" i="203"/>
  <c r="N139" i="203"/>
  <c r="N140" i="203"/>
  <c r="N141" i="203"/>
  <c r="N142" i="203"/>
  <c r="I8" i="203"/>
  <c r="I9" i="203"/>
  <c r="I10" i="203"/>
  <c r="Q10" i="203" s="1"/>
  <c r="I11" i="203"/>
  <c r="Q11" i="203" s="1"/>
  <c r="I12" i="203"/>
  <c r="Q12" i="203" s="1"/>
  <c r="I13" i="203"/>
  <c r="I14" i="203"/>
  <c r="I15" i="203"/>
  <c r="I16" i="203"/>
  <c r="Q16" i="203" s="1"/>
  <c r="I17" i="203"/>
  <c r="Q17" i="203" s="1"/>
  <c r="I18" i="203"/>
  <c r="Q18" i="203" s="1"/>
  <c r="I19" i="203"/>
  <c r="Q19" i="203" s="1"/>
  <c r="I20" i="203"/>
  <c r="I21" i="203"/>
  <c r="I22" i="203"/>
  <c r="Q22" i="203" s="1"/>
  <c r="I23" i="203"/>
  <c r="Q23" i="203" s="1"/>
  <c r="I24" i="203"/>
  <c r="Q24" i="203" s="1"/>
  <c r="I25" i="203"/>
  <c r="I26" i="203"/>
  <c r="I27" i="203"/>
  <c r="I28" i="203"/>
  <c r="I29" i="203"/>
  <c r="Q29" i="203" s="1"/>
  <c r="I30" i="203"/>
  <c r="Q30" i="203" s="1"/>
  <c r="I31" i="203"/>
  <c r="Q31" i="203" s="1"/>
  <c r="I32" i="203"/>
  <c r="I33" i="203"/>
  <c r="I34" i="203"/>
  <c r="Q34" i="203" s="1"/>
  <c r="I35" i="203"/>
  <c r="Q35" i="203" s="1"/>
  <c r="I36" i="203"/>
  <c r="Q36" i="203" s="1"/>
  <c r="I37" i="203"/>
  <c r="I38" i="203"/>
  <c r="I39" i="203"/>
  <c r="I40" i="203"/>
  <c r="Q40" i="203" s="1"/>
  <c r="I41" i="203"/>
  <c r="Q41" i="203" s="1"/>
  <c r="I42" i="203"/>
  <c r="Q42" i="203" s="1"/>
  <c r="I43" i="203"/>
  <c r="Q43" i="203" s="1"/>
  <c r="I44" i="203"/>
  <c r="I45" i="203"/>
  <c r="I46" i="203"/>
  <c r="Q46" i="203" s="1"/>
  <c r="I47" i="203"/>
  <c r="Q47" i="203" s="1"/>
  <c r="I48" i="203"/>
  <c r="Q48" i="203" s="1"/>
  <c r="I49" i="203"/>
  <c r="I50" i="203"/>
  <c r="I51" i="203"/>
  <c r="I52" i="203"/>
  <c r="I53" i="203"/>
  <c r="Q53" i="203" s="1"/>
  <c r="I54" i="203"/>
  <c r="Q54" i="203" s="1"/>
  <c r="I55" i="203"/>
  <c r="Q55" i="203" s="1"/>
  <c r="I56" i="203"/>
  <c r="I57" i="203"/>
  <c r="I58" i="203"/>
  <c r="Q58" i="203" s="1"/>
  <c r="I59" i="203"/>
  <c r="Q59" i="203" s="1"/>
  <c r="I60" i="203"/>
  <c r="Q60" i="203" s="1"/>
  <c r="I61" i="203"/>
  <c r="I62" i="203"/>
  <c r="I63" i="203"/>
  <c r="I64" i="203"/>
  <c r="Q64" i="203" s="1"/>
  <c r="I65" i="203"/>
  <c r="Q65" i="203" s="1"/>
  <c r="I66" i="203"/>
  <c r="Q66" i="203" s="1"/>
  <c r="I67" i="203"/>
  <c r="Q67" i="203" s="1"/>
  <c r="I68" i="203"/>
  <c r="I69" i="203"/>
  <c r="I70" i="203"/>
  <c r="Q70" i="203" s="1"/>
  <c r="I71" i="203"/>
  <c r="Q71" i="203" s="1"/>
  <c r="I72" i="203"/>
  <c r="Q72" i="203" s="1"/>
  <c r="I73" i="203"/>
  <c r="I74" i="203"/>
  <c r="I75" i="203"/>
  <c r="I76" i="203"/>
  <c r="I77" i="203"/>
  <c r="Q77" i="203" s="1"/>
  <c r="I78" i="203"/>
  <c r="Q78" i="203" s="1"/>
  <c r="I79" i="203"/>
  <c r="Q79" i="203" s="1"/>
  <c r="I80" i="203"/>
  <c r="I81" i="203"/>
  <c r="I82" i="203"/>
  <c r="Q82" i="203" s="1"/>
  <c r="I83" i="203"/>
  <c r="Q83" i="203" s="1"/>
  <c r="I84" i="203"/>
  <c r="Q84" i="203" s="1"/>
  <c r="I85" i="203"/>
  <c r="I86" i="203"/>
  <c r="I87" i="203"/>
  <c r="I88" i="203"/>
  <c r="Q88" i="203" s="1"/>
  <c r="I89" i="203"/>
  <c r="Q89" i="203" s="1"/>
  <c r="I90" i="203"/>
  <c r="Q90" i="203" s="1"/>
  <c r="I91" i="203"/>
  <c r="Q91" i="203" s="1"/>
  <c r="I92" i="203"/>
  <c r="I93" i="203"/>
  <c r="I94" i="203"/>
  <c r="Q94" i="203" s="1"/>
  <c r="I95" i="203"/>
  <c r="Q95" i="203" s="1"/>
  <c r="I96" i="203"/>
  <c r="Q96" i="203" s="1"/>
  <c r="I97" i="203"/>
  <c r="I98" i="203"/>
  <c r="I99" i="203"/>
  <c r="I100" i="203"/>
  <c r="I101" i="203"/>
  <c r="Q101" i="203" s="1"/>
  <c r="I102" i="203"/>
  <c r="Q102" i="203" s="1"/>
  <c r="I103" i="203"/>
  <c r="Q103" i="203" s="1"/>
  <c r="I104" i="203"/>
  <c r="I105" i="203"/>
  <c r="I106" i="203"/>
  <c r="Q106" i="203" s="1"/>
  <c r="I107" i="203"/>
  <c r="Q107" i="203" s="1"/>
  <c r="I108" i="203"/>
  <c r="Q108" i="203" s="1"/>
  <c r="I109" i="203"/>
  <c r="I110" i="203"/>
  <c r="I111" i="203"/>
  <c r="I112" i="203"/>
  <c r="Q112" i="203" s="1"/>
  <c r="I113" i="203"/>
  <c r="Q113" i="203" s="1"/>
  <c r="I114" i="203"/>
  <c r="Q114" i="203" s="1"/>
  <c r="I115" i="203"/>
  <c r="Q115" i="203" s="1"/>
  <c r="I116" i="203"/>
  <c r="I117" i="203"/>
  <c r="I118" i="203"/>
  <c r="Q118" i="203" s="1"/>
  <c r="I119" i="203"/>
  <c r="Q119" i="203" s="1"/>
  <c r="I120" i="203"/>
  <c r="Q120" i="203" s="1"/>
  <c r="I121" i="203"/>
  <c r="I122" i="203"/>
  <c r="I123" i="203"/>
  <c r="I124" i="203"/>
  <c r="I125" i="203"/>
  <c r="Q125" i="203" s="1"/>
  <c r="I126" i="203"/>
  <c r="Q126" i="203" s="1"/>
  <c r="I127" i="203"/>
  <c r="Q127" i="203" s="1"/>
  <c r="I128" i="203"/>
  <c r="I129" i="203"/>
  <c r="I130" i="203"/>
  <c r="Q130" i="203" s="1"/>
  <c r="I131" i="203"/>
  <c r="Q131" i="203" s="1"/>
  <c r="I132" i="203"/>
  <c r="Q132" i="203" s="1"/>
  <c r="I133" i="203"/>
  <c r="I134" i="203"/>
  <c r="I135" i="203"/>
  <c r="I136" i="203"/>
  <c r="Q136" i="203" s="1"/>
  <c r="I137" i="203"/>
  <c r="Q137" i="203" s="1"/>
  <c r="I138" i="203"/>
  <c r="I139" i="203"/>
  <c r="Q129" i="203" l="1"/>
  <c r="Q117" i="203"/>
  <c r="Q105" i="203"/>
  <c r="Q93" i="203"/>
  <c r="Q81" i="203"/>
  <c r="Q69" i="203"/>
  <c r="Q57" i="203"/>
  <c r="Q45" i="203"/>
  <c r="Q33" i="203"/>
  <c r="Q21" i="203"/>
  <c r="Q9" i="203"/>
  <c r="Q135" i="203"/>
  <c r="Q123" i="203"/>
  <c r="Q111" i="203"/>
  <c r="Q99" i="203"/>
  <c r="Q87" i="203"/>
  <c r="Q75" i="203"/>
  <c r="Q63" i="203"/>
  <c r="Q51" i="203"/>
  <c r="Q39" i="203"/>
  <c r="Q27" i="203"/>
  <c r="Q15" i="203"/>
  <c r="N175" i="203" l="1"/>
  <c r="N174" i="203"/>
  <c r="P174" i="203"/>
  <c r="O174" i="203"/>
  <c r="I174" i="203"/>
  <c r="P204" i="204"/>
  <c r="O204" i="204"/>
  <c r="P203" i="204"/>
  <c r="O203" i="204"/>
  <c r="P202" i="204"/>
  <c r="O202" i="204"/>
  <c r="P201" i="204"/>
  <c r="O201" i="204"/>
  <c r="P200" i="204"/>
  <c r="O200" i="204"/>
  <c r="P199" i="204"/>
  <c r="O199" i="204"/>
  <c r="P198" i="204"/>
  <c r="O198" i="204"/>
  <c r="P197" i="204"/>
  <c r="O197" i="204"/>
  <c r="P196" i="204"/>
  <c r="O196" i="204"/>
  <c r="P195" i="204"/>
  <c r="O195" i="204"/>
  <c r="P194" i="204"/>
  <c r="O194" i="204"/>
  <c r="P193" i="204"/>
  <c r="O193" i="204"/>
  <c r="P192" i="204"/>
  <c r="O192" i="204"/>
  <c r="P191" i="204"/>
  <c r="O191" i="204"/>
  <c r="P190" i="204"/>
  <c r="O190" i="204"/>
  <c r="P189" i="204"/>
  <c r="O189" i="204"/>
  <c r="P188" i="204"/>
  <c r="O188" i="204"/>
  <c r="P187" i="204"/>
  <c r="O187" i="204"/>
  <c r="P186" i="204"/>
  <c r="O186" i="204"/>
  <c r="P185" i="204"/>
  <c r="O185" i="204"/>
  <c r="P184" i="204"/>
  <c r="O184" i="204"/>
  <c r="P183" i="204"/>
  <c r="O183" i="204"/>
  <c r="P182" i="204"/>
  <c r="O182" i="204"/>
  <c r="P181" i="204"/>
  <c r="O181" i="204"/>
  <c r="P180" i="204"/>
  <c r="O180" i="204"/>
  <c r="P179" i="204"/>
  <c r="O179" i="204"/>
  <c r="P178" i="204"/>
  <c r="O178" i="204"/>
  <c r="P177" i="204"/>
  <c r="O177" i="204"/>
  <c r="P176" i="204"/>
  <c r="O176" i="204"/>
  <c r="P175" i="204"/>
  <c r="O175" i="204"/>
  <c r="P174" i="204"/>
  <c r="O174" i="204"/>
  <c r="P173" i="204"/>
  <c r="O173" i="204"/>
  <c r="P172" i="204"/>
  <c r="O172" i="204"/>
  <c r="P171" i="204"/>
  <c r="O171" i="204"/>
  <c r="P170" i="204"/>
  <c r="O170" i="204"/>
  <c r="P169" i="204"/>
  <c r="O169" i="204"/>
  <c r="P168" i="204"/>
  <c r="O168" i="204"/>
  <c r="P167" i="204"/>
  <c r="O167" i="204"/>
  <c r="P166" i="204"/>
  <c r="O166" i="204"/>
  <c r="P165" i="204"/>
  <c r="O165" i="204"/>
  <c r="P164" i="204"/>
  <c r="O164" i="204"/>
  <c r="P163" i="204"/>
  <c r="O163" i="204"/>
  <c r="P162" i="204"/>
  <c r="O162" i="204"/>
  <c r="P161" i="204"/>
  <c r="O161" i="204"/>
  <c r="P160" i="204"/>
  <c r="O160" i="204"/>
  <c r="P159" i="204"/>
  <c r="O159" i="204"/>
  <c r="P158" i="204"/>
  <c r="O158" i="204"/>
  <c r="P157" i="204"/>
  <c r="O157" i="204"/>
  <c r="P156" i="204"/>
  <c r="O156" i="204"/>
  <c r="P155" i="204"/>
  <c r="O155" i="204"/>
  <c r="P154" i="204"/>
  <c r="O154" i="204"/>
  <c r="P153" i="204"/>
  <c r="O153" i="204"/>
  <c r="P152" i="204"/>
  <c r="O152" i="204"/>
  <c r="P151" i="204"/>
  <c r="O151" i="204"/>
  <c r="P150" i="204"/>
  <c r="O150" i="204"/>
  <c r="P149" i="204"/>
  <c r="O149" i="204"/>
  <c r="P148" i="204"/>
  <c r="O148" i="204"/>
  <c r="P147" i="204"/>
  <c r="O147" i="204"/>
  <c r="P146" i="204"/>
  <c r="O146" i="204"/>
  <c r="P145" i="204"/>
  <c r="O145" i="204"/>
  <c r="P144" i="204"/>
  <c r="O144" i="204"/>
  <c r="P143" i="204"/>
  <c r="O143" i="204"/>
  <c r="P142" i="204"/>
  <c r="O142" i="204"/>
  <c r="P141" i="204"/>
  <c r="O141" i="204"/>
  <c r="P140" i="204"/>
  <c r="O140" i="204"/>
  <c r="P139" i="204"/>
  <c r="O139" i="204"/>
  <c r="P138" i="204"/>
  <c r="O138" i="204"/>
  <c r="P137" i="204"/>
  <c r="O137" i="204"/>
  <c r="P136" i="204"/>
  <c r="O136" i="204"/>
  <c r="P135" i="204"/>
  <c r="O135" i="204"/>
  <c r="P134" i="204"/>
  <c r="O134" i="204"/>
  <c r="P133" i="204"/>
  <c r="O133" i="204"/>
  <c r="P132" i="204"/>
  <c r="O132" i="204"/>
  <c r="P131" i="204"/>
  <c r="O131" i="204"/>
  <c r="P130" i="204"/>
  <c r="O130" i="204"/>
  <c r="P129" i="204"/>
  <c r="O129" i="204"/>
  <c r="P128" i="204"/>
  <c r="O128" i="204"/>
  <c r="P127" i="204"/>
  <c r="O127" i="204"/>
  <c r="P126" i="204"/>
  <c r="O126" i="204"/>
  <c r="P125" i="204"/>
  <c r="O125" i="204"/>
  <c r="P124" i="204"/>
  <c r="O124" i="204"/>
  <c r="P123" i="204"/>
  <c r="O123" i="204"/>
  <c r="P122" i="204"/>
  <c r="O122" i="204"/>
  <c r="P121" i="204"/>
  <c r="O121" i="204"/>
  <c r="P120" i="204"/>
  <c r="O120" i="204"/>
  <c r="P119" i="204"/>
  <c r="O119" i="204"/>
  <c r="P118" i="204"/>
  <c r="O118" i="204"/>
  <c r="P117" i="204"/>
  <c r="O117" i="204"/>
  <c r="P116" i="204"/>
  <c r="O116" i="204"/>
  <c r="P115" i="204"/>
  <c r="O115" i="204"/>
  <c r="P114" i="204"/>
  <c r="O114" i="204"/>
  <c r="P113" i="204"/>
  <c r="O113" i="204"/>
  <c r="P112" i="204"/>
  <c r="O112" i="204"/>
  <c r="P111" i="204"/>
  <c r="O111" i="204"/>
  <c r="P110" i="204"/>
  <c r="O110" i="204"/>
  <c r="P109" i="204"/>
  <c r="O109" i="204"/>
  <c r="P108" i="204"/>
  <c r="O108" i="204"/>
  <c r="P107" i="204"/>
  <c r="O107" i="204"/>
  <c r="P106" i="204"/>
  <c r="O106" i="204"/>
  <c r="P105" i="204"/>
  <c r="O105" i="204"/>
  <c r="P104" i="204"/>
  <c r="O104" i="204"/>
  <c r="P103" i="204"/>
  <c r="O103" i="204"/>
  <c r="P102" i="204"/>
  <c r="O102" i="204"/>
  <c r="P101" i="204"/>
  <c r="O101" i="204"/>
  <c r="P100" i="204"/>
  <c r="O100" i="204"/>
  <c r="P99" i="204"/>
  <c r="O99" i="204"/>
  <c r="P98" i="204"/>
  <c r="O98" i="204"/>
  <c r="P97" i="204"/>
  <c r="O97" i="204"/>
  <c r="P96" i="204"/>
  <c r="O96" i="204"/>
  <c r="P95" i="204"/>
  <c r="O95" i="204"/>
  <c r="P94" i="204"/>
  <c r="O94" i="204"/>
  <c r="P93" i="204"/>
  <c r="O93" i="204"/>
  <c r="P92" i="204"/>
  <c r="O92" i="204"/>
  <c r="P91" i="204"/>
  <c r="O91" i="204"/>
  <c r="P90" i="204"/>
  <c r="O90" i="204"/>
  <c r="P89" i="204"/>
  <c r="O89" i="204"/>
  <c r="P88" i="204"/>
  <c r="O88" i="204"/>
  <c r="P87" i="204"/>
  <c r="O87" i="204"/>
  <c r="P86" i="204"/>
  <c r="O86" i="204"/>
  <c r="P85" i="204"/>
  <c r="O85" i="204"/>
  <c r="P84" i="204"/>
  <c r="O84" i="204"/>
  <c r="P83" i="204"/>
  <c r="O83" i="204"/>
  <c r="P82" i="204"/>
  <c r="O82" i="204"/>
  <c r="P81" i="204"/>
  <c r="O81" i="204"/>
  <c r="P80" i="204"/>
  <c r="O80" i="204"/>
  <c r="P79" i="204"/>
  <c r="O79" i="204"/>
  <c r="P78" i="204"/>
  <c r="O78" i="204"/>
  <c r="P77" i="204"/>
  <c r="O77" i="204"/>
  <c r="P76" i="204"/>
  <c r="O76" i="204"/>
  <c r="P75" i="204"/>
  <c r="O75" i="204"/>
  <c r="P74" i="204"/>
  <c r="O74" i="204"/>
  <c r="P73" i="204"/>
  <c r="O73" i="204"/>
  <c r="P72" i="204"/>
  <c r="O72" i="204"/>
  <c r="P71" i="204"/>
  <c r="O71" i="204"/>
  <c r="P70" i="204"/>
  <c r="O70" i="204"/>
  <c r="P69" i="204"/>
  <c r="O69" i="204"/>
  <c r="P68" i="204"/>
  <c r="O68" i="204"/>
  <c r="P67" i="204"/>
  <c r="O67" i="204"/>
  <c r="P66" i="204"/>
  <c r="O66" i="204"/>
  <c r="P65" i="204"/>
  <c r="O65" i="204"/>
  <c r="P64" i="204"/>
  <c r="O64" i="204"/>
  <c r="P63" i="204"/>
  <c r="O63" i="204"/>
  <c r="P62" i="204"/>
  <c r="O62" i="204"/>
  <c r="P61" i="204"/>
  <c r="O61" i="204"/>
  <c r="P60" i="204"/>
  <c r="O60" i="204"/>
  <c r="P59" i="204"/>
  <c r="O59" i="204"/>
  <c r="P58" i="204"/>
  <c r="O58" i="204"/>
  <c r="P57" i="204"/>
  <c r="O57" i="204"/>
  <c r="P56" i="204"/>
  <c r="O56" i="204"/>
  <c r="P55" i="204"/>
  <c r="O55" i="204"/>
  <c r="P54" i="204"/>
  <c r="O54" i="204"/>
  <c r="P53" i="204"/>
  <c r="O53" i="204"/>
  <c r="P52" i="204"/>
  <c r="O52" i="204"/>
  <c r="P51" i="204"/>
  <c r="O51" i="204"/>
  <c r="P50" i="204"/>
  <c r="O50" i="204"/>
  <c r="P49" i="204"/>
  <c r="O49" i="204"/>
  <c r="P48" i="204"/>
  <c r="O48" i="204"/>
  <c r="P47" i="204"/>
  <c r="O47" i="204"/>
  <c r="P46" i="204"/>
  <c r="O46" i="204"/>
  <c r="P45" i="204"/>
  <c r="O45" i="204"/>
  <c r="P44" i="204"/>
  <c r="O44" i="204"/>
  <c r="P43" i="204"/>
  <c r="O43" i="204"/>
  <c r="P42" i="204"/>
  <c r="O42" i="204"/>
  <c r="P41" i="204"/>
  <c r="O41" i="204"/>
  <c r="P40" i="204"/>
  <c r="O40" i="204"/>
  <c r="P39" i="204"/>
  <c r="O39" i="204"/>
  <c r="P38" i="204"/>
  <c r="O38" i="204"/>
  <c r="P37" i="204"/>
  <c r="O37" i="204"/>
  <c r="P36" i="204"/>
  <c r="O36" i="204"/>
  <c r="P35" i="204"/>
  <c r="O35" i="204"/>
  <c r="P34" i="204"/>
  <c r="O34" i="204"/>
  <c r="P33" i="204"/>
  <c r="O33" i="204"/>
  <c r="P32" i="204"/>
  <c r="O32" i="204"/>
  <c r="P31" i="204"/>
  <c r="O31" i="204"/>
  <c r="P30" i="204"/>
  <c r="O30" i="204"/>
  <c r="P29" i="204"/>
  <c r="O29" i="204"/>
  <c r="P28" i="204"/>
  <c r="O28" i="204"/>
  <c r="P27" i="204"/>
  <c r="O27" i="204"/>
  <c r="P26" i="204"/>
  <c r="O26" i="204"/>
  <c r="P25" i="204"/>
  <c r="O25" i="204"/>
  <c r="P24" i="204"/>
  <c r="O24" i="204"/>
  <c r="P23" i="204"/>
  <c r="O23" i="204"/>
  <c r="P22" i="204"/>
  <c r="O22" i="204"/>
  <c r="P21" i="204"/>
  <c r="O21" i="204"/>
  <c r="P20" i="204"/>
  <c r="O20" i="204"/>
  <c r="P19" i="204"/>
  <c r="O19" i="204"/>
  <c r="P18" i="204"/>
  <c r="O18" i="204"/>
  <c r="P17" i="204"/>
  <c r="O17" i="204"/>
  <c r="P16" i="204"/>
  <c r="O16" i="204"/>
  <c r="P15" i="204"/>
  <c r="O15" i="204"/>
  <c r="P14" i="204"/>
  <c r="O14" i="204"/>
  <c r="P13" i="204"/>
  <c r="O13" i="204"/>
  <c r="P12" i="204"/>
  <c r="O12" i="204"/>
  <c r="P11" i="204"/>
  <c r="O11" i="204"/>
  <c r="P10" i="204"/>
  <c r="O10" i="204"/>
  <c r="P9" i="204"/>
  <c r="O9" i="204"/>
  <c r="P8" i="204"/>
  <c r="O8" i="204"/>
  <c r="P7" i="204"/>
  <c r="O7" i="204"/>
  <c r="P6" i="204"/>
  <c r="O6" i="204"/>
  <c r="P204" i="206"/>
  <c r="O204" i="206"/>
  <c r="P203" i="206"/>
  <c r="O203" i="206"/>
  <c r="P202" i="206"/>
  <c r="O202" i="206"/>
  <c r="P201" i="206"/>
  <c r="O201" i="206"/>
  <c r="P200" i="206"/>
  <c r="O200" i="206"/>
  <c r="P199" i="206"/>
  <c r="O199" i="206"/>
  <c r="P198" i="206"/>
  <c r="O198" i="206"/>
  <c r="P197" i="206"/>
  <c r="O197" i="206"/>
  <c r="P196" i="206"/>
  <c r="O196" i="206"/>
  <c r="P195" i="206"/>
  <c r="O195" i="206"/>
  <c r="P194" i="206"/>
  <c r="O194" i="206"/>
  <c r="P193" i="206"/>
  <c r="O193" i="206"/>
  <c r="P192" i="206"/>
  <c r="O192" i="206"/>
  <c r="P191" i="206"/>
  <c r="O191" i="206"/>
  <c r="P190" i="206"/>
  <c r="O190" i="206"/>
  <c r="P189" i="206"/>
  <c r="O189" i="206"/>
  <c r="P188" i="206"/>
  <c r="O188" i="206"/>
  <c r="P187" i="206"/>
  <c r="O187" i="206"/>
  <c r="P186" i="206"/>
  <c r="O186" i="206"/>
  <c r="P185" i="206"/>
  <c r="O185" i="206"/>
  <c r="P184" i="206"/>
  <c r="O184" i="206"/>
  <c r="P183" i="206"/>
  <c r="O183" i="206"/>
  <c r="P182" i="206"/>
  <c r="O182" i="206"/>
  <c r="P181" i="206"/>
  <c r="O181" i="206"/>
  <c r="P180" i="206"/>
  <c r="O180" i="206"/>
  <c r="P179" i="206"/>
  <c r="O179" i="206"/>
  <c r="P178" i="206"/>
  <c r="O178" i="206"/>
  <c r="P177" i="206"/>
  <c r="O177" i="206"/>
  <c r="P176" i="206"/>
  <c r="O176" i="206"/>
  <c r="P175" i="206"/>
  <c r="O175" i="206"/>
  <c r="P174" i="206"/>
  <c r="O174" i="206"/>
  <c r="P173" i="206"/>
  <c r="O173" i="206"/>
  <c r="P172" i="206"/>
  <c r="O172" i="206"/>
  <c r="P171" i="206"/>
  <c r="O171" i="206"/>
  <c r="P170" i="206"/>
  <c r="O170" i="206"/>
  <c r="P169" i="206"/>
  <c r="O169" i="206"/>
  <c r="P168" i="206"/>
  <c r="O168" i="206"/>
  <c r="P167" i="206"/>
  <c r="O167" i="206"/>
  <c r="P166" i="206"/>
  <c r="O166" i="206"/>
  <c r="P165" i="206"/>
  <c r="O165" i="206"/>
  <c r="P164" i="206"/>
  <c r="O164" i="206"/>
  <c r="P163" i="206"/>
  <c r="O163" i="206"/>
  <c r="P162" i="206"/>
  <c r="O162" i="206"/>
  <c r="P161" i="206"/>
  <c r="O161" i="206"/>
  <c r="P160" i="206"/>
  <c r="O160" i="206"/>
  <c r="P159" i="206"/>
  <c r="O159" i="206"/>
  <c r="P158" i="206"/>
  <c r="O158" i="206"/>
  <c r="P157" i="206"/>
  <c r="O157" i="206"/>
  <c r="P156" i="206"/>
  <c r="O156" i="206"/>
  <c r="P155" i="206"/>
  <c r="O155" i="206"/>
  <c r="P154" i="206"/>
  <c r="O154" i="206"/>
  <c r="P153" i="206"/>
  <c r="O153" i="206"/>
  <c r="P152" i="206"/>
  <c r="O152" i="206"/>
  <c r="P151" i="206"/>
  <c r="O151" i="206"/>
  <c r="P150" i="206"/>
  <c r="O150" i="206"/>
  <c r="P149" i="206"/>
  <c r="O149" i="206"/>
  <c r="P148" i="206"/>
  <c r="O148" i="206"/>
  <c r="P147" i="206"/>
  <c r="O147" i="206"/>
  <c r="P146" i="206"/>
  <c r="O146" i="206"/>
  <c r="P145" i="206"/>
  <c r="O145" i="206"/>
  <c r="P144" i="206"/>
  <c r="O144" i="206"/>
  <c r="P143" i="206"/>
  <c r="O143" i="206"/>
  <c r="P142" i="206"/>
  <c r="O142" i="206"/>
  <c r="P141" i="206"/>
  <c r="O141" i="206"/>
  <c r="P140" i="206"/>
  <c r="O140" i="206"/>
  <c r="P139" i="206"/>
  <c r="O139" i="206"/>
  <c r="P138" i="206"/>
  <c r="O138" i="206"/>
  <c r="P137" i="206"/>
  <c r="O137" i="206"/>
  <c r="P136" i="206"/>
  <c r="O136" i="206"/>
  <c r="P135" i="206"/>
  <c r="O135" i="206"/>
  <c r="P134" i="206"/>
  <c r="O134" i="206"/>
  <c r="P133" i="206"/>
  <c r="O133" i="206"/>
  <c r="P132" i="206"/>
  <c r="O132" i="206"/>
  <c r="P131" i="206"/>
  <c r="O131" i="206"/>
  <c r="P130" i="206"/>
  <c r="O130" i="206"/>
  <c r="P129" i="206"/>
  <c r="O129" i="206"/>
  <c r="P128" i="206"/>
  <c r="O128" i="206"/>
  <c r="P127" i="206"/>
  <c r="O127" i="206"/>
  <c r="P126" i="206"/>
  <c r="O126" i="206"/>
  <c r="P125" i="206"/>
  <c r="O125" i="206"/>
  <c r="P124" i="206"/>
  <c r="O124" i="206"/>
  <c r="P123" i="206"/>
  <c r="O123" i="206"/>
  <c r="P122" i="206"/>
  <c r="O122" i="206"/>
  <c r="P121" i="206"/>
  <c r="O121" i="206"/>
  <c r="P120" i="206"/>
  <c r="O120" i="206"/>
  <c r="P119" i="206"/>
  <c r="O119" i="206"/>
  <c r="P118" i="206"/>
  <c r="O118" i="206"/>
  <c r="P117" i="206"/>
  <c r="O117" i="206"/>
  <c r="P116" i="206"/>
  <c r="O116" i="206"/>
  <c r="P115" i="206"/>
  <c r="O115" i="206"/>
  <c r="P114" i="206"/>
  <c r="O114" i="206"/>
  <c r="P113" i="206"/>
  <c r="O113" i="206"/>
  <c r="P112" i="206"/>
  <c r="O112" i="206"/>
  <c r="P111" i="206"/>
  <c r="O111" i="206"/>
  <c r="P110" i="206"/>
  <c r="O110" i="206"/>
  <c r="P109" i="206"/>
  <c r="O109" i="206"/>
  <c r="P108" i="206"/>
  <c r="O108" i="206"/>
  <c r="P107" i="206"/>
  <c r="O107" i="206"/>
  <c r="P106" i="206"/>
  <c r="O106" i="206"/>
  <c r="P105" i="206"/>
  <c r="O105" i="206"/>
  <c r="P104" i="206"/>
  <c r="O104" i="206"/>
  <c r="P103" i="206"/>
  <c r="O103" i="206"/>
  <c r="P102" i="206"/>
  <c r="O102" i="206"/>
  <c r="P101" i="206"/>
  <c r="O101" i="206"/>
  <c r="P100" i="206"/>
  <c r="O100" i="206"/>
  <c r="P99" i="206"/>
  <c r="O99" i="206"/>
  <c r="P98" i="206"/>
  <c r="O98" i="206"/>
  <c r="P97" i="206"/>
  <c r="O97" i="206"/>
  <c r="P96" i="206"/>
  <c r="O96" i="206"/>
  <c r="P95" i="206"/>
  <c r="O95" i="206"/>
  <c r="P94" i="206"/>
  <c r="O94" i="206"/>
  <c r="P93" i="206"/>
  <c r="O93" i="206"/>
  <c r="P92" i="206"/>
  <c r="O92" i="206"/>
  <c r="P91" i="206"/>
  <c r="O91" i="206"/>
  <c r="P90" i="206"/>
  <c r="O90" i="206"/>
  <c r="P89" i="206"/>
  <c r="O89" i="206"/>
  <c r="P88" i="206"/>
  <c r="O88" i="206"/>
  <c r="P87" i="206"/>
  <c r="O87" i="206"/>
  <c r="P86" i="206"/>
  <c r="O86" i="206"/>
  <c r="P85" i="206"/>
  <c r="O85" i="206"/>
  <c r="P84" i="206"/>
  <c r="O84" i="206"/>
  <c r="P83" i="206"/>
  <c r="O83" i="206"/>
  <c r="P82" i="206"/>
  <c r="O82" i="206"/>
  <c r="P81" i="206"/>
  <c r="O81" i="206"/>
  <c r="P80" i="206"/>
  <c r="O80" i="206"/>
  <c r="P79" i="206"/>
  <c r="O79" i="206"/>
  <c r="P78" i="206"/>
  <c r="O78" i="206"/>
  <c r="P77" i="206"/>
  <c r="O77" i="206"/>
  <c r="P76" i="206"/>
  <c r="O76" i="206"/>
  <c r="P75" i="206"/>
  <c r="O75" i="206"/>
  <c r="P74" i="206"/>
  <c r="O74" i="206"/>
  <c r="P73" i="206"/>
  <c r="O73" i="206"/>
  <c r="P72" i="206"/>
  <c r="O72" i="206"/>
  <c r="P71" i="206"/>
  <c r="O71" i="206"/>
  <c r="P70" i="206"/>
  <c r="O70" i="206"/>
  <c r="P69" i="206"/>
  <c r="O69" i="206"/>
  <c r="P68" i="206"/>
  <c r="O68" i="206"/>
  <c r="P67" i="206"/>
  <c r="O67" i="206"/>
  <c r="P66" i="206"/>
  <c r="O66" i="206"/>
  <c r="P65" i="206"/>
  <c r="O65" i="206"/>
  <c r="P64" i="206"/>
  <c r="O64" i="206"/>
  <c r="P63" i="206"/>
  <c r="O63" i="206"/>
  <c r="P62" i="206"/>
  <c r="O62" i="206"/>
  <c r="P61" i="206"/>
  <c r="O61" i="206"/>
  <c r="P60" i="206"/>
  <c r="O60" i="206"/>
  <c r="P59" i="206"/>
  <c r="O59" i="206"/>
  <c r="P58" i="206"/>
  <c r="O58" i="206"/>
  <c r="P57" i="206"/>
  <c r="O57" i="206"/>
  <c r="P56" i="206"/>
  <c r="O56" i="206"/>
  <c r="P55" i="206"/>
  <c r="O55" i="206"/>
  <c r="P54" i="206"/>
  <c r="O54" i="206"/>
  <c r="P53" i="206"/>
  <c r="O53" i="206"/>
  <c r="P52" i="206"/>
  <c r="O52" i="206"/>
  <c r="P51" i="206"/>
  <c r="O51" i="206"/>
  <c r="P50" i="206"/>
  <c r="O50" i="206"/>
  <c r="P49" i="206"/>
  <c r="O49" i="206"/>
  <c r="P48" i="206"/>
  <c r="O48" i="206"/>
  <c r="P47" i="206"/>
  <c r="O47" i="206"/>
  <c r="P46" i="206"/>
  <c r="O46" i="206"/>
  <c r="P45" i="206"/>
  <c r="O45" i="206"/>
  <c r="P44" i="206"/>
  <c r="O44" i="206"/>
  <c r="P43" i="206"/>
  <c r="O43" i="206"/>
  <c r="P42" i="206"/>
  <c r="O42" i="206"/>
  <c r="P41" i="206"/>
  <c r="O41" i="206"/>
  <c r="P40" i="206"/>
  <c r="O40" i="206"/>
  <c r="P39" i="206"/>
  <c r="O39" i="206"/>
  <c r="P38" i="206"/>
  <c r="O38" i="206"/>
  <c r="P37" i="206"/>
  <c r="O37" i="206"/>
  <c r="P36" i="206"/>
  <c r="O36" i="206"/>
  <c r="P35" i="206"/>
  <c r="O35" i="206"/>
  <c r="P34" i="206"/>
  <c r="O34" i="206"/>
  <c r="P33" i="206"/>
  <c r="O33" i="206"/>
  <c r="P32" i="206"/>
  <c r="O32" i="206"/>
  <c r="P31" i="206"/>
  <c r="O31" i="206"/>
  <c r="P30" i="206"/>
  <c r="O30" i="206"/>
  <c r="P29" i="206"/>
  <c r="O29" i="206"/>
  <c r="P28" i="206"/>
  <c r="O28" i="206"/>
  <c r="P27" i="206"/>
  <c r="O27" i="206"/>
  <c r="P26" i="206"/>
  <c r="O26" i="206"/>
  <c r="P25" i="206"/>
  <c r="O25" i="206"/>
  <c r="P24" i="206"/>
  <c r="O24" i="206"/>
  <c r="P23" i="206"/>
  <c r="O23" i="206"/>
  <c r="P22" i="206"/>
  <c r="O22" i="206"/>
  <c r="P21" i="206"/>
  <c r="O21" i="206"/>
  <c r="P20" i="206"/>
  <c r="O20" i="206"/>
  <c r="P19" i="206"/>
  <c r="O19" i="206"/>
  <c r="P18" i="206"/>
  <c r="O18" i="206"/>
  <c r="P17" i="206"/>
  <c r="O17" i="206"/>
  <c r="P16" i="206"/>
  <c r="O16" i="206"/>
  <c r="P15" i="206"/>
  <c r="O15" i="206"/>
  <c r="P14" i="206"/>
  <c r="O14" i="206"/>
  <c r="P13" i="206"/>
  <c r="O13" i="206"/>
  <c r="P12" i="206"/>
  <c r="O12" i="206"/>
  <c r="P11" i="206"/>
  <c r="O11" i="206"/>
  <c r="P10" i="206"/>
  <c r="O10" i="206"/>
  <c r="P9" i="206"/>
  <c r="O9" i="206"/>
  <c r="P8" i="206"/>
  <c r="O8" i="206"/>
  <c r="P7" i="206"/>
  <c r="O7" i="206"/>
  <c r="P6" i="206"/>
  <c r="O6" i="206"/>
  <c r="P204" i="207"/>
  <c r="O204" i="207"/>
  <c r="P203" i="207"/>
  <c r="O203" i="207"/>
  <c r="P202" i="207"/>
  <c r="O202" i="207"/>
  <c r="P201" i="207"/>
  <c r="O201" i="207"/>
  <c r="P200" i="207"/>
  <c r="O200" i="207"/>
  <c r="P199" i="207"/>
  <c r="O199" i="207"/>
  <c r="P198" i="207"/>
  <c r="O198" i="207"/>
  <c r="P197" i="207"/>
  <c r="O197" i="207"/>
  <c r="P196" i="207"/>
  <c r="O196" i="207"/>
  <c r="P195" i="207"/>
  <c r="O195" i="207"/>
  <c r="P194" i="207"/>
  <c r="O194" i="207"/>
  <c r="P193" i="207"/>
  <c r="O193" i="207"/>
  <c r="P192" i="207"/>
  <c r="O192" i="207"/>
  <c r="P191" i="207"/>
  <c r="O191" i="207"/>
  <c r="P190" i="207"/>
  <c r="O190" i="207"/>
  <c r="P189" i="207"/>
  <c r="O189" i="207"/>
  <c r="P188" i="207"/>
  <c r="O188" i="207"/>
  <c r="P187" i="207"/>
  <c r="O187" i="207"/>
  <c r="P186" i="207"/>
  <c r="O186" i="207"/>
  <c r="P185" i="207"/>
  <c r="O185" i="207"/>
  <c r="P184" i="207"/>
  <c r="O184" i="207"/>
  <c r="P183" i="207"/>
  <c r="O183" i="207"/>
  <c r="P182" i="207"/>
  <c r="O182" i="207"/>
  <c r="P181" i="207"/>
  <c r="O181" i="207"/>
  <c r="P180" i="207"/>
  <c r="O180" i="207"/>
  <c r="P179" i="207"/>
  <c r="O179" i="207"/>
  <c r="P178" i="207"/>
  <c r="O178" i="207"/>
  <c r="P177" i="207"/>
  <c r="O177" i="207"/>
  <c r="P176" i="207"/>
  <c r="O176" i="207"/>
  <c r="P175" i="207"/>
  <c r="O175" i="207"/>
  <c r="P174" i="207"/>
  <c r="O174" i="207"/>
  <c r="P173" i="207"/>
  <c r="O173" i="207"/>
  <c r="P172" i="207"/>
  <c r="O172" i="207"/>
  <c r="P171" i="207"/>
  <c r="O171" i="207"/>
  <c r="P170" i="207"/>
  <c r="O170" i="207"/>
  <c r="P169" i="207"/>
  <c r="O169" i="207"/>
  <c r="P168" i="207"/>
  <c r="O168" i="207"/>
  <c r="P167" i="207"/>
  <c r="O167" i="207"/>
  <c r="P166" i="207"/>
  <c r="O166" i="207"/>
  <c r="P165" i="207"/>
  <c r="O165" i="207"/>
  <c r="P164" i="207"/>
  <c r="O164" i="207"/>
  <c r="P163" i="207"/>
  <c r="O163" i="207"/>
  <c r="P162" i="207"/>
  <c r="O162" i="207"/>
  <c r="P161" i="207"/>
  <c r="O161" i="207"/>
  <c r="P160" i="207"/>
  <c r="O160" i="207"/>
  <c r="P159" i="207"/>
  <c r="O159" i="207"/>
  <c r="P158" i="207"/>
  <c r="O158" i="207"/>
  <c r="P157" i="207"/>
  <c r="O157" i="207"/>
  <c r="P156" i="207"/>
  <c r="O156" i="207"/>
  <c r="P155" i="207"/>
  <c r="O155" i="207"/>
  <c r="P154" i="207"/>
  <c r="O154" i="207"/>
  <c r="P153" i="207"/>
  <c r="O153" i="207"/>
  <c r="P152" i="207"/>
  <c r="O152" i="207"/>
  <c r="P151" i="207"/>
  <c r="O151" i="207"/>
  <c r="P150" i="207"/>
  <c r="O150" i="207"/>
  <c r="P149" i="207"/>
  <c r="O149" i="207"/>
  <c r="P148" i="207"/>
  <c r="O148" i="207"/>
  <c r="P147" i="207"/>
  <c r="O147" i="207"/>
  <c r="P146" i="207"/>
  <c r="O146" i="207"/>
  <c r="P145" i="207"/>
  <c r="O145" i="207"/>
  <c r="P144" i="207"/>
  <c r="O144" i="207"/>
  <c r="P143" i="207"/>
  <c r="O143" i="207"/>
  <c r="P142" i="207"/>
  <c r="O142" i="207"/>
  <c r="P141" i="207"/>
  <c r="O141" i="207"/>
  <c r="P140" i="207"/>
  <c r="O140" i="207"/>
  <c r="P139" i="207"/>
  <c r="O139" i="207"/>
  <c r="P138" i="207"/>
  <c r="O138" i="207"/>
  <c r="P137" i="207"/>
  <c r="O137" i="207"/>
  <c r="P136" i="207"/>
  <c r="O136" i="207"/>
  <c r="P135" i="207"/>
  <c r="O135" i="207"/>
  <c r="P134" i="207"/>
  <c r="O134" i="207"/>
  <c r="P133" i="207"/>
  <c r="O133" i="207"/>
  <c r="P132" i="207"/>
  <c r="O132" i="207"/>
  <c r="P131" i="207"/>
  <c r="O131" i="207"/>
  <c r="P130" i="207"/>
  <c r="O130" i="207"/>
  <c r="P129" i="207"/>
  <c r="O129" i="207"/>
  <c r="P128" i="207"/>
  <c r="O128" i="207"/>
  <c r="P127" i="207"/>
  <c r="O127" i="207"/>
  <c r="P126" i="207"/>
  <c r="O126" i="207"/>
  <c r="P125" i="207"/>
  <c r="O125" i="207"/>
  <c r="P124" i="207"/>
  <c r="O124" i="207"/>
  <c r="P123" i="207"/>
  <c r="O123" i="207"/>
  <c r="P122" i="207"/>
  <c r="O122" i="207"/>
  <c r="P121" i="207"/>
  <c r="O121" i="207"/>
  <c r="P120" i="207"/>
  <c r="O120" i="207"/>
  <c r="P119" i="207"/>
  <c r="O119" i="207"/>
  <c r="P118" i="207"/>
  <c r="O118" i="207"/>
  <c r="P117" i="207"/>
  <c r="O117" i="207"/>
  <c r="P116" i="207"/>
  <c r="O116" i="207"/>
  <c r="P115" i="207"/>
  <c r="O115" i="207"/>
  <c r="P114" i="207"/>
  <c r="O114" i="207"/>
  <c r="P113" i="207"/>
  <c r="O113" i="207"/>
  <c r="P112" i="207"/>
  <c r="O112" i="207"/>
  <c r="P111" i="207"/>
  <c r="O111" i="207"/>
  <c r="P110" i="207"/>
  <c r="O110" i="207"/>
  <c r="P109" i="207"/>
  <c r="O109" i="207"/>
  <c r="P108" i="207"/>
  <c r="O108" i="207"/>
  <c r="P107" i="207"/>
  <c r="O107" i="207"/>
  <c r="P106" i="207"/>
  <c r="O106" i="207"/>
  <c r="P105" i="207"/>
  <c r="O105" i="207"/>
  <c r="P104" i="207"/>
  <c r="O104" i="207"/>
  <c r="P103" i="207"/>
  <c r="O103" i="207"/>
  <c r="P102" i="207"/>
  <c r="O102" i="207"/>
  <c r="P101" i="207"/>
  <c r="O101" i="207"/>
  <c r="P100" i="207"/>
  <c r="O100" i="207"/>
  <c r="P99" i="207"/>
  <c r="O99" i="207"/>
  <c r="P98" i="207"/>
  <c r="O98" i="207"/>
  <c r="P97" i="207"/>
  <c r="O97" i="207"/>
  <c r="P96" i="207"/>
  <c r="O96" i="207"/>
  <c r="P95" i="207"/>
  <c r="O95" i="207"/>
  <c r="P94" i="207"/>
  <c r="O94" i="207"/>
  <c r="P93" i="207"/>
  <c r="O93" i="207"/>
  <c r="P92" i="207"/>
  <c r="O92" i="207"/>
  <c r="P91" i="207"/>
  <c r="O91" i="207"/>
  <c r="P90" i="207"/>
  <c r="O90" i="207"/>
  <c r="P89" i="207"/>
  <c r="O89" i="207"/>
  <c r="P88" i="207"/>
  <c r="O88" i="207"/>
  <c r="P87" i="207"/>
  <c r="O87" i="207"/>
  <c r="P86" i="207"/>
  <c r="O86" i="207"/>
  <c r="P85" i="207"/>
  <c r="O85" i="207"/>
  <c r="P84" i="207"/>
  <c r="O84" i="207"/>
  <c r="P83" i="207"/>
  <c r="O83" i="207"/>
  <c r="P82" i="207"/>
  <c r="O82" i="207"/>
  <c r="P81" i="207"/>
  <c r="O81" i="207"/>
  <c r="P80" i="207"/>
  <c r="O80" i="207"/>
  <c r="P79" i="207"/>
  <c r="O79" i="207"/>
  <c r="P78" i="207"/>
  <c r="O78" i="207"/>
  <c r="P77" i="207"/>
  <c r="O77" i="207"/>
  <c r="P76" i="207"/>
  <c r="O76" i="207"/>
  <c r="P75" i="207"/>
  <c r="O75" i="207"/>
  <c r="P74" i="207"/>
  <c r="O74" i="207"/>
  <c r="P73" i="207"/>
  <c r="O73" i="207"/>
  <c r="P72" i="207"/>
  <c r="O72" i="207"/>
  <c r="P71" i="207"/>
  <c r="O71" i="207"/>
  <c r="P70" i="207"/>
  <c r="O70" i="207"/>
  <c r="P69" i="207"/>
  <c r="O69" i="207"/>
  <c r="P68" i="207"/>
  <c r="O68" i="207"/>
  <c r="P67" i="207"/>
  <c r="O67" i="207"/>
  <c r="P66" i="207"/>
  <c r="O66" i="207"/>
  <c r="P65" i="207"/>
  <c r="O65" i="207"/>
  <c r="P64" i="207"/>
  <c r="O64" i="207"/>
  <c r="P63" i="207"/>
  <c r="O63" i="207"/>
  <c r="P62" i="207"/>
  <c r="O62" i="207"/>
  <c r="P61" i="207"/>
  <c r="O61" i="207"/>
  <c r="P60" i="207"/>
  <c r="O60" i="207"/>
  <c r="P59" i="207"/>
  <c r="O59" i="207"/>
  <c r="P58" i="207"/>
  <c r="O58" i="207"/>
  <c r="P57" i="207"/>
  <c r="O57" i="207"/>
  <c r="P56" i="207"/>
  <c r="O56" i="207"/>
  <c r="P55" i="207"/>
  <c r="O55" i="207"/>
  <c r="P54" i="207"/>
  <c r="O54" i="207"/>
  <c r="P53" i="207"/>
  <c r="O53" i="207"/>
  <c r="P52" i="207"/>
  <c r="O52" i="207"/>
  <c r="P51" i="207"/>
  <c r="O51" i="207"/>
  <c r="P50" i="207"/>
  <c r="O50" i="207"/>
  <c r="P49" i="207"/>
  <c r="O49" i="207"/>
  <c r="P48" i="207"/>
  <c r="O48" i="207"/>
  <c r="P47" i="207"/>
  <c r="O47" i="207"/>
  <c r="P46" i="207"/>
  <c r="O46" i="207"/>
  <c r="P45" i="207"/>
  <c r="O45" i="207"/>
  <c r="P44" i="207"/>
  <c r="O44" i="207"/>
  <c r="P43" i="207"/>
  <c r="O43" i="207"/>
  <c r="P42" i="207"/>
  <c r="O42" i="207"/>
  <c r="P41" i="207"/>
  <c r="O41" i="207"/>
  <c r="P40" i="207"/>
  <c r="O40" i="207"/>
  <c r="P39" i="207"/>
  <c r="O39" i="207"/>
  <c r="P38" i="207"/>
  <c r="O38" i="207"/>
  <c r="P37" i="207"/>
  <c r="O37" i="207"/>
  <c r="P36" i="207"/>
  <c r="O36" i="207"/>
  <c r="P35" i="207"/>
  <c r="O35" i="207"/>
  <c r="P34" i="207"/>
  <c r="O34" i="207"/>
  <c r="P33" i="207"/>
  <c r="O33" i="207"/>
  <c r="P32" i="207"/>
  <c r="O32" i="207"/>
  <c r="P31" i="207"/>
  <c r="O31" i="207"/>
  <c r="P30" i="207"/>
  <c r="O30" i="207"/>
  <c r="P29" i="207"/>
  <c r="O29" i="207"/>
  <c r="P28" i="207"/>
  <c r="O28" i="207"/>
  <c r="P27" i="207"/>
  <c r="O27" i="207"/>
  <c r="P26" i="207"/>
  <c r="O26" i="207"/>
  <c r="P25" i="207"/>
  <c r="O25" i="207"/>
  <c r="P24" i="207"/>
  <c r="O24" i="207"/>
  <c r="P23" i="207"/>
  <c r="O23" i="207"/>
  <c r="P22" i="207"/>
  <c r="O22" i="207"/>
  <c r="P21" i="207"/>
  <c r="O21" i="207"/>
  <c r="P20" i="207"/>
  <c r="O20" i="207"/>
  <c r="P19" i="207"/>
  <c r="O19" i="207"/>
  <c r="P18" i="207"/>
  <c r="O18" i="207"/>
  <c r="P17" i="207"/>
  <c r="O17" i="207"/>
  <c r="P16" i="207"/>
  <c r="O16" i="207"/>
  <c r="P15" i="207"/>
  <c r="O15" i="207"/>
  <c r="P14" i="207"/>
  <c r="O14" i="207"/>
  <c r="P13" i="207"/>
  <c r="O13" i="207"/>
  <c r="P12" i="207"/>
  <c r="O12" i="207"/>
  <c r="P11" i="207"/>
  <c r="O11" i="207"/>
  <c r="P10" i="207"/>
  <c r="O10" i="207"/>
  <c r="P9" i="207"/>
  <c r="O9" i="207"/>
  <c r="P8" i="207"/>
  <c r="O8" i="207"/>
  <c r="P7" i="207"/>
  <c r="O7" i="207"/>
  <c r="P6" i="207"/>
  <c r="O6" i="207"/>
  <c r="P204" i="208"/>
  <c r="O204" i="208"/>
  <c r="P203" i="208"/>
  <c r="O203" i="208"/>
  <c r="P202" i="208"/>
  <c r="O202" i="208"/>
  <c r="P201" i="208"/>
  <c r="O201" i="208"/>
  <c r="P200" i="208"/>
  <c r="O200" i="208"/>
  <c r="P199" i="208"/>
  <c r="O199" i="208"/>
  <c r="P198" i="208"/>
  <c r="O198" i="208"/>
  <c r="P197" i="208"/>
  <c r="O197" i="208"/>
  <c r="P196" i="208"/>
  <c r="O196" i="208"/>
  <c r="P195" i="208"/>
  <c r="O195" i="208"/>
  <c r="P194" i="208"/>
  <c r="O194" i="208"/>
  <c r="P193" i="208"/>
  <c r="O193" i="208"/>
  <c r="P192" i="208"/>
  <c r="O192" i="208"/>
  <c r="P191" i="208"/>
  <c r="O191" i="208"/>
  <c r="P190" i="208"/>
  <c r="O190" i="208"/>
  <c r="P189" i="208"/>
  <c r="O189" i="208"/>
  <c r="P188" i="208"/>
  <c r="O188" i="208"/>
  <c r="P187" i="208"/>
  <c r="O187" i="208"/>
  <c r="P186" i="208"/>
  <c r="O186" i="208"/>
  <c r="P185" i="208"/>
  <c r="O185" i="208"/>
  <c r="P184" i="208"/>
  <c r="O184" i="208"/>
  <c r="P183" i="208"/>
  <c r="O183" i="208"/>
  <c r="P182" i="208"/>
  <c r="O182" i="208"/>
  <c r="P181" i="208"/>
  <c r="O181" i="208"/>
  <c r="P180" i="208"/>
  <c r="O180" i="208"/>
  <c r="P179" i="208"/>
  <c r="O179" i="208"/>
  <c r="P178" i="208"/>
  <c r="O178" i="208"/>
  <c r="P177" i="208"/>
  <c r="O177" i="208"/>
  <c r="P176" i="208"/>
  <c r="O176" i="208"/>
  <c r="P175" i="208"/>
  <c r="O175" i="208"/>
  <c r="P174" i="208"/>
  <c r="O174" i="208"/>
  <c r="P173" i="208"/>
  <c r="O173" i="208"/>
  <c r="P172" i="208"/>
  <c r="O172" i="208"/>
  <c r="P171" i="208"/>
  <c r="O171" i="208"/>
  <c r="P170" i="208"/>
  <c r="O170" i="208"/>
  <c r="P169" i="208"/>
  <c r="O169" i="208"/>
  <c r="P168" i="208"/>
  <c r="O168" i="208"/>
  <c r="P167" i="208"/>
  <c r="O167" i="208"/>
  <c r="P166" i="208"/>
  <c r="O166" i="208"/>
  <c r="P165" i="208"/>
  <c r="O165" i="208"/>
  <c r="P164" i="208"/>
  <c r="O164" i="208"/>
  <c r="P163" i="208"/>
  <c r="O163" i="208"/>
  <c r="P162" i="208"/>
  <c r="O162" i="208"/>
  <c r="P161" i="208"/>
  <c r="O161" i="208"/>
  <c r="P160" i="208"/>
  <c r="O160" i="208"/>
  <c r="P159" i="208"/>
  <c r="O159" i="208"/>
  <c r="P158" i="208"/>
  <c r="O158" i="208"/>
  <c r="P157" i="208"/>
  <c r="O157" i="208"/>
  <c r="P156" i="208"/>
  <c r="O156" i="208"/>
  <c r="P155" i="208"/>
  <c r="O155" i="208"/>
  <c r="P154" i="208"/>
  <c r="O154" i="208"/>
  <c r="P153" i="208"/>
  <c r="O153" i="208"/>
  <c r="P152" i="208"/>
  <c r="O152" i="208"/>
  <c r="P151" i="208"/>
  <c r="O151" i="208"/>
  <c r="P150" i="208"/>
  <c r="O150" i="208"/>
  <c r="P149" i="208"/>
  <c r="O149" i="208"/>
  <c r="P148" i="208"/>
  <c r="O148" i="208"/>
  <c r="P147" i="208"/>
  <c r="O147" i="208"/>
  <c r="P146" i="208"/>
  <c r="O146" i="208"/>
  <c r="P145" i="208"/>
  <c r="O145" i="208"/>
  <c r="P144" i="208"/>
  <c r="O144" i="208"/>
  <c r="P143" i="208"/>
  <c r="O143" i="208"/>
  <c r="P142" i="208"/>
  <c r="O142" i="208"/>
  <c r="P141" i="208"/>
  <c r="O141" i="208"/>
  <c r="P140" i="208"/>
  <c r="O140" i="208"/>
  <c r="P139" i="208"/>
  <c r="O139" i="208"/>
  <c r="P138" i="208"/>
  <c r="O138" i="208"/>
  <c r="P137" i="208"/>
  <c r="O137" i="208"/>
  <c r="P136" i="208"/>
  <c r="O136" i="208"/>
  <c r="P135" i="208"/>
  <c r="O135" i="208"/>
  <c r="P134" i="208"/>
  <c r="O134" i="208"/>
  <c r="P133" i="208"/>
  <c r="O133" i="208"/>
  <c r="P132" i="208"/>
  <c r="O132" i="208"/>
  <c r="P131" i="208"/>
  <c r="O131" i="208"/>
  <c r="P130" i="208"/>
  <c r="O130" i="208"/>
  <c r="P129" i="208"/>
  <c r="O129" i="208"/>
  <c r="P128" i="208"/>
  <c r="O128" i="208"/>
  <c r="P127" i="208"/>
  <c r="O127" i="208"/>
  <c r="P126" i="208"/>
  <c r="O126" i="208"/>
  <c r="P125" i="208"/>
  <c r="O125" i="208"/>
  <c r="P124" i="208"/>
  <c r="O124" i="208"/>
  <c r="P123" i="208"/>
  <c r="O123" i="208"/>
  <c r="P122" i="208"/>
  <c r="O122" i="208"/>
  <c r="P121" i="208"/>
  <c r="O121" i="208"/>
  <c r="P120" i="208"/>
  <c r="O120" i="208"/>
  <c r="P119" i="208"/>
  <c r="O119" i="208"/>
  <c r="P118" i="208"/>
  <c r="O118" i="208"/>
  <c r="P117" i="208"/>
  <c r="O117" i="208"/>
  <c r="P116" i="208"/>
  <c r="O116" i="208"/>
  <c r="P115" i="208"/>
  <c r="O115" i="208"/>
  <c r="P114" i="208"/>
  <c r="O114" i="208"/>
  <c r="P113" i="208"/>
  <c r="O113" i="208"/>
  <c r="P112" i="208"/>
  <c r="O112" i="208"/>
  <c r="P111" i="208"/>
  <c r="O111" i="208"/>
  <c r="P110" i="208"/>
  <c r="O110" i="208"/>
  <c r="P109" i="208"/>
  <c r="O109" i="208"/>
  <c r="P108" i="208"/>
  <c r="O108" i="208"/>
  <c r="P107" i="208"/>
  <c r="O107" i="208"/>
  <c r="P106" i="208"/>
  <c r="O106" i="208"/>
  <c r="P105" i="208"/>
  <c r="O105" i="208"/>
  <c r="P104" i="208"/>
  <c r="O104" i="208"/>
  <c r="P103" i="208"/>
  <c r="O103" i="208"/>
  <c r="P102" i="208"/>
  <c r="O102" i="208"/>
  <c r="P101" i="208"/>
  <c r="O101" i="208"/>
  <c r="P100" i="208"/>
  <c r="O100" i="208"/>
  <c r="P99" i="208"/>
  <c r="O99" i="208"/>
  <c r="P98" i="208"/>
  <c r="O98" i="208"/>
  <c r="P97" i="208"/>
  <c r="O97" i="208"/>
  <c r="P96" i="208"/>
  <c r="O96" i="208"/>
  <c r="P95" i="208"/>
  <c r="O95" i="208"/>
  <c r="P94" i="208"/>
  <c r="O94" i="208"/>
  <c r="P93" i="208"/>
  <c r="O93" i="208"/>
  <c r="P92" i="208"/>
  <c r="O92" i="208"/>
  <c r="P91" i="208"/>
  <c r="O91" i="208"/>
  <c r="P90" i="208"/>
  <c r="O90" i="208"/>
  <c r="P89" i="208"/>
  <c r="O89" i="208"/>
  <c r="P88" i="208"/>
  <c r="O88" i="208"/>
  <c r="P87" i="208"/>
  <c r="O87" i="208"/>
  <c r="P86" i="208"/>
  <c r="O86" i="208"/>
  <c r="P85" i="208"/>
  <c r="O85" i="208"/>
  <c r="P84" i="208"/>
  <c r="O84" i="208"/>
  <c r="P83" i="208"/>
  <c r="O83" i="208"/>
  <c r="P82" i="208"/>
  <c r="O82" i="208"/>
  <c r="P81" i="208"/>
  <c r="O81" i="208"/>
  <c r="P80" i="208"/>
  <c r="O80" i="208"/>
  <c r="P79" i="208"/>
  <c r="O79" i="208"/>
  <c r="P78" i="208"/>
  <c r="O78" i="208"/>
  <c r="P77" i="208"/>
  <c r="O77" i="208"/>
  <c r="P76" i="208"/>
  <c r="O76" i="208"/>
  <c r="P75" i="208"/>
  <c r="O75" i="208"/>
  <c r="P74" i="208"/>
  <c r="O74" i="208"/>
  <c r="P73" i="208"/>
  <c r="O73" i="208"/>
  <c r="P72" i="208"/>
  <c r="O72" i="208"/>
  <c r="P71" i="208"/>
  <c r="O71" i="208"/>
  <c r="P70" i="208"/>
  <c r="O70" i="208"/>
  <c r="P69" i="208"/>
  <c r="O69" i="208"/>
  <c r="P68" i="208"/>
  <c r="O68" i="208"/>
  <c r="P67" i="208"/>
  <c r="O67" i="208"/>
  <c r="P66" i="208"/>
  <c r="O66" i="208"/>
  <c r="P65" i="208"/>
  <c r="O65" i="208"/>
  <c r="P64" i="208"/>
  <c r="O64" i="208"/>
  <c r="P63" i="208"/>
  <c r="O63" i="208"/>
  <c r="P62" i="208"/>
  <c r="O62" i="208"/>
  <c r="P61" i="208"/>
  <c r="O61" i="208"/>
  <c r="P60" i="208"/>
  <c r="O60" i="208"/>
  <c r="P59" i="208"/>
  <c r="O59" i="208"/>
  <c r="P58" i="208"/>
  <c r="O58" i="208"/>
  <c r="P57" i="208"/>
  <c r="O57" i="208"/>
  <c r="P56" i="208"/>
  <c r="O56" i="208"/>
  <c r="P55" i="208"/>
  <c r="O55" i="208"/>
  <c r="P54" i="208"/>
  <c r="O54" i="208"/>
  <c r="P53" i="208"/>
  <c r="O53" i="208"/>
  <c r="P52" i="208"/>
  <c r="O52" i="208"/>
  <c r="P51" i="208"/>
  <c r="O51" i="208"/>
  <c r="P50" i="208"/>
  <c r="O50" i="208"/>
  <c r="P49" i="208"/>
  <c r="O49" i="208"/>
  <c r="P48" i="208"/>
  <c r="O48" i="208"/>
  <c r="P47" i="208"/>
  <c r="O47" i="208"/>
  <c r="P46" i="208"/>
  <c r="O46" i="208"/>
  <c r="P45" i="208"/>
  <c r="O45" i="208"/>
  <c r="P44" i="208"/>
  <c r="O44" i="208"/>
  <c r="P43" i="208"/>
  <c r="O43" i="208"/>
  <c r="P42" i="208"/>
  <c r="O42" i="208"/>
  <c r="P41" i="208"/>
  <c r="O41" i="208"/>
  <c r="P40" i="208"/>
  <c r="O40" i="208"/>
  <c r="P39" i="208"/>
  <c r="O39" i="208"/>
  <c r="P38" i="208"/>
  <c r="O38" i="208"/>
  <c r="P37" i="208"/>
  <c r="O37" i="208"/>
  <c r="P36" i="208"/>
  <c r="O36" i="208"/>
  <c r="P35" i="208"/>
  <c r="O35" i="208"/>
  <c r="P34" i="208"/>
  <c r="O34" i="208"/>
  <c r="P33" i="208"/>
  <c r="O33" i="208"/>
  <c r="P32" i="208"/>
  <c r="O32" i="208"/>
  <c r="P31" i="208"/>
  <c r="O31" i="208"/>
  <c r="P30" i="208"/>
  <c r="O30" i="208"/>
  <c r="P29" i="208"/>
  <c r="O29" i="208"/>
  <c r="P28" i="208"/>
  <c r="O28" i="208"/>
  <c r="P27" i="208"/>
  <c r="O27" i="208"/>
  <c r="P26" i="208"/>
  <c r="O26" i="208"/>
  <c r="P25" i="208"/>
  <c r="O25" i="208"/>
  <c r="P24" i="208"/>
  <c r="O24" i="208"/>
  <c r="P23" i="208"/>
  <c r="O23" i="208"/>
  <c r="P22" i="208"/>
  <c r="O22" i="208"/>
  <c r="P21" i="208"/>
  <c r="O21" i="208"/>
  <c r="P20" i="208"/>
  <c r="O20" i="208"/>
  <c r="P19" i="208"/>
  <c r="O19" i="208"/>
  <c r="P18" i="208"/>
  <c r="O18" i="208"/>
  <c r="P17" i="208"/>
  <c r="O17" i="208"/>
  <c r="P16" i="208"/>
  <c r="O16" i="208"/>
  <c r="P15" i="208"/>
  <c r="O15" i="208"/>
  <c r="P14" i="208"/>
  <c r="O14" i="208"/>
  <c r="P13" i="208"/>
  <c r="O13" i="208"/>
  <c r="P12" i="208"/>
  <c r="O12" i="208"/>
  <c r="P11" i="208"/>
  <c r="O11" i="208"/>
  <c r="P10" i="208"/>
  <c r="O10" i="208"/>
  <c r="P9" i="208"/>
  <c r="O9" i="208"/>
  <c r="P8" i="208"/>
  <c r="O8" i="208"/>
  <c r="P7" i="208"/>
  <c r="O7" i="208"/>
  <c r="P6" i="208"/>
  <c r="O6" i="208"/>
  <c r="P204" i="209"/>
  <c r="O204" i="209"/>
  <c r="P203" i="209"/>
  <c r="O203" i="209"/>
  <c r="P202" i="209"/>
  <c r="O202" i="209"/>
  <c r="P201" i="209"/>
  <c r="O201" i="209"/>
  <c r="P200" i="209"/>
  <c r="O200" i="209"/>
  <c r="P199" i="209"/>
  <c r="O199" i="209"/>
  <c r="P198" i="209"/>
  <c r="O198" i="209"/>
  <c r="P197" i="209"/>
  <c r="O197" i="209"/>
  <c r="P196" i="209"/>
  <c r="O196" i="209"/>
  <c r="P195" i="209"/>
  <c r="O195" i="209"/>
  <c r="P194" i="209"/>
  <c r="O194" i="209"/>
  <c r="P193" i="209"/>
  <c r="O193" i="209"/>
  <c r="P192" i="209"/>
  <c r="O192" i="209"/>
  <c r="P191" i="209"/>
  <c r="O191" i="209"/>
  <c r="P190" i="209"/>
  <c r="O190" i="209"/>
  <c r="P189" i="209"/>
  <c r="O189" i="209"/>
  <c r="P188" i="209"/>
  <c r="O188" i="209"/>
  <c r="P187" i="209"/>
  <c r="O187" i="209"/>
  <c r="P186" i="209"/>
  <c r="O186" i="209"/>
  <c r="P185" i="209"/>
  <c r="O185" i="209"/>
  <c r="P184" i="209"/>
  <c r="O184" i="209"/>
  <c r="P183" i="209"/>
  <c r="O183" i="209"/>
  <c r="P182" i="209"/>
  <c r="O182" i="209"/>
  <c r="P181" i="209"/>
  <c r="O181" i="209"/>
  <c r="P180" i="209"/>
  <c r="O180" i="209"/>
  <c r="P179" i="209"/>
  <c r="O179" i="209"/>
  <c r="P178" i="209"/>
  <c r="O178" i="209"/>
  <c r="P177" i="209"/>
  <c r="O177" i="209"/>
  <c r="P176" i="209"/>
  <c r="O176" i="209"/>
  <c r="P175" i="209"/>
  <c r="O175" i="209"/>
  <c r="P174" i="209"/>
  <c r="O174" i="209"/>
  <c r="P173" i="209"/>
  <c r="O173" i="209"/>
  <c r="P172" i="209"/>
  <c r="O172" i="209"/>
  <c r="P171" i="209"/>
  <c r="O171" i="209"/>
  <c r="P170" i="209"/>
  <c r="O170" i="209"/>
  <c r="P169" i="209"/>
  <c r="O169" i="209"/>
  <c r="P168" i="209"/>
  <c r="O168" i="209"/>
  <c r="P167" i="209"/>
  <c r="O167" i="209"/>
  <c r="P166" i="209"/>
  <c r="O166" i="209"/>
  <c r="P165" i="209"/>
  <c r="O165" i="209"/>
  <c r="P164" i="209"/>
  <c r="O164" i="209"/>
  <c r="P163" i="209"/>
  <c r="O163" i="209"/>
  <c r="P162" i="209"/>
  <c r="O162" i="209"/>
  <c r="P161" i="209"/>
  <c r="O161" i="209"/>
  <c r="P160" i="209"/>
  <c r="O160" i="209"/>
  <c r="P159" i="209"/>
  <c r="O159" i="209"/>
  <c r="P158" i="209"/>
  <c r="O158" i="209"/>
  <c r="P157" i="209"/>
  <c r="O157" i="209"/>
  <c r="P156" i="209"/>
  <c r="O156" i="209"/>
  <c r="P155" i="209"/>
  <c r="O155" i="209"/>
  <c r="P154" i="209"/>
  <c r="O154" i="209"/>
  <c r="P153" i="209"/>
  <c r="O153" i="209"/>
  <c r="P152" i="209"/>
  <c r="O152" i="209"/>
  <c r="P151" i="209"/>
  <c r="O151" i="209"/>
  <c r="P150" i="209"/>
  <c r="O150" i="209"/>
  <c r="P149" i="209"/>
  <c r="O149" i="209"/>
  <c r="P148" i="209"/>
  <c r="O148" i="209"/>
  <c r="P147" i="209"/>
  <c r="O147" i="209"/>
  <c r="P146" i="209"/>
  <c r="O146" i="209"/>
  <c r="P145" i="209"/>
  <c r="O145" i="209"/>
  <c r="P144" i="209"/>
  <c r="O144" i="209"/>
  <c r="P143" i="209"/>
  <c r="O143" i="209"/>
  <c r="P142" i="209"/>
  <c r="O142" i="209"/>
  <c r="P141" i="209"/>
  <c r="O141" i="209"/>
  <c r="P140" i="209"/>
  <c r="O140" i="209"/>
  <c r="P139" i="209"/>
  <c r="O139" i="209"/>
  <c r="P138" i="209"/>
  <c r="O138" i="209"/>
  <c r="P137" i="209"/>
  <c r="O137" i="209"/>
  <c r="P136" i="209"/>
  <c r="O136" i="209"/>
  <c r="P135" i="209"/>
  <c r="O135" i="209"/>
  <c r="P134" i="209"/>
  <c r="O134" i="209"/>
  <c r="P133" i="209"/>
  <c r="O133" i="209"/>
  <c r="P132" i="209"/>
  <c r="O132" i="209"/>
  <c r="P131" i="209"/>
  <c r="O131" i="209"/>
  <c r="P130" i="209"/>
  <c r="O130" i="209"/>
  <c r="P129" i="209"/>
  <c r="O129" i="209"/>
  <c r="P128" i="209"/>
  <c r="O128" i="209"/>
  <c r="P127" i="209"/>
  <c r="O127" i="209"/>
  <c r="P126" i="209"/>
  <c r="O126" i="209"/>
  <c r="P125" i="209"/>
  <c r="O125" i="209"/>
  <c r="P124" i="209"/>
  <c r="O124" i="209"/>
  <c r="P123" i="209"/>
  <c r="O123" i="209"/>
  <c r="P122" i="209"/>
  <c r="O122" i="209"/>
  <c r="P121" i="209"/>
  <c r="O121" i="209"/>
  <c r="P120" i="209"/>
  <c r="O120" i="209"/>
  <c r="P119" i="209"/>
  <c r="O119" i="209"/>
  <c r="P118" i="209"/>
  <c r="O118" i="209"/>
  <c r="P117" i="209"/>
  <c r="O117" i="209"/>
  <c r="P116" i="209"/>
  <c r="O116" i="209"/>
  <c r="P115" i="209"/>
  <c r="O115" i="209"/>
  <c r="P114" i="209"/>
  <c r="O114" i="209"/>
  <c r="P113" i="209"/>
  <c r="O113" i="209"/>
  <c r="P112" i="209"/>
  <c r="O112" i="209"/>
  <c r="P111" i="209"/>
  <c r="O111" i="209"/>
  <c r="P110" i="209"/>
  <c r="O110" i="209"/>
  <c r="P109" i="209"/>
  <c r="O109" i="209"/>
  <c r="P108" i="209"/>
  <c r="O108" i="209"/>
  <c r="P107" i="209"/>
  <c r="O107" i="209"/>
  <c r="P106" i="209"/>
  <c r="O106" i="209"/>
  <c r="P105" i="209"/>
  <c r="O105" i="209"/>
  <c r="P104" i="209"/>
  <c r="O104" i="209"/>
  <c r="P103" i="209"/>
  <c r="O103" i="209"/>
  <c r="P102" i="209"/>
  <c r="O102" i="209"/>
  <c r="P101" i="209"/>
  <c r="O101" i="209"/>
  <c r="P100" i="209"/>
  <c r="O100" i="209"/>
  <c r="P99" i="209"/>
  <c r="O99" i="209"/>
  <c r="P98" i="209"/>
  <c r="O98" i="209"/>
  <c r="P97" i="209"/>
  <c r="O97" i="209"/>
  <c r="P96" i="209"/>
  <c r="O96" i="209"/>
  <c r="P95" i="209"/>
  <c r="O95" i="209"/>
  <c r="P94" i="209"/>
  <c r="O94" i="209"/>
  <c r="P93" i="209"/>
  <c r="O93" i="209"/>
  <c r="P92" i="209"/>
  <c r="O92" i="209"/>
  <c r="P91" i="209"/>
  <c r="O91" i="209"/>
  <c r="P90" i="209"/>
  <c r="O90" i="209"/>
  <c r="P89" i="209"/>
  <c r="O89" i="209"/>
  <c r="P88" i="209"/>
  <c r="O88" i="209"/>
  <c r="P87" i="209"/>
  <c r="O87" i="209"/>
  <c r="P86" i="209"/>
  <c r="O86" i="209"/>
  <c r="P85" i="209"/>
  <c r="O85" i="209"/>
  <c r="P84" i="209"/>
  <c r="O84" i="209"/>
  <c r="P83" i="209"/>
  <c r="O83" i="209"/>
  <c r="P82" i="209"/>
  <c r="O82" i="209"/>
  <c r="P81" i="209"/>
  <c r="O81" i="209"/>
  <c r="P80" i="209"/>
  <c r="O80" i="209"/>
  <c r="P79" i="209"/>
  <c r="O79" i="209"/>
  <c r="P78" i="209"/>
  <c r="O78" i="209"/>
  <c r="P77" i="209"/>
  <c r="O77" i="209"/>
  <c r="P76" i="209"/>
  <c r="O76" i="209"/>
  <c r="P75" i="209"/>
  <c r="O75" i="209"/>
  <c r="P74" i="209"/>
  <c r="O74" i="209"/>
  <c r="P73" i="209"/>
  <c r="O73" i="209"/>
  <c r="P72" i="209"/>
  <c r="O72" i="209"/>
  <c r="P71" i="209"/>
  <c r="O71" i="209"/>
  <c r="P70" i="209"/>
  <c r="O70" i="209"/>
  <c r="P69" i="209"/>
  <c r="O69" i="209"/>
  <c r="P68" i="209"/>
  <c r="O68" i="209"/>
  <c r="P67" i="209"/>
  <c r="O67" i="209"/>
  <c r="P66" i="209"/>
  <c r="O66" i="209"/>
  <c r="P65" i="209"/>
  <c r="O65" i="209"/>
  <c r="P64" i="209"/>
  <c r="O64" i="209"/>
  <c r="P63" i="209"/>
  <c r="O63" i="209"/>
  <c r="P62" i="209"/>
  <c r="O62" i="209"/>
  <c r="P61" i="209"/>
  <c r="O61" i="209"/>
  <c r="P60" i="209"/>
  <c r="O60" i="209"/>
  <c r="P59" i="209"/>
  <c r="O59" i="209"/>
  <c r="P58" i="209"/>
  <c r="O58" i="209"/>
  <c r="P57" i="209"/>
  <c r="O57" i="209"/>
  <c r="P56" i="209"/>
  <c r="O56" i="209"/>
  <c r="P55" i="209"/>
  <c r="O55" i="209"/>
  <c r="P54" i="209"/>
  <c r="O54" i="209"/>
  <c r="P53" i="209"/>
  <c r="O53" i="209"/>
  <c r="P52" i="209"/>
  <c r="O52" i="209"/>
  <c r="P51" i="209"/>
  <c r="O51" i="209"/>
  <c r="P50" i="209"/>
  <c r="O50" i="209"/>
  <c r="P49" i="209"/>
  <c r="O49" i="209"/>
  <c r="P48" i="209"/>
  <c r="O48" i="209"/>
  <c r="P47" i="209"/>
  <c r="O47" i="209"/>
  <c r="P46" i="209"/>
  <c r="O46" i="209"/>
  <c r="P45" i="209"/>
  <c r="O45" i="209"/>
  <c r="P44" i="209"/>
  <c r="O44" i="209"/>
  <c r="P43" i="209"/>
  <c r="O43" i="209"/>
  <c r="P42" i="209"/>
  <c r="O42" i="209"/>
  <c r="P41" i="209"/>
  <c r="O41" i="209"/>
  <c r="P40" i="209"/>
  <c r="O40" i="209"/>
  <c r="P39" i="209"/>
  <c r="O39" i="209"/>
  <c r="P38" i="209"/>
  <c r="O38" i="209"/>
  <c r="P37" i="209"/>
  <c r="O37" i="209"/>
  <c r="P36" i="209"/>
  <c r="O36" i="209"/>
  <c r="P35" i="209"/>
  <c r="O35" i="209"/>
  <c r="P34" i="209"/>
  <c r="O34" i="209"/>
  <c r="P33" i="209"/>
  <c r="O33" i="209"/>
  <c r="P32" i="209"/>
  <c r="O32" i="209"/>
  <c r="P31" i="209"/>
  <c r="O31" i="209"/>
  <c r="P30" i="209"/>
  <c r="O30" i="209"/>
  <c r="P29" i="209"/>
  <c r="O29" i="209"/>
  <c r="P28" i="209"/>
  <c r="O28" i="209"/>
  <c r="P27" i="209"/>
  <c r="O27" i="209"/>
  <c r="P26" i="209"/>
  <c r="O26" i="209"/>
  <c r="P25" i="209"/>
  <c r="O25" i="209"/>
  <c r="P24" i="209"/>
  <c r="O24" i="209"/>
  <c r="P23" i="209"/>
  <c r="O23" i="209"/>
  <c r="P22" i="209"/>
  <c r="O22" i="209"/>
  <c r="P21" i="209"/>
  <c r="O21" i="209"/>
  <c r="P20" i="209"/>
  <c r="O20" i="209"/>
  <c r="P19" i="209"/>
  <c r="O19" i="209"/>
  <c r="P18" i="209"/>
  <c r="O18" i="209"/>
  <c r="P17" i="209"/>
  <c r="O17" i="209"/>
  <c r="P16" i="209"/>
  <c r="O16" i="209"/>
  <c r="P15" i="209"/>
  <c r="O15" i="209"/>
  <c r="P14" i="209"/>
  <c r="O14" i="209"/>
  <c r="P13" i="209"/>
  <c r="O13" i="209"/>
  <c r="P12" i="209"/>
  <c r="O12" i="209"/>
  <c r="P11" i="209"/>
  <c r="O11" i="209"/>
  <c r="P10" i="209"/>
  <c r="O10" i="209"/>
  <c r="P9" i="209"/>
  <c r="O9" i="209"/>
  <c r="P8" i="209"/>
  <c r="O8" i="209"/>
  <c r="P7" i="209"/>
  <c r="O7" i="209"/>
  <c r="P6" i="209"/>
  <c r="O6" i="209"/>
  <c r="P175" i="203"/>
  <c r="O175" i="203"/>
  <c r="P173" i="203"/>
  <c r="O173" i="203"/>
  <c r="P172" i="203"/>
  <c r="O172" i="203"/>
  <c r="P171" i="203"/>
  <c r="O171" i="203"/>
  <c r="P170" i="203"/>
  <c r="O170" i="203"/>
  <c r="P169" i="203"/>
  <c r="O169" i="203"/>
  <c r="P168" i="203"/>
  <c r="O168" i="203"/>
  <c r="P167" i="203"/>
  <c r="O167" i="203"/>
  <c r="P166" i="203"/>
  <c r="O166" i="203"/>
  <c r="P165" i="203"/>
  <c r="O165" i="203"/>
  <c r="P164" i="203"/>
  <c r="O164" i="203"/>
  <c r="P163" i="203"/>
  <c r="O163" i="203"/>
  <c r="P162" i="203"/>
  <c r="O162" i="203"/>
  <c r="P161" i="203"/>
  <c r="O161" i="203"/>
  <c r="P160" i="203"/>
  <c r="O160" i="203"/>
  <c r="P159" i="203"/>
  <c r="O159" i="203"/>
  <c r="P158" i="203"/>
  <c r="O158" i="203"/>
  <c r="P157" i="203"/>
  <c r="O157" i="203"/>
  <c r="P156" i="203"/>
  <c r="O156" i="203"/>
  <c r="P155" i="203"/>
  <c r="O155" i="203"/>
  <c r="P154" i="203"/>
  <c r="O154" i="203"/>
  <c r="P153" i="203"/>
  <c r="O153" i="203"/>
  <c r="P152" i="203"/>
  <c r="O152" i="203"/>
  <c r="P151" i="203"/>
  <c r="O151" i="203"/>
  <c r="P150" i="203"/>
  <c r="O150" i="203"/>
  <c r="P149" i="203"/>
  <c r="O149" i="203"/>
  <c r="P148" i="203"/>
  <c r="O148" i="203"/>
  <c r="P147" i="203"/>
  <c r="O147" i="203"/>
  <c r="P146" i="203"/>
  <c r="O146" i="203"/>
  <c r="P145" i="203"/>
  <c r="O145" i="203"/>
  <c r="P144" i="203"/>
  <c r="O144" i="203"/>
  <c r="P143" i="203"/>
  <c r="O143" i="203"/>
  <c r="P142" i="203"/>
  <c r="O142" i="203"/>
  <c r="P141" i="203"/>
  <c r="O141" i="203"/>
  <c r="P140" i="203"/>
  <c r="O140" i="203"/>
  <c r="P139" i="203"/>
  <c r="O139" i="203"/>
  <c r="P138" i="203"/>
  <c r="O138" i="203"/>
  <c r="P6" i="203"/>
  <c r="O6" i="203"/>
  <c r="P5" i="204"/>
  <c r="O5" i="204"/>
  <c r="P5" i="206"/>
  <c r="O5" i="206"/>
  <c r="P5" i="207"/>
  <c r="O5" i="207"/>
  <c r="P5" i="208"/>
  <c r="O5" i="208"/>
  <c r="P5" i="209"/>
  <c r="O5" i="209"/>
  <c r="P5" i="203"/>
  <c r="O5" i="203"/>
  <c r="I153" i="225"/>
  <c r="I152" i="225"/>
  <c r="I151" i="225"/>
  <c r="I150" i="225"/>
  <c r="I149" i="225"/>
  <c r="I148" i="225"/>
  <c r="I147" i="225"/>
  <c r="I146" i="225"/>
  <c r="I145" i="225"/>
  <c r="I144" i="225"/>
  <c r="I143" i="225"/>
  <c r="I142" i="225"/>
  <c r="I141" i="225"/>
  <c r="I140" i="225"/>
  <c r="I139" i="225"/>
  <c r="I138" i="225"/>
  <c r="I137" i="225"/>
  <c r="I136" i="225"/>
  <c r="I135" i="225"/>
  <c r="I134" i="225"/>
  <c r="I133" i="225"/>
  <c r="I132" i="225"/>
  <c r="I131" i="225"/>
  <c r="I130" i="225"/>
  <c r="I129" i="225"/>
  <c r="I128" i="225"/>
  <c r="I127" i="225"/>
  <c r="I126" i="225"/>
  <c r="I125" i="225"/>
  <c r="I124" i="225"/>
  <c r="I123" i="225"/>
  <c r="I122" i="225"/>
  <c r="I121" i="225"/>
  <c r="I120" i="225"/>
  <c r="I119" i="225"/>
  <c r="I118" i="225"/>
  <c r="I117" i="225"/>
  <c r="I116" i="225"/>
  <c r="I115" i="225"/>
  <c r="I114" i="225"/>
  <c r="I113" i="225"/>
  <c r="I112" i="225"/>
  <c r="I111" i="225"/>
  <c r="I110" i="225"/>
  <c r="I109" i="225"/>
  <c r="I108" i="225"/>
  <c r="I107" i="225"/>
  <c r="I106" i="225"/>
  <c r="I105" i="225"/>
  <c r="I104" i="225"/>
  <c r="I103" i="225"/>
  <c r="I102" i="225"/>
  <c r="I101" i="225"/>
  <c r="I100" i="225"/>
  <c r="I99" i="225"/>
  <c r="I98" i="225"/>
  <c r="I97" i="225"/>
  <c r="I96" i="225"/>
  <c r="I95" i="225"/>
  <c r="I94" i="225"/>
  <c r="I93" i="225"/>
  <c r="I92" i="225"/>
  <c r="I91" i="225"/>
  <c r="I90" i="225"/>
  <c r="I89" i="225"/>
  <c r="I88" i="225"/>
  <c r="I87" i="225"/>
  <c r="I86" i="225"/>
  <c r="I85" i="225"/>
  <c r="I84" i="225"/>
  <c r="I83" i="225"/>
  <c r="I82" i="225"/>
  <c r="I81" i="225"/>
  <c r="I80" i="225"/>
  <c r="I79" i="225"/>
  <c r="I78" i="225"/>
  <c r="I77" i="225"/>
  <c r="I76" i="225"/>
  <c r="I75" i="225"/>
  <c r="I74" i="225"/>
  <c r="I73" i="225"/>
  <c r="I72" i="225"/>
  <c r="I71" i="225"/>
  <c r="I70" i="225"/>
  <c r="I69" i="225"/>
  <c r="I68" i="225"/>
  <c r="I67" i="225"/>
  <c r="I66" i="225"/>
  <c r="I65" i="225"/>
  <c r="I64" i="225"/>
  <c r="I63" i="225"/>
  <c r="I62" i="225"/>
  <c r="I61" i="225"/>
  <c r="I60" i="225"/>
  <c r="I59" i="225"/>
  <c r="I58" i="225"/>
  <c r="I57" i="225"/>
  <c r="I56" i="225"/>
  <c r="I55" i="225"/>
  <c r="I54" i="225"/>
  <c r="I53" i="225"/>
  <c r="I52" i="225"/>
  <c r="I51" i="225"/>
  <c r="I50" i="225"/>
  <c r="I49" i="225"/>
  <c r="I48" i="225"/>
  <c r="I47" i="225"/>
  <c r="I46" i="225"/>
  <c r="I45" i="225"/>
  <c r="I44" i="225"/>
  <c r="I43" i="225"/>
  <c r="I42" i="225"/>
  <c r="I41" i="225"/>
  <c r="I40" i="225"/>
  <c r="I39" i="225"/>
  <c r="I38" i="225"/>
  <c r="I37" i="225"/>
  <c r="I36" i="225"/>
  <c r="I35" i="225"/>
  <c r="I34" i="225"/>
  <c r="I33" i="225"/>
  <c r="I32" i="225"/>
  <c r="I31" i="225"/>
  <c r="I30" i="225"/>
  <c r="I29" i="225"/>
  <c r="I28" i="225"/>
  <c r="I27" i="225"/>
  <c r="I26" i="225"/>
  <c r="I25" i="225"/>
  <c r="Q174" i="203" l="1"/>
  <c r="I24" i="225" l="1"/>
  <c r="I23" i="225"/>
  <c r="I22" i="225"/>
  <c r="I21" i="225"/>
  <c r="I20" i="225"/>
  <c r="I19" i="225"/>
  <c r="I18" i="225"/>
  <c r="I17" i="225"/>
  <c r="I16" i="225"/>
  <c r="I15" i="225"/>
  <c r="I14" i="225"/>
  <c r="I13" i="225"/>
  <c r="I12" i="225"/>
  <c r="I11" i="225"/>
  <c r="I10" i="225"/>
  <c r="I9" i="225"/>
  <c r="I8" i="225"/>
  <c r="I7" i="225"/>
  <c r="I6" i="225"/>
  <c r="I5" i="225"/>
  <c r="N204" i="209"/>
  <c r="I204" i="209"/>
  <c r="Q204" i="209" s="1"/>
  <c r="N203" i="209"/>
  <c r="I203" i="209"/>
  <c r="Q203" i="209" s="1"/>
  <c r="N202" i="209"/>
  <c r="I202" i="209"/>
  <c r="Q202" i="209" s="1"/>
  <c r="N201" i="209"/>
  <c r="I201" i="209"/>
  <c r="N200" i="209"/>
  <c r="I200" i="209"/>
  <c r="Q200" i="209" s="1"/>
  <c r="N199" i="209"/>
  <c r="I199" i="209"/>
  <c r="N198" i="209"/>
  <c r="I198" i="209"/>
  <c r="Q198" i="209" s="1"/>
  <c r="N197" i="209"/>
  <c r="I197" i="209"/>
  <c r="Q197" i="209" s="1"/>
  <c r="N196" i="209"/>
  <c r="I196" i="209"/>
  <c r="Q196" i="209" s="1"/>
  <c r="N195" i="209"/>
  <c r="I195" i="209"/>
  <c r="N194" i="209"/>
  <c r="I194" i="209"/>
  <c r="Q194" i="209" s="1"/>
  <c r="N193" i="209"/>
  <c r="I193" i="209"/>
  <c r="N192" i="209"/>
  <c r="I192" i="209"/>
  <c r="Q192" i="209" s="1"/>
  <c r="N191" i="209"/>
  <c r="I191" i="209"/>
  <c r="Q191" i="209" s="1"/>
  <c r="N190" i="209"/>
  <c r="I190" i="209"/>
  <c r="Q190" i="209" s="1"/>
  <c r="N189" i="209"/>
  <c r="I189" i="209"/>
  <c r="N188" i="209"/>
  <c r="I188" i="209"/>
  <c r="Q188" i="209" s="1"/>
  <c r="N187" i="209"/>
  <c r="I187" i="209"/>
  <c r="N186" i="209"/>
  <c r="I186" i="209"/>
  <c r="Q186" i="209" s="1"/>
  <c r="N185" i="209"/>
  <c r="I185" i="209"/>
  <c r="Q185" i="209" s="1"/>
  <c r="N184" i="209"/>
  <c r="I184" i="209"/>
  <c r="Q184" i="209" s="1"/>
  <c r="N183" i="209"/>
  <c r="I183" i="209"/>
  <c r="N182" i="209"/>
  <c r="I182" i="209"/>
  <c r="Q182" i="209" s="1"/>
  <c r="N181" i="209"/>
  <c r="I181" i="209"/>
  <c r="N180" i="209"/>
  <c r="I180" i="209"/>
  <c r="Q180" i="209" s="1"/>
  <c r="N179" i="209"/>
  <c r="I179" i="209"/>
  <c r="Q179" i="209" s="1"/>
  <c r="N178" i="209"/>
  <c r="I178" i="209"/>
  <c r="Q178" i="209" s="1"/>
  <c r="N177" i="209"/>
  <c r="I177" i="209"/>
  <c r="N176" i="209"/>
  <c r="I176" i="209"/>
  <c r="Q176" i="209" s="1"/>
  <c r="N175" i="209"/>
  <c r="I175" i="209"/>
  <c r="N174" i="209"/>
  <c r="I174" i="209"/>
  <c r="Q174" i="209" s="1"/>
  <c r="N173" i="209"/>
  <c r="I173" i="209"/>
  <c r="Q173" i="209" s="1"/>
  <c r="N172" i="209"/>
  <c r="I172" i="209"/>
  <c r="Q172" i="209" s="1"/>
  <c r="N171" i="209"/>
  <c r="I171" i="209"/>
  <c r="N170" i="209"/>
  <c r="I170" i="209"/>
  <c r="Q170" i="209" s="1"/>
  <c r="N169" i="209"/>
  <c r="I169" i="209"/>
  <c r="N168" i="209"/>
  <c r="I168" i="209"/>
  <c r="Q168" i="209" s="1"/>
  <c r="N167" i="209"/>
  <c r="I167" i="209"/>
  <c r="Q167" i="209" s="1"/>
  <c r="N166" i="209"/>
  <c r="I166" i="209"/>
  <c r="Q166" i="209" s="1"/>
  <c r="N165" i="209"/>
  <c r="I165" i="209"/>
  <c r="N164" i="209"/>
  <c r="I164" i="209"/>
  <c r="Q164" i="209" s="1"/>
  <c r="N163" i="209"/>
  <c r="I163" i="209"/>
  <c r="N162" i="209"/>
  <c r="I162" i="209"/>
  <c r="Q162" i="209" s="1"/>
  <c r="N161" i="209"/>
  <c r="I161" i="209"/>
  <c r="Q161" i="209" s="1"/>
  <c r="N160" i="209"/>
  <c r="I160" i="209"/>
  <c r="Q160" i="209" s="1"/>
  <c r="N159" i="209"/>
  <c r="I159" i="209"/>
  <c r="N158" i="209"/>
  <c r="I158" i="209"/>
  <c r="Q158" i="209" s="1"/>
  <c r="N157" i="209"/>
  <c r="I157" i="209"/>
  <c r="N156" i="209"/>
  <c r="I156" i="209"/>
  <c r="Q156" i="209" s="1"/>
  <c r="N155" i="209"/>
  <c r="I155" i="209"/>
  <c r="Q155" i="209" s="1"/>
  <c r="N154" i="209"/>
  <c r="I154" i="209"/>
  <c r="Q154" i="209" s="1"/>
  <c r="N153" i="209"/>
  <c r="I153" i="209"/>
  <c r="N152" i="209"/>
  <c r="I152" i="209"/>
  <c r="Q152" i="209" s="1"/>
  <c r="N151" i="209"/>
  <c r="I151" i="209"/>
  <c r="N150" i="209"/>
  <c r="I150" i="209"/>
  <c r="Q150" i="209" s="1"/>
  <c r="N149" i="209"/>
  <c r="I149" i="209"/>
  <c r="Q149" i="209" s="1"/>
  <c r="N148" i="209"/>
  <c r="I148" i="209"/>
  <c r="Q148" i="209" s="1"/>
  <c r="N147" i="209"/>
  <c r="I147" i="209"/>
  <c r="N146" i="209"/>
  <c r="I146" i="209"/>
  <c r="Q146" i="209" s="1"/>
  <c r="N145" i="209"/>
  <c r="I145" i="209"/>
  <c r="N144" i="209"/>
  <c r="I144" i="209"/>
  <c r="Q144" i="209" s="1"/>
  <c r="N143" i="209"/>
  <c r="I143" i="209"/>
  <c r="Q143" i="209" s="1"/>
  <c r="N142" i="209"/>
  <c r="I142" i="209"/>
  <c r="Q142" i="209" s="1"/>
  <c r="N141" i="209"/>
  <c r="I141" i="209"/>
  <c r="N140" i="209"/>
  <c r="I140" i="209"/>
  <c r="Q140" i="209" s="1"/>
  <c r="N139" i="209"/>
  <c r="I139" i="209"/>
  <c r="N138" i="209"/>
  <c r="I138" i="209"/>
  <c r="Q138" i="209" s="1"/>
  <c r="N137" i="209"/>
  <c r="I137" i="209"/>
  <c r="Q137" i="209" s="1"/>
  <c r="N136" i="209"/>
  <c r="I136" i="209"/>
  <c r="Q136" i="209" s="1"/>
  <c r="N135" i="209"/>
  <c r="I135" i="209"/>
  <c r="N134" i="209"/>
  <c r="I134" i="209"/>
  <c r="Q134" i="209" s="1"/>
  <c r="N133" i="209"/>
  <c r="I133" i="209"/>
  <c r="N132" i="209"/>
  <c r="I132" i="209"/>
  <c r="Q132" i="209" s="1"/>
  <c r="N131" i="209"/>
  <c r="I131" i="209"/>
  <c r="Q131" i="209" s="1"/>
  <c r="N130" i="209"/>
  <c r="I130" i="209"/>
  <c r="Q130" i="209" s="1"/>
  <c r="N129" i="209"/>
  <c r="I129" i="209"/>
  <c r="N128" i="209"/>
  <c r="I128" i="209"/>
  <c r="Q128" i="209" s="1"/>
  <c r="N127" i="209"/>
  <c r="I127" i="209"/>
  <c r="N126" i="209"/>
  <c r="I126" i="209"/>
  <c r="Q126" i="209" s="1"/>
  <c r="N125" i="209"/>
  <c r="I125" i="209"/>
  <c r="Q125" i="209" s="1"/>
  <c r="N124" i="209"/>
  <c r="I124" i="209"/>
  <c r="Q124" i="209" s="1"/>
  <c r="N123" i="209"/>
  <c r="I123" i="209"/>
  <c r="N122" i="209"/>
  <c r="I122" i="209"/>
  <c r="Q122" i="209" s="1"/>
  <c r="N121" i="209"/>
  <c r="I121" i="209"/>
  <c r="N120" i="209"/>
  <c r="I120" i="209"/>
  <c r="Q120" i="209" s="1"/>
  <c r="N119" i="209"/>
  <c r="I119" i="209"/>
  <c r="Q119" i="209" s="1"/>
  <c r="N118" i="209"/>
  <c r="I118" i="209"/>
  <c r="Q118" i="209" s="1"/>
  <c r="N117" i="209"/>
  <c r="I117" i="209"/>
  <c r="N116" i="209"/>
  <c r="I116" i="209"/>
  <c r="Q116" i="209" s="1"/>
  <c r="N115" i="209"/>
  <c r="I115" i="209"/>
  <c r="N114" i="209"/>
  <c r="I114" i="209"/>
  <c r="Q114" i="209" s="1"/>
  <c r="N113" i="209"/>
  <c r="I113" i="209"/>
  <c r="Q113" i="209" s="1"/>
  <c r="N112" i="209"/>
  <c r="I112" i="209"/>
  <c r="Q112" i="209" s="1"/>
  <c r="N111" i="209"/>
  <c r="I111" i="209"/>
  <c r="N110" i="209"/>
  <c r="I110" i="209"/>
  <c r="Q110" i="209" s="1"/>
  <c r="N109" i="209"/>
  <c r="I109" i="209"/>
  <c r="N108" i="209"/>
  <c r="I108" i="209"/>
  <c r="Q108" i="209" s="1"/>
  <c r="N107" i="209"/>
  <c r="I107" i="209"/>
  <c r="Q107" i="209" s="1"/>
  <c r="N106" i="209"/>
  <c r="I106" i="209"/>
  <c r="Q106" i="209" s="1"/>
  <c r="N105" i="209"/>
  <c r="I105" i="209"/>
  <c r="N104" i="209"/>
  <c r="I104" i="209"/>
  <c r="Q104" i="209" s="1"/>
  <c r="N103" i="209"/>
  <c r="I103" i="209"/>
  <c r="N102" i="209"/>
  <c r="I102" i="209"/>
  <c r="Q102" i="209" s="1"/>
  <c r="N101" i="209"/>
  <c r="I101" i="209"/>
  <c r="Q101" i="209" s="1"/>
  <c r="N100" i="209"/>
  <c r="I100" i="209"/>
  <c r="Q100" i="209" s="1"/>
  <c r="N99" i="209"/>
  <c r="I99" i="209"/>
  <c r="N98" i="209"/>
  <c r="I98" i="209"/>
  <c r="Q98" i="209" s="1"/>
  <c r="N97" i="209"/>
  <c r="I97" i="209"/>
  <c r="N96" i="209"/>
  <c r="I96" i="209"/>
  <c r="Q96" i="209" s="1"/>
  <c r="N95" i="209"/>
  <c r="I95" i="209"/>
  <c r="Q95" i="209" s="1"/>
  <c r="N94" i="209"/>
  <c r="I94" i="209"/>
  <c r="Q94" i="209" s="1"/>
  <c r="N93" i="209"/>
  <c r="I93" i="209"/>
  <c r="N92" i="209"/>
  <c r="I92" i="209"/>
  <c r="Q92" i="209" s="1"/>
  <c r="N91" i="209"/>
  <c r="I91" i="209"/>
  <c r="N90" i="209"/>
  <c r="I90" i="209"/>
  <c r="Q90" i="209" s="1"/>
  <c r="N89" i="209"/>
  <c r="I89" i="209"/>
  <c r="Q89" i="209" s="1"/>
  <c r="N88" i="209"/>
  <c r="I88" i="209"/>
  <c r="Q88" i="209" s="1"/>
  <c r="N87" i="209"/>
  <c r="I87" i="209"/>
  <c r="N86" i="209"/>
  <c r="I86" i="209"/>
  <c r="Q86" i="209" s="1"/>
  <c r="N85" i="209"/>
  <c r="I85" i="209"/>
  <c r="N84" i="209"/>
  <c r="I84" i="209"/>
  <c r="Q84" i="209" s="1"/>
  <c r="N83" i="209"/>
  <c r="I83" i="209"/>
  <c r="Q83" i="209" s="1"/>
  <c r="N82" i="209"/>
  <c r="I82" i="209"/>
  <c r="Q82" i="209" s="1"/>
  <c r="N81" i="209"/>
  <c r="I81" i="209"/>
  <c r="N80" i="209"/>
  <c r="I80" i="209"/>
  <c r="Q80" i="209" s="1"/>
  <c r="N79" i="209"/>
  <c r="I79" i="209"/>
  <c r="N78" i="209"/>
  <c r="I78" i="209"/>
  <c r="Q78" i="209" s="1"/>
  <c r="N77" i="209"/>
  <c r="I77" i="209"/>
  <c r="Q77" i="209" s="1"/>
  <c r="N76" i="209"/>
  <c r="I76" i="209"/>
  <c r="Q76" i="209" s="1"/>
  <c r="N75" i="209"/>
  <c r="I75" i="209"/>
  <c r="N74" i="209"/>
  <c r="I74" i="209"/>
  <c r="Q74" i="209" s="1"/>
  <c r="N73" i="209"/>
  <c r="I73" i="209"/>
  <c r="N72" i="209"/>
  <c r="I72" i="209"/>
  <c r="Q72" i="209" s="1"/>
  <c r="N71" i="209"/>
  <c r="I71" i="209"/>
  <c r="Q71" i="209" s="1"/>
  <c r="N70" i="209"/>
  <c r="I70" i="209"/>
  <c r="Q70" i="209" s="1"/>
  <c r="N69" i="209"/>
  <c r="I69" i="209"/>
  <c r="N68" i="209"/>
  <c r="I68" i="209"/>
  <c r="Q68" i="209" s="1"/>
  <c r="N67" i="209"/>
  <c r="I67" i="209"/>
  <c r="N66" i="209"/>
  <c r="I66" i="209"/>
  <c r="Q66" i="209" s="1"/>
  <c r="N65" i="209"/>
  <c r="I65" i="209"/>
  <c r="Q65" i="209" s="1"/>
  <c r="N64" i="209"/>
  <c r="I64" i="209"/>
  <c r="Q64" i="209" s="1"/>
  <c r="N63" i="209"/>
  <c r="I63" i="209"/>
  <c r="N62" i="209"/>
  <c r="I62" i="209"/>
  <c r="Q62" i="209" s="1"/>
  <c r="N61" i="209"/>
  <c r="I61" i="209"/>
  <c r="N60" i="209"/>
  <c r="I60" i="209"/>
  <c r="Q60" i="209" s="1"/>
  <c r="N59" i="209"/>
  <c r="I59" i="209"/>
  <c r="Q59" i="209" s="1"/>
  <c r="N58" i="209"/>
  <c r="I58" i="209"/>
  <c r="Q58" i="209" s="1"/>
  <c r="N57" i="209"/>
  <c r="I57" i="209"/>
  <c r="N56" i="209"/>
  <c r="I56" i="209"/>
  <c r="Q56" i="209" s="1"/>
  <c r="N55" i="209"/>
  <c r="I55" i="209"/>
  <c r="N54" i="209"/>
  <c r="I54" i="209"/>
  <c r="Q54" i="209" s="1"/>
  <c r="N53" i="209"/>
  <c r="I53" i="209"/>
  <c r="Q53" i="209" s="1"/>
  <c r="N52" i="209"/>
  <c r="I52" i="209"/>
  <c r="Q52" i="209" s="1"/>
  <c r="N51" i="209"/>
  <c r="I51" i="209"/>
  <c r="N50" i="209"/>
  <c r="I50" i="209"/>
  <c r="Q50" i="209" s="1"/>
  <c r="N49" i="209"/>
  <c r="I49" i="209"/>
  <c r="N48" i="209"/>
  <c r="I48" i="209"/>
  <c r="Q48" i="209" s="1"/>
  <c r="N47" i="209"/>
  <c r="I47" i="209"/>
  <c r="Q47" i="209" s="1"/>
  <c r="N46" i="209"/>
  <c r="I46" i="209"/>
  <c r="Q46" i="209" s="1"/>
  <c r="N45" i="209"/>
  <c r="I45" i="209"/>
  <c r="N44" i="209"/>
  <c r="I44" i="209"/>
  <c r="Q44" i="209" s="1"/>
  <c r="N43" i="209"/>
  <c r="I43" i="209"/>
  <c r="N42" i="209"/>
  <c r="I42" i="209"/>
  <c r="Q42" i="209" s="1"/>
  <c r="N41" i="209"/>
  <c r="I41" i="209"/>
  <c r="Q41" i="209" s="1"/>
  <c r="N40" i="209"/>
  <c r="I40" i="209"/>
  <c r="Q40" i="209" s="1"/>
  <c r="N39" i="209"/>
  <c r="I39" i="209"/>
  <c r="N38" i="209"/>
  <c r="I38" i="209"/>
  <c r="Q38" i="209" s="1"/>
  <c r="N37" i="209"/>
  <c r="I37" i="209"/>
  <c r="N36" i="209"/>
  <c r="I36" i="209"/>
  <c r="Q36" i="209" s="1"/>
  <c r="N35" i="209"/>
  <c r="I35" i="209"/>
  <c r="Q35" i="209" s="1"/>
  <c r="N34" i="209"/>
  <c r="I34" i="209"/>
  <c r="Q34" i="209" s="1"/>
  <c r="N33" i="209"/>
  <c r="I33" i="209"/>
  <c r="N32" i="209"/>
  <c r="I32" i="209"/>
  <c r="Q32" i="209" s="1"/>
  <c r="N31" i="209"/>
  <c r="I31" i="209"/>
  <c r="N30" i="209"/>
  <c r="I30" i="209"/>
  <c r="Q30" i="209" s="1"/>
  <c r="N29" i="209"/>
  <c r="I29" i="209"/>
  <c r="Q29" i="209" s="1"/>
  <c r="N28" i="209"/>
  <c r="I28" i="209"/>
  <c r="Q28" i="209" s="1"/>
  <c r="N27" i="209"/>
  <c r="I27" i="209"/>
  <c r="N26" i="209"/>
  <c r="I26" i="209"/>
  <c r="Q26" i="209" s="1"/>
  <c r="N25" i="209"/>
  <c r="I25" i="209"/>
  <c r="N24" i="209"/>
  <c r="I24" i="209"/>
  <c r="Q24" i="209" s="1"/>
  <c r="N23" i="209"/>
  <c r="I23" i="209"/>
  <c r="Q23" i="209" s="1"/>
  <c r="N22" i="209"/>
  <c r="I22" i="209"/>
  <c r="Q22" i="209" s="1"/>
  <c r="N21" i="209"/>
  <c r="I21" i="209"/>
  <c r="N20" i="209"/>
  <c r="I20" i="209"/>
  <c r="Q20" i="209" s="1"/>
  <c r="N19" i="209"/>
  <c r="I19" i="209"/>
  <c r="N18" i="209"/>
  <c r="I18" i="209"/>
  <c r="Q18" i="209" s="1"/>
  <c r="N17" i="209"/>
  <c r="I17" i="209"/>
  <c r="Q17" i="209" s="1"/>
  <c r="N16" i="209"/>
  <c r="I16" i="209"/>
  <c r="Q16" i="209" s="1"/>
  <c r="N15" i="209"/>
  <c r="I15" i="209"/>
  <c r="N14" i="209"/>
  <c r="I14" i="209"/>
  <c r="Q14" i="209" s="1"/>
  <c r="N13" i="209"/>
  <c r="I13" i="209"/>
  <c r="N12" i="209"/>
  <c r="I12" i="209"/>
  <c r="Q12" i="209" s="1"/>
  <c r="N11" i="209"/>
  <c r="I11" i="209"/>
  <c r="Q11" i="209" s="1"/>
  <c r="N10" i="209"/>
  <c r="I10" i="209"/>
  <c r="Q10" i="209" s="1"/>
  <c r="N9" i="209"/>
  <c r="I9" i="209"/>
  <c r="N8" i="209"/>
  <c r="I8" i="209"/>
  <c r="Q8" i="209" s="1"/>
  <c r="N7" i="209"/>
  <c r="I7" i="209"/>
  <c r="N6" i="209"/>
  <c r="I6" i="209"/>
  <c r="Q6" i="209" s="1"/>
  <c r="A6" i="209"/>
  <c r="A7" i="209" s="1"/>
  <c r="A8" i="209" s="1"/>
  <c r="A9" i="209" s="1"/>
  <c r="A10" i="209" s="1"/>
  <c r="A11" i="209" s="1"/>
  <c r="A12" i="209" s="1"/>
  <c r="A13" i="209" s="1"/>
  <c r="A14" i="209" s="1"/>
  <c r="A15" i="209" s="1"/>
  <c r="A16" i="209" s="1"/>
  <c r="A17" i="209" s="1"/>
  <c r="A18" i="209" s="1"/>
  <c r="A19" i="209" s="1"/>
  <c r="A20" i="209" s="1"/>
  <c r="A21" i="209" s="1"/>
  <c r="A22" i="209" s="1"/>
  <c r="A23" i="209" s="1"/>
  <c r="A24" i="209" s="1"/>
  <c r="A25" i="209" s="1"/>
  <c r="A26" i="209" s="1"/>
  <c r="A27" i="209" s="1"/>
  <c r="A28" i="209" s="1"/>
  <c r="A29" i="209" s="1"/>
  <c r="A30" i="209" s="1"/>
  <c r="A31" i="209" s="1"/>
  <c r="A32" i="209" s="1"/>
  <c r="A33" i="209" s="1"/>
  <c r="A34" i="209" s="1"/>
  <c r="A35" i="209" s="1"/>
  <c r="A36" i="209" s="1"/>
  <c r="A37" i="209" s="1"/>
  <c r="A38" i="209" s="1"/>
  <c r="A39" i="209" s="1"/>
  <c r="A40" i="209" s="1"/>
  <c r="A41" i="209" s="1"/>
  <c r="A42" i="209" s="1"/>
  <c r="A43" i="209" s="1"/>
  <c r="A44" i="209" s="1"/>
  <c r="A45" i="209" s="1"/>
  <c r="A46" i="209" s="1"/>
  <c r="A47" i="209" s="1"/>
  <c r="A48" i="209" s="1"/>
  <c r="A49" i="209" s="1"/>
  <c r="A50" i="209" s="1"/>
  <c r="A51" i="209" s="1"/>
  <c r="A52" i="209" s="1"/>
  <c r="A53" i="209" s="1"/>
  <c r="A54" i="209" s="1"/>
  <c r="A55" i="209" s="1"/>
  <c r="A56" i="209" s="1"/>
  <c r="A57" i="209" s="1"/>
  <c r="A58" i="209" s="1"/>
  <c r="A59" i="209" s="1"/>
  <c r="A60" i="209" s="1"/>
  <c r="A61" i="209" s="1"/>
  <c r="A62" i="209" s="1"/>
  <c r="A63" i="209" s="1"/>
  <c r="A64" i="209" s="1"/>
  <c r="A65" i="209" s="1"/>
  <c r="A66" i="209" s="1"/>
  <c r="A67" i="209" s="1"/>
  <c r="A68" i="209" s="1"/>
  <c r="A69" i="209" s="1"/>
  <c r="A70" i="209" s="1"/>
  <c r="A71" i="209" s="1"/>
  <c r="A72" i="209" s="1"/>
  <c r="A73" i="209" s="1"/>
  <c r="A74" i="209" s="1"/>
  <c r="A75" i="209" s="1"/>
  <c r="A76" i="209" s="1"/>
  <c r="A77" i="209" s="1"/>
  <c r="A78" i="209" s="1"/>
  <c r="A79" i="209" s="1"/>
  <c r="A80" i="209" s="1"/>
  <c r="A81" i="209" s="1"/>
  <c r="A82" i="209" s="1"/>
  <c r="A83" i="209" s="1"/>
  <c r="A84" i="209" s="1"/>
  <c r="A85" i="209" s="1"/>
  <c r="A86" i="209" s="1"/>
  <c r="A87" i="209" s="1"/>
  <c r="A88" i="209" s="1"/>
  <c r="A89" i="209" s="1"/>
  <c r="A90" i="209" s="1"/>
  <c r="A91" i="209" s="1"/>
  <c r="A92" i="209" s="1"/>
  <c r="A93" i="209" s="1"/>
  <c r="A94" i="209" s="1"/>
  <c r="A95" i="209" s="1"/>
  <c r="A96" i="209" s="1"/>
  <c r="A97" i="209" s="1"/>
  <c r="A98" i="209" s="1"/>
  <c r="A99" i="209" s="1"/>
  <c r="A100" i="209" s="1"/>
  <c r="A101" i="209" s="1"/>
  <c r="A102" i="209" s="1"/>
  <c r="A103" i="209" s="1"/>
  <c r="A104" i="209" s="1"/>
  <c r="A105" i="209" s="1"/>
  <c r="A106" i="209" s="1"/>
  <c r="A107" i="209" s="1"/>
  <c r="A108" i="209" s="1"/>
  <c r="A109" i="209" s="1"/>
  <c r="A110" i="209" s="1"/>
  <c r="A111" i="209" s="1"/>
  <c r="A112" i="209" s="1"/>
  <c r="A113" i="209" s="1"/>
  <c r="A114" i="209" s="1"/>
  <c r="A115" i="209" s="1"/>
  <c r="A116" i="209" s="1"/>
  <c r="A117" i="209" s="1"/>
  <c r="A118" i="209" s="1"/>
  <c r="A119" i="209" s="1"/>
  <c r="A120" i="209" s="1"/>
  <c r="A121" i="209" s="1"/>
  <c r="A122" i="209" s="1"/>
  <c r="A123" i="209" s="1"/>
  <c r="A124" i="209" s="1"/>
  <c r="A125" i="209" s="1"/>
  <c r="A126" i="209" s="1"/>
  <c r="A127" i="209" s="1"/>
  <c r="A128" i="209" s="1"/>
  <c r="A129" i="209" s="1"/>
  <c r="A130" i="209" s="1"/>
  <c r="A131" i="209" s="1"/>
  <c r="A132" i="209" s="1"/>
  <c r="A133" i="209" s="1"/>
  <c r="A134" i="209" s="1"/>
  <c r="A135" i="209" s="1"/>
  <c r="A136" i="209" s="1"/>
  <c r="A137" i="209" s="1"/>
  <c r="A138" i="209" s="1"/>
  <c r="A139" i="209" s="1"/>
  <c r="A140" i="209" s="1"/>
  <c r="A141" i="209" s="1"/>
  <c r="A142" i="209" s="1"/>
  <c r="A143" i="209" s="1"/>
  <c r="A144" i="209" s="1"/>
  <c r="A145" i="209" s="1"/>
  <c r="A146" i="209" s="1"/>
  <c r="A147" i="209" s="1"/>
  <c r="A148" i="209" s="1"/>
  <c r="A149" i="209" s="1"/>
  <c r="A150" i="209" s="1"/>
  <c r="A151" i="209" s="1"/>
  <c r="A152" i="209" s="1"/>
  <c r="A153" i="209" s="1"/>
  <c r="A154" i="209" s="1"/>
  <c r="A155" i="209" s="1"/>
  <c r="A156" i="209" s="1"/>
  <c r="A157" i="209" s="1"/>
  <c r="A158" i="209" s="1"/>
  <c r="A159" i="209" s="1"/>
  <c r="A160" i="209" s="1"/>
  <c r="A161" i="209" s="1"/>
  <c r="A162" i="209" s="1"/>
  <c r="A163" i="209" s="1"/>
  <c r="A164" i="209" s="1"/>
  <c r="A165" i="209" s="1"/>
  <c r="A166" i="209" s="1"/>
  <c r="A167" i="209" s="1"/>
  <c r="A168" i="209" s="1"/>
  <c r="A169" i="209" s="1"/>
  <c r="A170" i="209" s="1"/>
  <c r="A171" i="209" s="1"/>
  <c r="A172" i="209" s="1"/>
  <c r="A173" i="209" s="1"/>
  <c r="A174" i="209" s="1"/>
  <c r="A175" i="209" s="1"/>
  <c r="A176" i="209" s="1"/>
  <c r="A177" i="209" s="1"/>
  <c r="A178" i="209" s="1"/>
  <c r="A179" i="209" s="1"/>
  <c r="A180" i="209" s="1"/>
  <c r="A181" i="209" s="1"/>
  <c r="A182" i="209" s="1"/>
  <c r="A183" i="209" s="1"/>
  <c r="A184" i="209" s="1"/>
  <c r="A185" i="209" s="1"/>
  <c r="A186" i="209" s="1"/>
  <c r="A187" i="209" s="1"/>
  <c r="A188" i="209" s="1"/>
  <c r="A189" i="209" s="1"/>
  <c r="A190" i="209" s="1"/>
  <c r="A191" i="209" s="1"/>
  <c r="A192" i="209" s="1"/>
  <c r="A193" i="209" s="1"/>
  <c r="A194" i="209" s="1"/>
  <c r="A195" i="209" s="1"/>
  <c r="A196" i="209" s="1"/>
  <c r="A197" i="209" s="1"/>
  <c r="A198" i="209" s="1"/>
  <c r="A199" i="209" s="1"/>
  <c r="A200" i="209" s="1"/>
  <c r="A201" i="209" s="1"/>
  <c r="A202" i="209" s="1"/>
  <c r="A203" i="209" s="1"/>
  <c r="A204" i="209" s="1"/>
  <c r="N5" i="209"/>
  <c r="I5" i="209"/>
  <c r="Q5" i="209" s="1"/>
  <c r="N204" i="208"/>
  <c r="I204" i="208"/>
  <c r="N203" i="208"/>
  <c r="I203" i="208"/>
  <c r="N202" i="208"/>
  <c r="I202" i="208"/>
  <c r="Q202" i="208" s="1"/>
  <c r="N201" i="208"/>
  <c r="I201" i="208"/>
  <c r="Q201" i="208" s="1"/>
  <c r="N200" i="208"/>
  <c r="I200" i="208"/>
  <c r="N199" i="208"/>
  <c r="I199" i="208"/>
  <c r="Q199" i="208" s="1"/>
  <c r="N198" i="208"/>
  <c r="I198" i="208"/>
  <c r="N197" i="208"/>
  <c r="I197" i="208"/>
  <c r="N196" i="208"/>
  <c r="I196" i="208"/>
  <c r="Q196" i="208" s="1"/>
  <c r="N195" i="208"/>
  <c r="I195" i="208"/>
  <c r="Q195" i="208" s="1"/>
  <c r="N194" i="208"/>
  <c r="I194" i="208"/>
  <c r="N193" i="208"/>
  <c r="I193" i="208"/>
  <c r="Q193" i="208" s="1"/>
  <c r="N192" i="208"/>
  <c r="I192" i="208"/>
  <c r="N191" i="208"/>
  <c r="I191" i="208"/>
  <c r="N190" i="208"/>
  <c r="I190" i="208"/>
  <c r="Q190" i="208" s="1"/>
  <c r="N189" i="208"/>
  <c r="I189" i="208"/>
  <c r="Q189" i="208" s="1"/>
  <c r="N188" i="208"/>
  <c r="I188" i="208"/>
  <c r="N187" i="208"/>
  <c r="I187" i="208"/>
  <c r="Q187" i="208" s="1"/>
  <c r="N186" i="208"/>
  <c r="I186" i="208"/>
  <c r="N185" i="208"/>
  <c r="I185" i="208"/>
  <c r="N184" i="208"/>
  <c r="I184" i="208"/>
  <c r="Q184" i="208" s="1"/>
  <c r="N183" i="208"/>
  <c r="I183" i="208"/>
  <c r="Q183" i="208" s="1"/>
  <c r="N182" i="208"/>
  <c r="I182" i="208"/>
  <c r="N181" i="208"/>
  <c r="I181" i="208"/>
  <c r="Q181" i="208" s="1"/>
  <c r="N180" i="208"/>
  <c r="I180" i="208"/>
  <c r="N179" i="208"/>
  <c r="I179" i="208"/>
  <c r="N178" i="208"/>
  <c r="I178" i="208"/>
  <c r="Q178" i="208" s="1"/>
  <c r="N177" i="208"/>
  <c r="I177" i="208"/>
  <c r="Q177" i="208" s="1"/>
  <c r="N176" i="208"/>
  <c r="I176" i="208"/>
  <c r="N175" i="208"/>
  <c r="I175" i="208"/>
  <c r="Q175" i="208" s="1"/>
  <c r="N174" i="208"/>
  <c r="I174" i="208"/>
  <c r="N173" i="208"/>
  <c r="I173" i="208"/>
  <c r="N172" i="208"/>
  <c r="I172" i="208"/>
  <c r="Q172" i="208" s="1"/>
  <c r="N171" i="208"/>
  <c r="I171" i="208"/>
  <c r="Q171" i="208" s="1"/>
  <c r="N170" i="208"/>
  <c r="I170" i="208"/>
  <c r="N169" i="208"/>
  <c r="I169" i="208"/>
  <c r="Q169" i="208" s="1"/>
  <c r="N168" i="208"/>
  <c r="I168" i="208"/>
  <c r="N167" i="208"/>
  <c r="I167" i="208"/>
  <c r="N166" i="208"/>
  <c r="I166" i="208"/>
  <c r="Q166" i="208" s="1"/>
  <c r="N165" i="208"/>
  <c r="I165" i="208"/>
  <c r="Q165" i="208" s="1"/>
  <c r="N164" i="208"/>
  <c r="I164" i="208"/>
  <c r="N163" i="208"/>
  <c r="I163" i="208"/>
  <c r="Q163" i="208" s="1"/>
  <c r="N162" i="208"/>
  <c r="I162" i="208"/>
  <c r="N161" i="208"/>
  <c r="I161" i="208"/>
  <c r="N160" i="208"/>
  <c r="I160" i="208"/>
  <c r="Q160" i="208" s="1"/>
  <c r="N159" i="208"/>
  <c r="I159" i="208"/>
  <c r="Q159" i="208" s="1"/>
  <c r="N158" i="208"/>
  <c r="I158" i="208"/>
  <c r="N157" i="208"/>
  <c r="I157" i="208"/>
  <c r="Q157" i="208" s="1"/>
  <c r="N156" i="208"/>
  <c r="I156" i="208"/>
  <c r="N155" i="208"/>
  <c r="I155" i="208"/>
  <c r="N154" i="208"/>
  <c r="I154" i="208"/>
  <c r="Q154" i="208" s="1"/>
  <c r="N153" i="208"/>
  <c r="I153" i="208"/>
  <c r="Q153" i="208" s="1"/>
  <c r="N152" i="208"/>
  <c r="I152" i="208"/>
  <c r="N151" i="208"/>
  <c r="I151" i="208"/>
  <c r="Q151" i="208" s="1"/>
  <c r="N150" i="208"/>
  <c r="I150" i="208"/>
  <c r="N149" i="208"/>
  <c r="I149" i="208"/>
  <c r="N148" i="208"/>
  <c r="I148" i="208"/>
  <c r="Q148" i="208" s="1"/>
  <c r="N147" i="208"/>
  <c r="I147" i="208"/>
  <c r="Q147" i="208" s="1"/>
  <c r="N146" i="208"/>
  <c r="I146" i="208"/>
  <c r="N145" i="208"/>
  <c r="I145" i="208"/>
  <c r="Q145" i="208" s="1"/>
  <c r="N144" i="208"/>
  <c r="I144" i="208"/>
  <c r="N143" i="208"/>
  <c r="I143" i="208"/>
  <c r="N142" i="208"/>
  <c r="I142" i="208"/>
  <c r="Q142" i="208" s="1"/>
  <c r="N141" i="208"/>
  <c r="I141" i="208"/>
  <c r="Q141" i="208" s="1"/>
  <c r="N140" i="208"/>
  <c r="I140" i="208"/>
  <c r="N139" i="208"/>
  <c r="I139" i="208"/>
  <c r="Q139" i="208" s="1"/>
  <c r="N138" i="208"/>
  <c r="I138" i="208"/>
  <c r="N137" i="208"/>
  <c r="I137" i="208"/>
  <c r="N136" i="208"/>
  <c r="I136" i="208"/>
  <c r="Q136" i="208" s="1"/>
  <c r="N135" i="208"/>
  <c r="I135" i="208"/>
  <c r="Q135" i="208" s="1"/>
  <c r="N134" i="208"/>
  <c r="I134" i="208"/>
  <c r="N133" i="208"/>
  <c r="I133" i="208"/>
  <c r="Q133" i="208" s="1"/>
  <c r="N132" i="208"/>
  <c r="I132" i="208"/>
  <c r="N131" i="208"/>
  <c r="I131" i="208"/>
  <c r="N130" i="208"/>
  <c r="I130" i="208"/>
  <c r="Q130" i="208" s="1"/>
  <c r="N129" i="208"/>
  <c r="I129" i="208"/>
  <c r="Q129" i="208" s="1"/>
  <c r="N128" i="208"/>
  <c r="I128" i="208"/>
  <c r="N127" i="208"/>
  <c r="I127" i="208"/>
  <c r="Q127" i="208" s="1"/>
  <c r="N126" i="208"/>
  <c r="I126" i="208"/>
  <c r="N125" i="208"/>
  <c r="I125" i="208"/>
  <c r="N124" i="208"/>
  <c r="I124" i="208"/>
  <c r="Q124" i="208" s="1"/>
  <c r="N123" i="208"/>
  <c r="I123" i="208"/>
  <c r="Q123" i="208" s="1"/>
  <c r="N122" i="208"/>
  <c r="I122" i="208"/>
  <c r="N121" i="208"/>
  <c r="I121" i="208"/>
  <c r="Q121" i="208" s="1"/>
  <c r="N120" i="208"/>
  <c r="I120" i="208"/>
  <c r="N119" i="208"/>
  <c r="I119" i="208"/>
  <c r="N118" i="208"/>
  <c r="I118" i="208"/>
  <c r="Q118" i="208" s="1"/>
  <c r="N117" i="208"/>
  <c r="I117" i="208"/>
  <c r="Q117" i="208" s="1"/>
  <c r="N116" i="208"/>
  <c r="I116" i="208"/>
  <c r="N115" i="208"/>
  <c r="I115" i="208"/>
  <c r="Q115" i="208" s="1"/>
  <c r="N114" i="208"/>
  <c r="I114" i="208"/>
  <c r="N113" i="208"/>
  <c r="I113" i="208"/>
  <c r="N112" i="208"/>
  <c r="I112" i="208"/>
  <c r="Q112" i="208" s="1"/>
  <c r="N111" i="208"/>
  <c r="I111" i="208"/>
  <c r="Q111" i="208" s="1"/>
  <c r="N110" i="208"/>
  <c r="I110" i="208"/>
  <c r="N109" i="208"/>
  <c r="I109" i="208"/>
  <c r="Q109" i="208" s="1"/>
  <c r="N108" i="208"/>
  <c r="I108" i="208"/>
  <c r="N107" i="208"/>
  <c r="I107" i="208"/>
  <c r="N106" i="208"/>
  <c r="I106" i="208"/>
  <c r="Q106" i="208" s="1"/>
  <c r="N105" i="208"/>
  <c r="I105" i="208"/>
  <c r="Q105" i="208" s="1"/>
  <c r="N104" i="208"/>
  <c r="I104" i="208"/>
  <c r="N103" i="208"/>
  <c r="I103" i="208"/>
  <c r="Q103" i="208" s="1"/>
  <c r="N102" i="208"/>
  <c r="I102" i="208"/>
  <c r="N101" i="208"/>
  <c r="I101" i="208"/>
  <c r="N100" i="208"/>
  <c r="I100" i="208"/>
  <c r="Q100" i="208" s="1"/>
  <c r="N99" i="208"/>
  <c r="I99" i="208"/>
  <c r="Q99" i="208" s="1"/>
  <c r="N98" i="208"/>
  <c r="I98" i="208"/>
  <c r="N97" i="208"/>
  <c r="I97" i="208"/>
  <c r="Q97" i="208" s="1"/>
  <c r="N96" i="208"/>
  <c r="I96" i="208"/>
  <c r="N95" i="208"/>
  <c r="I95" i="208"/>
  <c r="N94" i="208"/>
  <c r="I94" i="208"/>
  <c r="Q94" i="208" s="1"/>
  <c r="N93" i="208"/>
  <c r="I93" i="208"/>
  <c r="Q93" i="208" s="1"/>
  <c r="N92" i="208"/>
  <c r="I92" i="208"/>
  <c r="N91" i="208"/>
  <c r="I91" i="208"/>
  <c r="Q91" i="208" s="1"/>
  <c r="N90" i="208"/>
  <c r="I90" i="208"/>
  <c r="N89" i="208"/>
  <c r="I89" i="208"/>
  <c r="N88" i="208"/>
  <c r="I88" i="208"/>
  <c r="Q88" i="208" s="1"/>
  <c r="N87" i="208"/>
  <c r="I87" i="208"/>
  <c r="Q87" i="208" s="1"/>
  <c r="N86" i="208"/>
  <c r="I86" i="208"/>
  <c r="N85" i="208"/>
  <c r="I85" i="208"/>
  <c r="Q85" i="208" s="1"/>
  <c r="N84" i="208"/>
  <c r="I84" i="208"/>
  <c r="N83" i="208"/>
  <c r="I83" i="208"/>
  <c r="N82" i="208"/>
  <c r="I82" i="208"/>
  <c r="Q82" i="208" s="1"/>
  <c r="N81" i="208"/>
  <c r="I81" i="208"/>
  <c r="Q81" i="208" s="1"/>
  <c r="N80" i="208"/>
  <c r="I80" i="208"/>
  <c r="N79" i="208"/>
  <c r="I79" i="208"/>
  <c r="Q79" i="208" s="1"/>
  <c r="N78" i="208"/>
  <c r="I78" i="208"/>
  <c r="N77" i="208"/>
  <c r="I77" i="208"/>
  <c r="N76" i="208"/>
  <c r="I76" i="208"/>
  <c r="Q76" i="208" s="1"/>
  <c r="N75" i="208"/>
  <c r="I75" i="208"/>
  <c r="Q75" i="208" s="1"/>
  <c r="N74" i="208"/>
  <c r="I74" i="208"/>
  <c r="N73" i="208"/>
  <c r="I73" i="208"/>
  <c r="Q73" i="208" s="1"/>
  <c r="N72" i="208"/>
  <c r="I72" i="208"/>
  <c r="N71" i="208"/>
  <c r="I71" i="208"/>
  <c r="N70" i="208"/>
  <c r="I70" i="208"/>
  <c r="Q70" i="208" s="1"/>
  <c r="N69" i="208"/>
  <c r="I69" i="208"/>
  <c r="Q69" i="208" s="1"/>
  <c r="N68" i="208"/>
  <c r="I68" i="208"/>
  <c r="N67" i="208"/>
  <c r="I67" i="208"/>
  <c r="Q67" i="208" s="1"/>
  <c r="N66" i="208"/>
  <c r="I66" i="208"/>
  <c r="N65" i="208"/>
  <c r="I65" i="208"/>
  <c r="N64" i="208"/>
  <c r="I64" i="208"/>
  <c r="Q64" i="208" s="1"/>
  <c r="N63" i="208"/>
  <c r="I63" i="208"/>
  <c r="Q63" i="208" s="1"/>
  <c r="N62" i="208"/>
  <c r="I62" i="208"/>
  <c r="N61" i="208"/>
  <c r="I61" i="208"/>
  <c r="Q61" i="208" s="1"/>
  <c r="N60" i="208"/>
  <c r="I60" i="208"/>
  <c r="N59" i="208"/>
  <c r="I59" i="208"/>
  <c r="N58" i="208"/>
  <c r="I58" i="208"/>
  <c r="Q58" i="208" s="1"/>
  <c r="N57" i="208"/>
  <c r="I57" i="208"/>
  <c r="Q57" i="208" s="1"/>
  <c r="N56" i="208"/>
  <c r="I56" i="208"/>
  <c r="N55" i="208"/>
  <c r="I55" i="208"/>
  <c r="Q55" i="208" s="1"/>
  <c r="N54" i="208"/>
  <c r="I54" i="208"/>
  <c r="N53" i="208"/>
  <c r="I53" i="208"/>
  <c r="N52" i="208"/>
  <c r="I52" i="208"/>
  <c r="Q52" i="208" s="1"/>
  <c r="N51" i="208"/>
  <c r="I51" i="208"/>
  <c r="Q51" i="208" s="1"/>
  <c r="N50" i="208"/>
  <c r="I50" i="208"/>
  <c r="N49" i="208"/>
  <c r="I49" i="208"/>
  <c r="Q49" i="208" s="1"/>
  <c r="N48" i="208"/>
  <c r="I48" i="208"/>
  <c r="N47" i="208"/>
  <c r="I47" i="208"/>
  <c r="N46" i="208"/>
  <c r="I46" i="208"/>
  <c r="Q46" i="208" s="1"/>
  <c r="N45" i="208"/>
  <c r="I45" i="208"/>
  <c r="Q45" i="208" s="1"/>
  <c r="N44" i="208"/>
  <c r="I44" i="208"/>
  <c r="N43" i="208"/>
  <c r="I43" i="208"/>
  <c r="Q43" i="208" s="1"/>
  <c r="N42" i="208"/>
  <c r="I42" i="208"/>
  <c r="N41" i="208"/>
  <c r="I41" i="208"/>
  <c r="N40" i="208"/>
  <c r="I40" i="208"/>
  <c r="Q40" i="208" s="1"/>
  <c r="N39" i="208"/>
  <c r="I39" i="208"/>
  <c r="Q39" i="208" s="1"/>
  <c r="N38" i="208"/>
  <c r="I38" i="208"/>
  <c r="N37" i="208"/>
  <c r="I37" i="208"/>
  <c r="Q37" i="208" s="1"/>
  <c r="N36" i="208"/>
  <c r="I36" i="208"/>
  <c r="N35" i="208"/>
  <c r="I35" i="208"/>
  <c r="N34" i="208"/>
  <c r="I34" i="208"/>
  <c r="Q34" i="208" s="1"/>
  <c r="N33" i="208"/>
  <c r="I33" i="208"/>
  <c r="Q33" i="208" s="1"/>
  <c r="N32" i="208"/>
  <c r="I32" i="208"/>
  <c r="N31" i="208"/>
  <c r="I31" i="208"/>
  <c r="Q31" i="208" s="1"/>
  <c r="N30" i="208"/>
  <c r="I30" i="208"/>
  <c r="N29" i="208"/>
  <c r="I29" i="208"/>
  <c r="N28" i="208"/>
  <c r="I28" i="208"/>
  <c r="Q28" i="208" s="1"/>
  <c r="N27" i="208"/>
  <c r="I27" i="208"/>
  <c r="Q27" i="208" s="1"/>
  <c r="N26" i="208"/>
  <c r="I26" i="208"/>
  <c r="N25" i="208"/>
  <c r="I25" i="208"/>
  <c r="Q25" i="208" s="1"/>
  <c r="N24" i="208"/>
  <c r="I24" i="208"/>
  <c r="N23" i="208"/>
  <c r="I23" i="208"/>
  <c r="N22" i="208"/>
  <c r="I22" i="208"/>
  <c r="Q22" i="208" s="1"/>
  <c r="N21" i="208"/>
  <c r="I21" i="208"/>
  <c r="Q21" i="208" s="1"/>
  <c r="N20" i="208"/>
  <c r="I20" i="208"/>
  <c r="N19" i="208"/>
  <c r="I19" i="208"/>
  <c r="Q19" i="208" s="1"/>
  <c r="N18" i="208"/>
  <c r="I18" i="208"/>
  <c r="N17" i="208"/>
  <c r="I17" i="208"/>
  <c r="N16" i="208"/>
  <c r="I16" i="208"/>
  <c r="Q16" i="208" s="1"/>
  <c r="N15" i="208"/>
  <c r="I15" i="208"/>
  <c r="Q15" i="208" s="1"/>
  <c r="N14" i="208"/>
  <c r="I14" i="208"/>
  <c r="N13" i="208"/>
  <c r="I13" i="208"/>
  <c r="Q13" i="208" s="1"/>
  <c r="N12" i="208"/>
  <c r="I12" i="208"/>
  <c r="N11" i="208"/>
  <c r="I11" i="208"/>
  <c r="N10" i="208"/>
  <c r="I10" i="208"/>
  <c r="Q10" i="208" s="1"/>
  <c r="N9" i="208"/>
  <c r="I9" i="208"/>
  <c r="Q9" i="208" s="1"/>
  <c r="N8" i="208"/>
  <c r="I8" i="208"/>
  <c r="N7" i="208"/>
  <c r="I7" i="208"/>
  <c r="Q7" i="208" s="1"/>
  <c r="N6" i="208"/>
  <c r="I6" i="208"/>
  <c r="A6" i="208"/>
  <c r="A7" i="208" s="1"/>
  <c r="A8" i="208" s="1"/>
  <c r="A9" i="208" s="1"/>
  <c r="A10" i="208" s="1"/>
  <c r="A11" i="208" s="1"/>
  <c r="A12" i="208" s="1"/>
  <c r="A13" i="208" s="1"/>
  <c r="A14" i="208" s="1"/>
  <c r="A15" i="208" s="1"/>
  <c r="A16" i="208" s="1"/>
  <c r="A17" i="208" s="1"/>
  <c r="A18" i="208" s="1"/>
  <c r="A19" i="208" s="1"/>
  <c r="A20" i="208" s="1"/>
  <c r="A21" i="208" s="1"/>
  <c r="A22" i="208" s="1"/>
  <c r="A23" i="208" s="1"/>
  <c r="A24" i="208" s="1"/>
  <c r="A25" i="208" s="1"/>
  <c r="A26" i="208" s="1"/>
  <c r="A27" i="208" s="1"/>
  <c r="A28" i="208" s="1"/>
  <c r="A29" i="208" s="1"/>
  <c r="A30" i="208" s="1"/>
  <c r="A31" i="208" s="1"/>
  <c r="A32" i="208" s="1"/>
  <c r="A33" i="208" s="1"/>
  <c r="A34" i="208" s="1"/>
  <c r="A35" i="208" s="1"/>
  <c r="A36" i="208" s="1"/>
  <c r="A37" i="208" s="1"/>
  <c r="A38" i="208" s="1"/>
  <c r="A39" i="208" s="1"/>
  <c r="A40" i="208" s="1"/>
  <c r="A41" i="208" s="1"/>
  <c r="A42" i="208" s="1"/>
  <c r="A43" i="208" s="1"/>
  <c r="A44" i="208" s="1"/>
  <c r="A45" i="208" s="1"/>
  <c r="A46" i="208" s="1"/>
  <c r="A47" i="208" s="1"/>
  <c r="A48" i="208" s="1"/>
  <c r="A49" i="208" s="1"/>
  <c r="A50" i="208" s="1"/>
  <c r="A51" i="208" s="1"/>
  <c r="A52" i="208" s="1"/>
  <c r="A53" i="208" s="1"/>
  <c r="A54" i="208" s="1"/>
  <c r="A55" i="208" s="1"/>
  <c r="A56" i="208" s="1"/>
  <c r="A57" i="208" s="1"/>
  <c r="A58" i="208" s="1"/>
  <c r="A59" i="208" s="1"/>
  <c r="A60" i="208" s="1"/>
  <c r="A61" i="208" s="1"/>
  <c r="A62" i="208" s="1"/>
  <c r="A63" i="208" s="1"/>
  <c r="A64" i="208" s="1"/>
  <c r="A65" i="208" s="1"/>
  <c r="A66" i="208" s="1"/>
  <c r="A67" i="208" s="1"/>
  <c r="A68" i="208" s="1"/>
  <c r="A69" i="208" s="1"/>
  <c r="A70" i="208" s="1"/>
  <c r="A71" i="208" s="1"/>
  <c r="A72" i="208" s="1"/>
  <c r="A73" i="208" s="1"/>
  <c r="A74" i="208" s="1"/>
  <c r="A75" i="208" s="1"/>
  <c r="A76" i="208" s="1"/>
  <c r="A77" i="208" s="1"/>
  <c r="A78" i="208" s="1"/>
  <c r="A79" i="208" s="1"/>
  <c r="A80" i="208" s="1"/>
  <c r="A81" i="208" s="1"/>
  <c r="A82" i="208" s="1"/>
  <c r="A83" i="208" s="1"/>
  <c r="A84" i="208" s="1"/>
  <c r="A85" i="208" s="1"/>
  <c r="A86" i="208" s="1"/>
  <c r="A87" i="208" s="1"/>
  <c r="A88" i="208" s="1"/>
  <c r="A89" i="208" s="1"/>
  <c r="A90" i="208" s="1"/>
  <c r="A91" i="208" s="1"/>
  <c r="A92" i="208" s="1"/>
  <c r="A93" i="208" s="1"/>
  <c r="A94" i="208" s="1"/>
  <c r="A95" i="208" s="1"/>
  <c r="A96" i="208" s="1"/>
  <c r="A97" i="208" s="1"/>
  <c r="A98" i="208" s="1"/>
  <c r="A99" i="208" s="1"/>
  <c r="A100" i="208" s="1"/>
  <c r="A101" i="208" s="1"/>
  <c r="A102" i="208" s="1"/>
  <c r="A103" i="208" s="1"/>
  <c r="A104" i="208" s="1"/>
  <c r="A105" i="208" s="1"/>
  <c r="A106" i="208" s="1"/>
  <c r="A107" i="208" s="1"/>
  <c r="A108" i="208" s="1"/>
  <c r="A109" i="208" s="1"/>
  <c r="A110" i="208" s="1"/>
  <c r="A111" i="208" s="1"/>
  <c r="A112" i="208" s="1"/>
  <c r="A113" i="208" s="1"/>
  <c r="A114" i="208" s="1"/>
  <c r="A115" i="208" s="1"/>
  <c r="A116" i="208" s="1"/>
  <c r="A117" i="208" s="1"/>
  <c r="A118" i="208" s="1"/>
  <c r="A119" i="208" s="1"/>
  <c r="A120" i="208" s="1"/>
  <c r="A121" i="208" s="1"/>
  <c r="A122" i="208" s="1"/>
  <c r="A123" i="208" s="1"/>
  <c r="A124" i="208" s="1"/>
  <c r="A125" i="208" s="1"/>
  <c r="A126" i="208" s="1"/>
  <c r="A127" i="208" s="1"/>
  <c r="A128" i="208" s="1"/>
  <c r="A129" i="208" s="1"/>
  <c r="A130" i="208" s="1"/>
  <c r="A131" i="208" s="1"/>
  <c r="A132" i="208" s="1"/>
  <c r="A133" i="208" s="1"/>
  <c r="A134" i="208" s="1"/>
  <c r="A135" i="208" s="1"/>
  <c r="A136" i="208" s="1"/>
  <c r="A137" i="208" s="1"/>
  <c r="A138" i="208" s="1"/>
  <c r="A139" i="208" s="1"/>
  <c r="A140" i="208" s="1"/>
  <c r="A141" i="208" s="1"/>
  <c r="A142" i="208" s="1"/>
  <c r="A143" i="208" s="1"/>
  <c r="A144" i="208" s="1"/>
  <c r="A145" i="208" s="1"/>
  <c r="A146" i="208" s="1"/>
  <c r="A147" i="208" s="1"/>
  <c r="A148" i="208" s="1"/>
  <c r="A149" i="208" s="1"/>
  <c r="A150" i="208" s="1"/>
  <c r="A151" i="208" s="1"/>
  <c r="A152" i="208" s="1"/>
  <c r="A153" i="208" s="1"/>
  <c r="A154" i="208" s="1"/>
  <c r="A155" i="208" s="1"/>
  <c r="A156" i="208" s="1"/>
  <c r="A157" i="208" s="1"/>
  <c r="A158" i="208" s="1"/>
  <c r="A159" i="208" s="1"/>
  <c r="A160" i="208" s="1"/>
  <c r="A161" i="208" s="1"/>
  <c r="A162" i="208" s="1"/>
  <c r="A163" i="208" s="1"/>
  <c r="A164" i="208" s="1"/>
  <c r="A165" i="208" s="1"/>
  <c r="A166" i="208" s="1"/>
  <c r="A167" i="208" s="1"/>
  <c r="A168" i="208" s="1"/>
  <c r="A169" i="208" s="1"/>
  <c r="A170" i="208" s="1"/>
  <c r="A171" i="208" s="1"/>
  <c r="A172" i="208" s="1"/>
  <c r="A173" i="208" s="1"/>
  <c r="A174" i="208" s="1"/>
  <c r="A175" i="208" s="1"/>
  <c r="A176" i="208" s="1"/>
  <c r="A177" i="208" s="1"/>
  <c r="A178" i="208" s="1"/>
  <c r="A179" i="208" s="1"/>
  <c r="A180" i="208" s="1"/>
  <c r="A181" i="208" s="1"/>
  <c r="A182" i="208" s="1"/>
  <c r="A183" i="208" s="1"/>
  <c r="A184" i="208" s="1"/>
  <c r="A185" i="208" s="1"/>
  <c r="A186" i="208" s="1"/>
  <c r="A187" i="208" s="1"/>
  <c r="A188" i="208" s="1"/>
  <c r="A189" i="208" s="1"/>
  <c r="A190" i="208" s="1"/>
  <c r="A191" i="208" s="1"/>
  <c r="A192" i="208" s="1"/>
  <c r="A193" i="208" s="1"/>
  <c r="A194" i="208" s="1"/>
  <c r="A195" i="208" s="1"/>
  <c r="A196" i="208" s="1"/>
  <c r="A197" i="208" s="1"/>
  <c r="A198" i="208" s="1"/>
  <c r="A199" i="208" s="1"/>
  <c r="A200" i="208" s="1"/>
  <c r="A201" i="208" s="1"/>
  <c r="A202" i="208" s="1"/>
  <c r="A203" i="208" s="1"/>
  <c r="A204" i="208" s="1"/>
  <c r="N5" i="208"/>
  <c r="I5" i="208"/>
  <c r="Q5" i="208" s="1"/>
  <c r="N204" i="207"/>
  <c r="I204" i="207"/>
  <c r="N203" i="207"/>
  <c r="I203" i="207"/>
  <c r="Q203" i="207" s="1"/>
  <c r="N202" i="207"/>
  <c r="I202" i="207"/>
  <c r="N201" i="207"/>
  <c r="I201" i="207"/>
  <c r="Q201" i="207" s="1"/>
  <c r="N200" i="207"/>
  <c r="I200" i="207"/>
  <c r="Q200" i="207" s="1"/>
  <c r="N199" i="207"/>
  <c r="I199" i="207"/>
  <c r="Q199" i="207" s="1"/>
  <c r="N198" i="207"/>
  <c r="I198" i="207"/>
  <c r="N197" i="207"/>
  <c r="I197" i="207"/>
  <c r="Q197" i="207" s="1"/>
  <c r="N196" i="207"/>
  <c r="I196" i="207"/>
  <c r="N195" i="207"/>
  <c r="I195" i="207"/>
  <c r="Q195" i="207" s="1"/>
  <c r="N194" i="207"/>
  <c r="I194" i="207"/>
  <c r="Q194" i="207" s="1"/>
  <c r="N193" i="207"/>
  <c r="I193" i="207"/>
  <c r="Q193" i="207" s="1"/>
  <c r="N192" i="207"/>
  <c r="I192" i="207"/>
  <c r="N191" i="207"/>
  <c r="I191" i="207"/>
  <c r="Q191" i="207" s="1"/>
  <c r="N190" i="207"/>
  <c r="I190" i="207"/>
  <c r="N189" i="207"/>
  <c r="I189" i="207"/>
  <c r="Q189" i="207" s="1"/>
  <c r="N188" i="207"/>
  <c r="I188" i="207"/>
  <c r="Q188" i="207" s="1"/>
  <c r="N187" i="207"/>
  <c r="I187" i="207"/>
  <c r="Q187" i="207" s="1"/>
  <c r="N186" i="207"/>
  <c r="I186" i="207"/>
  <c r="N185" i="207"/>
  <c r="I185" i="207"/>
  <c r="Q185" i="207" s="1"/>
  <c r="N184" i="207"/>
  <c r="I184" i="207"/>
  <c r="N183" i="207"/>
  <c r="I183" i="207"/>
  <c r="Q183" i="207" s="1"/>
  <c r="N182" i="207"/>
  <c r="I182" i="207"/>
  <c r="Q182" i="207" s="1"/>
  <c r="N181" i="207"/>
  <c r="I181" i="207"/>
  <c r="Q181" i="207" s="1"/>
  <c r="N180" i="207"/>
  <c r="I180" i="207"/>
  <c r="N179" i="207"/>
  <c r="I179" i="207"/>
  <c r="Q179" i="207" s="1"/>
  <c r="N178" i="207"/>
  <c r="I178" i="207"/>
  <c r="N177" i="207"/>
  <c r="I177" i="207"/>
  <c r="Q177" i="207" s="1"/>
  <c r="N176" i="207"/>
  <c r="I176" i="207"/>
  <c r="Q176" i="207" s="1"/>
  <c r="N175" i="207"/>
  <c r="I175" i="207"/>
  <c r="Q175" i="207" s="1"/>
  <c r="N174" i="207"/>
  <c r="I174" i="207"/>
  <c r="N173" i="207"/>
  <c r="I173" i="207"/>
  <c r="Q173" i="207" s="1"/>
  <c r="N172" i="207"/>
  <c r="I172" i="207"/>
  <c r="N171" i="207"/>
  <c r="I171" i="207"/>
  <c r="Q171" i="207" s="1"/>
  <c r="N170" i="207"/>
  <c r="I170" i="207"/>
  <c r="Q170" i="207" s="1"/>
  <c r="N169" i="207"/>
  <c r="I169" i="207"/>
  <c r="Q169" i="207" s="1"/>
  <c r="N168" i="207"/>
  <c r="I168" i="207"/>
  <c r="N167" i="207"/>
  <c r="I167" i="207"/>
  <c r="Q167" i="207" s="1"/>
  <c r="N166" i="207"/>
  <c r="I166" i="207"/>
  <c r="N165" i="207"/>
  <c r="I165" i="207"/>
  <c r="Q165" i="207" s="1"/>
  <c r="N164" i="207"/>
  <c r="I164" i="207"/>
  <c r="Q164" i="207" s="1"/>
  <c r="N163" i="207"/>
  <c r="I163" i="207"/>
  <c r="Q163" i="207" s="1"/>
  <c r="N162" i="207"/>
  <c r="I162" i="207"/>
  <c r="N161" i="207"/>
  <c r="I161" i="207"/>
  <c r="Q161" i="207" s="1"/>
  <c r="N160" i="207"/>
  <c r="I160" i="207"/>
  <c r="N159" i="207"/>
  <c r="I159" i="207"/>
  <c r="Q159" i="207" s="1"/>
  <c r="N158" i="207"/>
  <c r="I158" i="207"/>
  <c r="Q158" i="207" s="1"/>
  <c r="N157" i="207"/>
  <c r="I157" i="207"/>
  <c r="Q157" i="207" s="1"/>
  <c r="N156" i="207"/>
  <c r="I156" i="207"/>
  <c r="N155" i="207"/>
  <c r="I155" i="207"/>
  <c r="Q155" i="207" s="1"/>
  <c r="N154" i="207"/>
  <c r="I154" i="207"/>
  <c r="N153" i="207"/>
  <c r="I153" i="207"/>
  <c r="Q153" i="207" s="1"/>
  <c r="N152" i="207"/>
  <c r="I152" i="207"/>
  <c r="Q152" i="207" s="1"/>
  <c r="N151" i="207"/>
  <c r="I151" i="207"/>
  <c r="Q151" i="207" s="1"/>
  <c r="N150" i="207"/>
  <c r="I150" i="207"/>
  <c r="N149" i="207"/>
  <c r="I149" i="207"/>
  <c r="Q149" i="207" s="1"/>
  <c r="N148" i="207"/>
  <c r="I148" i="207"/>
  <c r="N147" i="207"/>
  <c r="I147" i="207"/>
  <c r="Q147" i="207" s="1"/>
  <c r="N146" i="207"/>
  <c r="I146" i="207"/>
  <c r="Q146" i="207" s="1"/>
  <c r="N145" i="207"/>
  <c r="I145" i="207"/>
  <c r="Q145" i="207" s="1"/>
  <c r="N144" i="207"/>
  <c r="I144" i="207"/>
  <c r="N143" i="207"/>
  <c r="I143" i="207"/>
  <c r="Q143" i="207" s="1"/>
  <c r="N142" i="207"/>
  <c r="I142" i="207"/>
  <c r="N141" i="207"/>
  <c r="I141" i="207"/>
  <c r="Q141" i="207" s="1"/>
  <c r="N140" i="207"/>
  <c r="I140" i="207"/>
  <c r="Q140" i="207" s="1"/>
  <c r="N139" i="207"/>
  <c r="I139" i="207"/>
  <c r="Q139" i="207" s="1"/>
  <c r="N138" i="207"/>
  <c r="I138" i="207"/>
  <c r="N137" i="207"/>
  <c r="I137" i="207"/>
  <c r="Q137" i="207" s="1"/>
  <c r="N136" i="207"/>
  <c r="I136" i="207"/>
  <c r="N135" i="207"/>
  <c r="I135" i="207"/>
  <c r="Q135" i="207" s="1"/>
  <c r="N134" i="207"/>
  <c r="I134" i="207"/>
  <c r="Q134" i="207" s="1"/>
  <c r="N133" i="207"/>
  <c r="I133" i="207"/>
  <c r="Q133" i="207" s="1"/>
  <c r="N132" i="207"/>
  <c r="I132" i="207"/>
  <c r="N131" i="207"/>
  <c r="I131" i="207"/>
  <c r="Q131" i="207" s="1"/>
  <c r="N130" i="207"/>
  <c r="I130" i="207"/>
  <c r="N129" i="207"/>
  <c r="I129" i="207"/>
  <c r="Q129" i="207" s="1"/>
  <c r="N128" i="207"/>
  <c r="I128" i="207"/>
  <c r="Q128" i="207" s="1"/>
  <c r="N127" i="207"/>
  <c r="I127" i="207"/>
  <c r="Q127" i="207" s="1"/>
  <c r="N126" i="207"/>
  <c r="I126" i="207"/>
  <c r="N125" i="207"/>
  <c r="I125" i="207"/>
  <c r="Q125" i="207" s="1"/>
  <c r="N124" i="207"/>
  <c r="I124" i="207"/>
  <c r="N123" i="207"/>
  <c r="I123" i="207"/>
  <c r="Q123" i="207" s="1"/>
  <c r="N122" i="207"/>
  <c r="I122" i="207"/>
  <c r="Q122" i="207" s="1"/>
  <c r="N121" i="207"/>
  <c r="I121" i="207"/>
  <c r="Q121" i="207" s="1"/>
  <c r="N120" i="207"/>
  <c r="I120" i="207"/>
  <c r="N119" i="207"/>
  <c r="I119" i="207"/>
  <c r="Q119" i="207" s="1"/>
  <c r="N118" i="207"/>
  <c r="I118" i="207"/>
  <c r="N117" i="207"/>
  <c r="I117" i="207"/>
  <c r="Q117" i="207" s="1"/>
  <c r="N116" i="207"/>
  <c r="I116" i="207"/>
  <c r="Q116" i="207" s="1"/>
  <c r="N115" i="207"/>
  <c r="I115" i="207"/>
  <c r="Q115" i="207" s="1"/>
  <c r="N114" i="207"/>
  <c r="I114" i="207"/>
  <c r="N113" i="207"/>
  <c r="I113" i="207"/>
  <c r="Q113" i="207" s="1"/>
  <c r="N112" i="207"/>
  <c r="I112" i="207"/>
  <c r="N111" i="207"/>
  <c r="I111" i="207"/>
  <c r="Q111" i="207" s="1"/>
  <c r="N110" i="207"/>
  <c r="I110" i="207"/>
  <c r="Q110" i="207" s="1"/>
  <c r="N109" i="207"/>
  <c r="I109" i="207"/>
  <c r="Q109" i="207" s="1"/>
  <c r="N108" i="207"/>
  <c r="I108" i="207"/>
  <c r="N107" i="207"/>
  <c r="I107" i="207"/>
  <c r="Q107" i="207" s="1"/>
  <c r="N106" i="207"/>
  <c r="I106" i="207"/>
  <c r="N105" i="207"/>
  <c r="I105" i="207"/>
  <c r="Q105" i="207" s="1"/>
  <c r="N104" i="207"/>
  <c r="I104" i="207"/>
  <c r="Q104" i="207" s="1"/>
  <c r="N103" i="207"/>
  <c r="I103" i="207"/>
  <c r="Q103" i="207" s="1"/>
  <c r="N102" i="207"/>
  <c r="I102" i="207"/>
  <c r="N101" i="207"/>
  <c r="I101" i="207"/>
  <c r="Q101" i="207" s="1"/>
  <c r="N100" i="207"/>
  <c r="I100" i="207"/>
  <c r="N99" i="207"/>
  <c r="I99" i="207"/>
  <c r="Q99" i="207" s="1"/>
  <c r="N98" i="207"/>
  <c r="I98" i="207"/>
  <c r="Q98" i="207" s="1"/>
  <c r="N97" i="207"/>
  <c r="I97" i="207"/>
  <c r="Q97" i="207" s="1"/>
  <c r="N96" i="207"/>
  <c r="I96" i="207"/>
  <c r="N95" i="207"/>
  <c r="I95" i="207"/>
  <c r="Q95" i="207" s="1"/>
  <c r="N94" i="207"/>
  <c r="I94" i="207"/>
  <c r="N93" i="207"/>
  <c r="I93" i="207"/>
  <c r="Q93" i="207" s="1"/>
  <c r="N92" i="207"/>
  <c r="I92" i="207"/>
  <c r="Q92" i="207" s="1"/>
  <c r="N91" i="207"/>
  <c r="I91" i="207"/>
  <c r="Q91" i="207" s="1"/>
  <c r="N90" i="207"/>
  <c r="I90" i="207"/>
  <c r="N89" i="207"/>
  <c r="I89" i="207"/>
  <c r="Q89" i="207" s="1"/>
  <c r="N88" i="207"/>
  <c r="I88" i="207"/>
  <c r="N87" i="207"/>
  <c r="I87" i="207"/>
  <c r="Q87" i="207" s="1"/>
  <c r="N86" i="207"/>
  <c r="I86" i="207"/>
  <c r="Q86" i="207" s="1"/>
  <c r="N85" i="207"/>
  <c r="I85" i="207"/>
  <c r="Q85" i="207" s="1"/>
  <c r="N84" i="207"/>
  <c r="I84" i="207"/>
  <c r="N83" i="207"/>
  <c r="I83" i="207"/>
  <c r="Q83" i="207" s="1"/>
  <c r="N82" i="207"/>
  <c r="I82" i="207"/>
  <c r="N81" i="207"/>
  <c r="I81" i="207"/>
  <c r="Q81" i="207" s="1"/>
  <c r="N80" i="207"/>
  <c r="I80" i="207"/>
  <c r="Q80" i="207" s="1"/>
  <c r="N79" i="207"/>
  <c r="I79" i="207"/>
  <c r="Q79" i="207" s="1"/>
  <c r="N78" i="207"/>
  <c r="I78" i="207"/>
  <c r="N77" i="207"/>
  <c r="I77" i="207"/>
  <c r="Q77" i="207" s="1"/>
  <c r="N76" i="207"/>
  <c r="I76" i="207"/>
  <c r="N75" i="207"/>
  <c r="I75" i="207"/>
  <c r="Q75" i="207" s="1"/>
  <c r="N74" i="207"/>
  <c r="I74" i="207"/>
  <c r="Q74" i="207" s="1"/>
  <c r="N73" i="207"/>
  <c r="I73" i="207"/>
  <c r="Q73" i="207" s="1"/>
  <c r="N72" i="207"/>
  <c r="I72" i="207"/>
  <c r="N71" i="207"/>
  <c r="I71" i="207"/>
  <c r="Q71" i="207" s="1"/>
  <c r="N70" i="207"/>
  <c r="I70" i="207"/>
  <c r="N69" i="207"/>
  <c r="I69" i="207"/>
  <c r="Q69" i="207" s="1"/>
  <c r="N68" i="207"/>
  <c r="I68" i="207"/>
  <c r="Q68" i="207" s="1"/>
  <c r="N67" i="207"/>
  <c r="I67" i="207"/>
  <c r="Q67" i="207" s="1"/>
  <c r="N66" i="207"/>
  <c r="I66" i="207"/>
  <c r="N65" i="207"/>
  <c r="I65" i="207"/>
  <c r="Q65" i="207" s="1"/>
  <c r="N64" i="207"/>
  <c r="I64" i="207"/>
  <c r="N63" i="207"/>
  <c r="I63" i="207"/>
  <c r="Q63" i="207" s="1"/>
  <c r="N62" i="207"/>
  <c r="I62" i="207"/>
  <c r="Q62" i="207" s="1"/>
  <c r="N61" i="207"/>
  <c r="I61" i="207"/>
  <c r="Q61" i="207" s="1"/>
  <c r="N60" i="207"/>
  <c r="I60" i="207"/>
  <c r="N59" i="207"/>
  <c r="I59" i="207"/>
  <c r="Q59" i="207" s="1"/>
  <c r="N58" i="207"/>
  <c r="I58" i="207"/>
  <c r="N57" i="207"/>
  <c r="I57" i="207"/>
  <c r="Q57" i="207" s="1"/>
  <c r="N56" i="207"/>
  <c r="I56" i="207"/>
  <c r="Q56" i="207" s="1"/>
  <c r="N55" i="207"/>
  <c r="I55" i="207"/>
  <c r="Q55" i="207" s="1"/>
  <c r="N54" i="207"/>
  <c r="I54" i="207"/>
  <c r="N53" i="207"/>
  <c r="I53" i="207"/>
  <c r="Q53" i="207" s="1"/>
  <c r="N52" i="207"/>
  <c r="I52" i="207"/>
  <c r="N51" i="207"/>
  <c r="I51" i="207"/>
  <c r="Q51" i="207" s="1"/>
  <c r="N50" i="207"/>
  <c r="I50" i="207"/>
  <c r="Q50" i="207" s="1"/>
  <c r="N49" i="207"/>
  <c r="I49" i="207"/>
  <c r="Q49" i="207" s="1"/>
  <c r="N48" i="207"/>
  <c r="I48" i="207"/>
  <c r="N47" i="207"/>
  <c r="I47" i="207"/>
  <c r="Q47" i="207" s="1"/>
  <c r="N46" i="207"/>
  <c r="I46" i="207"/>
  <c r="N45" i="207"/>
  <c r="I45" i="207"/>
  <c r="Q45" i="207" s="1"/>
  <c r="N44" i="207"/>
  <c r="I44" i="207"/>
  <c r="Q44" i="207" s="1"/>
  <c r="N43" i="207"/>
  <c r="I43" i="207"/>
  <c r="Q43" i="207" s="1"/>
  <c r="N42" i="207"/>
  <c r="I42" i="207"/>
  <c r="N41" i="207"/>
  <c r="I41" i="207"/>
  <c r="Q41" i="207" s="1"/>
  <c r="N40" i="207"/>
  <c r="I40" i="207"/>
  <c r="N39" i="207"/>
  <c r="I39" i="207"/>
  <c r="Q39" i="207" s="1"/>
  <c r="N38" i="207"/>
  <c r="I38" i="207"/>
  <c r="Q38" i="207" s="1"/>
  <c r="N37" i="207"/>
  <c r="I37" i="207"/>
  <c r="Q37" i="207" s="1"/>
  <c r="N36" i="207"/>
  <c r="I36" i="207"/>
  <c r="N35" i="207"/>
  <c r="I35" i="207"/>
  <c r="Q35" i="207" s="1"/>
  <c r="N34" i="207"/>
  <c r="I34" i="207"/>
  <c r="N33" i="207"/>
  <c r="I33" i="207"/>
  <c r="Q33" i="207" s="1"/>
  <c r="N32" i="207"/>
  <c r="I32" i="207"/>
  <c r="Q32" i="207" s="1"/>
  <c r="N31" i="207"/>
  <c r="I31" i="207"/>
  <c r="Q31" i="207" s="1"/>
  <c r="N30" i="207"/>
  <c r="I30" i="207"/>
  <c r="N29" i="207"/>
  <c r="I29" i="207"/>
  <c r="Q29" i="207" s="1"/>
  <c r="N28" i="207"/>
  <c r="I28" i="207"/>
  <c r="N27" i="207"/>
  <c r="I27" i="207"/>
  <c r="Q27" i="207" s="1"/>
  <c r="N26" i="207"/>
  <c r="I26" i="207"/>
  <c r="Q26" i="207" s="1"/>
  <c r="N25" i="207"/>
  <c r="I25" i="207"/>
  <c r="Q25" i="207" s="1"/>
  <c r="N24" i="207"/>
  <c r="I24" i="207"/>
  <c r="N23" i="207"/>
  <c r="I23" i="207"/>
  <c r="Q23" i="207" s="1"/>
  <c r="N22" i="207"/>
  <c r="I22" i="207"/>
  <c r="N21" i="207"/>
  <c r="I21" i="207"/>
  <c r="Q21" i="207" s="1"/>
  <c r="N20" i="207"/>
  <c r="I20" i="207"/>
  <c r="Q20" i="207" s="1"/>
  <c r="N19" i="207"/>
  <c r="I19" i="207"/>
  <c r="Q19" i="207" s="1"/>
  <c r="N18" i="207"/>
  <c r="I18" i="207"/>
  <c r="N17" i="207"/>
  <c r="I17" i="207"/>
  <c r="Q17" i="207" s="1"/>
  <c r="N16" i="207"/>
  <c r="I16" i="207"/>
  <c r="N15" i="207"/>
  <c r="I15" i="207"/>
  <c r="Q15" i="207" s="1"/>
  <c r="N14" i="207"/>
  <c r="I14" i="207"/>
  <c r="Q14" i="207" s="1"/>
  <c r="N13" i="207"/>
  <c r="I13" i="207"/>
  <c r="Q13" i="207" s="1"/>
  <c r="N12" i="207"/>
  <c r="I12" i="207"/>
  <c r="N11" i="207"/>
  <c r="I11" i="207"/>
  <c r="Q11" i="207" s="1"/>
  <c r="N10" i="207"/>
  <c r="I10" i="207"/>
  <c r="N9" i="207"/>
  <c r="I9" i="207"/>
  <c r="Q9" i="207" s="1"/>
  <c r="N8" i="207"/>
  <c r="I8" i="207"/>
  <c r="Q8" i="207" s="1"/>
  <c r="N7" i="207"/>
  <c r="I7" i="207"/>
  <c r="Q7" i="207" s="1"/>
  <c r="N6" i="207"/>
  <c r="I6" i="207"/>
  <c r="A6" i="207"/>
  <c r="A7" i="207" s="1"/>
  <c r="A8" i="207" s="1"/>
  <c r="A9" i="207" s="1"/>
  <c r="A10" i="207" s="1"/>
  <c r="A11" i="207" s="1"/>
  <c r="A12" i="207" s="1"/>
  <c r="A13" i="207" s="1"/>
  <c r="A14" i="207" s="1"/>
  <c r="A15" i="207" s="1"/>
  <c r="A16" i="207" s="1"/>
  <c r="A17" i="207" s="1"/>
  <c r="A18" i="207" s="1"/>
  <c r="A19" i="207" s="1"/>
  <c r="A20" i="207" s="1"/>
  <c r="A21" i="207" s="1"/>
  <c r="A22" i="207" s="1"/>
  <c r="A23" i="207" s="1"/>
  <c r="A24" i="207" s="1"/>
  <c r="A25" i="207" s="1"/>
  <c r="A26" i="207" s="1"/>
  <c r="A27" i="207" s="1"/>
  <c r="A28" i="207" s="1"/>
  <c r="A29" i="207" s="1"/>
  <c r="A30" i="207" s="1"/>
  <c r="A31" i="207" s="1"/>
  <c r="A32" i="207" s="1"/>
  <c r="A33" i="207" s="1"/>
  <c r="A34" i="207" s="1"/>
  <c r="A35" i="207" s="1"/>
  <c r="A36" i="207" s="1"/>
  <c r="A37" i="207" s="1"/>
  <c r="A38" i="207" s="1"/>
  <c r="A39" i="207" s="1"/>
  <c r="A40" i="207" s="1"/>
  <c r="A41" i="207" s="1"/>
  <c r="A42" i="207" s="1"/>
  <c r="A43" i="207" s="1"/>
  <c r="A44" i="207" s="1"/>
  <c r="A45" i="207" s="1"/>
  <c r="A46" i="207" s="1"/>
  <c r="A47" i="207" s="1"/>
  <c r="A48" i="207" s="1"/>
  <c r="A49" i="207" s="1"/>
  <c r="A50" i="207" s="1"/>
  <c r="A51" i="207" s="1"/>
  <c r="A52" i="207" s="1"/>
  <c r="A53" i="207" s="1"/>
  <c r="A54" i="207" s="1"/>
  <c r="A55" i="207" s="1"/>
  <c r="A56" i="207" s="1"/>
  <c r="A57" i="207" s="1"/>
  <c r="A58" i="207" s="1"/>
  <c r="A59" i="207" s="1"/>
  <c r="A60" i="207" s="1"/>
  <c r="A61" i="207" s="1"/>
  <c r="A62" i="207" s="1"/>
  <c r="A63" i="207" s="1"/>
  <c r="A64" i="207" s="1"/>
  <c r="A65" i="207" s="1"/>
  <c r="A66" i="207" s="1"/>
  <c r="A67" i="207" s="1"/>
  <c r="A68" i="207" s="1"/>
  <c r="A69" i="207" s="1"/>
  <c r="A70" i="207" s="1"/>
  <c r="A71" i="207" s="1"/>
  <c r="A72" i="207" s="1"/>
  <c r="A73" i="207" s="1"/>
  <c r="A74" i="207" s="1"/>
  <c r="A75" i="207" s="1"/>
  <c r="A76" i="207" s="1"/>
  <c r="A77" i="207" s="1"/>
  <c r="A78" i="207" s="1"/>
  <c r="A79" i="207" s="1"/>
  <c r="A80" i="207" s="1"/>
  <c r="A81" i="207" s="1"/>
  <c r="A82" i="207" s="1"/>
  <c r="A83" i="207" s="1"/>
  <c r="A84" i="207" s="1"/>
  <c r="A85" i="207" s="1"/>
  <c r="A86" i="207" s="1"/>
  <c r="A87" i="207" s="1"/>
  <c r="A88" i="207" s="1"/>
  <c r="A89" i="207" s="1"/>
  <c r="A90" i="207" s="1"/>
  <c r="A91" i="207" s="1"/>
  <c r="A92" i="207" s="1"/>
  <c r="A93" i="207" s="1"/>
  <c r="A94" i="207" s="1"/>
  <c r="A95" i="207" s="1"/>
  <c r="A96" i="207" s="1"/>
  <c r="A97" i="207" s="1"/>
  <c r="A98" i="207" s="1"/>
  <c r="A99" i="207" s="1"/>
  <c r="A100" i="207" s="1"/>
  <c r="A101" i="207" s="1"/>
  <c r="A102" i="207" s="1"/>
  <c r="A103" i="207" s="1"/>
  <c r="A104" i="207" s="1"/>
  <c r="A105" i="207" s="1"/>
  <c r="A106" i="207" s="1"/>
  <c r="A107" i="207" s="1"/>
  <c r="A108" i="207" s="1"/>
  <c r="A109" i="207" s="1"/>
  <c r="A110" i="207" s="1"/>
  <c r="A111" i="207" s="1"/>
  <c r="A112" i="207" s="1"/>
  <c r="A113" i="207" s="1"/>
  <c r="A114" i="207" s="1"/>
  <c r="A115" i="207" s="1"/>
  <c r="A116" i="207" s="1"/>
  <c r="A117" i="207" s="1"/>
  <c r="A118" i="207" s="1"/>
  <c r="A119" i="207" s="1"/>
  <c r="A120" i="207" s="1"/>
  <c r="A121" i="207" s="1"/>
  <c r="A122" i="207" s="1"/>
  <c r="A123" i="207" s="1"/>
  <c r="A124" i="207" s="1"/>
  <c r="A125" i="207" s="1"/>
  <c r="A126" i="207" s="1"/>
  <c r="A127" i="207" s="1"/>
  <c r="A128" i="207" s="1"/>
  <c r="A129" i="207" s="1"/>
  <c r="A130" i="207" s="1"/>
  <c r="A131" i="207" s="1"/>
  <c r="A132" i="207" s="1"/>
  <c r="A133" i="207" s="1"/>
  <c r="A134" i="207" s="1"/>
  <c r="A135" i="207" s="1"/>
  <c r="A136" i="207" s="1"/>
  <c r="A137" i="207" s="1"/>
  <c r="A138" i="207" s="1"/>
  <c r="A139" i="207" s="1"/>
  <c r="A140" i="207" s="1"/>
  <c r="A141" i="207" s="1"/>
  <c r="A142" i="207" s="1"/>
  <c r="A143" i="207" s="1"/>
  <c r="A144" i="207" s="1"/>
  <c r="A145" i="207" s="1"/>
  <c r="A146" i="207" s="1"/>
  <c r="A147" i="207" s="1"/>
  <c r="A148" i="207" s="1"/>
  <c r="A149" i="207" s="1"/>
  <c r="A150" i="207" s="1"/>
  <c r="A151" i="207" s="1"/>
  <c r="A152" i="207" s="1"/>
  <c r="A153" i="207" s="1"/>
  <c r="A154" i="207" s="1"/>
  <c r="A155" i="207" s="1"/>
  <c r="A156" i="207" s="1"/>
  <c r="A157" i="207" s="1"/>
  <c r="A158" i="207" s="1"/>
  <c r="A159" i="207" s="1"/>
  <c r="A160" i="207" s="1"/>
  <c r="A161" i="207" s="1"/>
  <c r="A162" i="207" s="1"/>
  <c r="A163" i="207" s="1"/>
  <c r="A164" i="207" s="1"/>
  <c r="A165" i="207" s="1"/>
  <c r="A166" i="207" s="1"/>
  <c r="A167" i="207" s="1"/>
  <c r="A168" i="207" s="1"/>
  <c r="A169" i="207" s="1"/>
  <c r="A170" i="207" s="1"/>
  <c r="A171" i="207" s="1"/>
  <c r="A172" i="207" s="1"/>
  <c r="A173" i="207" s="1"/>
  <c r="A174" i="207" s="1"/>
  <c r="A175" i="207" s="1"/>
  <c r="A176" i="207" s="1"/>
  <c r="A177" i="207" s="1"/>
  <c r="A178" i="207" s="1"/>
  <c r="A179" i="207" s="1"/>
  <c r="A180" i="207" s="1"/>
  <c r="A181" i="207" s="1"/>
  <c r="A182" i="207" s="1"/>
  <c r="A183" i="207" s="1"/>
  <c r="A184" i="207" s="1"/>
  <c r="A185" i="207" s="1"/>
  <c r="A186" i="207" s="1"/>
  <c r="A187" i="207" s="1"/>
  <c r="A188" i="207" s="1"/>
  <c r="A189" i="207" s="1"/>
  <c r="A190" i="207" s="1"/>
  <c r="A191" i="207" s="1"/>
  <c r="A192" i="207" s="1"/>
  <c r="A193" i="207" s="1"/>
  <c r="A194" i="207" s="1"/>
  <c r="A195" i="207" s="1"/>
  <c r="A196" i="207" s="1"/>
  <c r="A197" i="207" s="1"/>
  <c r="A198" i="207" s="1"/>
  <c r="A199" i="207" s="1"/>
  <c r="A200" i="207" s="1"/>
  <c r="A201" i="207" s="1"/>
  <c r="A202" i="207" s="1"/>
  <c r="A203" i="207" s="1"/>
  <c r="A204" i="207" s="1"/>
  <c r="N5" i="207"/>
  <c r="I5" i="207"/>
  <c r="N204" i="206"/>
  <c r="I204" i="206"/>
  <c r="Q204" i="206" s="1"/>
  <c r="N203" i="206"/>
  <c r="I203" i="206"/>
  <c r="N202" i="206"/>
  <c r="I202" i="206"/>
  <c r="N201" i="206"/>
  <c r="I201" i="206"/>
  <c r="Q201" i="206" s="1"/>
  <c r="N200" i="206"/>
  <c r="I200" i="206"/>
  <c r="Q200" i="206" s="1"/>
  <c r="N199" i="206"/>
  <c r="I199" i="206"/>
  <c r="N198" i="206"/>
  <c r="I198" i="206"/>
  <c r="Q198" i="206" s="1"/>
  <c r="N197" i="206"/>
  <c r="I197" i="206"/>
  <c r="N196" i="206"/>
  <c r="I196" i="206"/>
  <c r="N195" i="206"/>
  <c r="I195" i="206"/>
  <c r="Q195" i="206" s="1"/>
  <c r="N194" i="206"/>
  <c r="I194" i="206"/>
  <c r="Q194" i="206" s="1"/>
  <c r="N193" i="206"/>
  <c r="I193" i="206"/>
  <c r="N192" i="206"/>
  <c r="I192" i="206"/>
  <c r="Q192" i="206" s="1"/>
  <c r="N191" i="206"/>
  <c r="I191" i="206"/>
  <c r="N190" i="206"/>
  <c r="I190" i="206"/>
  <c r="N189" i="206"/>
  <c r="I189" i="206"/>
  <c r="Q189" i="206" s="1"/>
  <c r="N188" i="206"/>
  <c r="I188" i="206"/>
  <c r="Q188" i="206" s="1"/>
  <c r="N187" i="206"/>
  <c r="I187" i="206"/>
  <c r="N186" i="206"/>
  <c r="I186" i="206"/>
  <c r="Q186" i="206" s="1"/>
  <c r="N185" i="206"/>
  <c r="I185" i="206"/>
  <c r="N184" i="206"/>
  <c r="I184" i="206"/>
  <c r="N183" i="206"/>
  <c r="I183" i="206"/>
  <c r="Q183" i="206" s="1"/>
  <c r="N182" i="206"/>
  <c r="I182" i="206"/>
  <c r="Q182" i="206" s="1"/>
  <c r="N181" i="206"/>
  <c r="I181" i="206"/>
  <c r="N180" i="206"/>
  <c r="I180" i="206"/>
  <c r="Q180" i="206" s="1"/>
  <c r="N179" i="206"/>
  <c r="I179" i="206"/>
  <c r="N178" i="206"/>
  <c r="I178" i="206"/>
  <c r="N177" i="206"/>
  <c r="I177" i="206"/>
  <c r="Q177" i="206" s="1"/>
  <c r="N176" i="206"/>
  <c r="I176" i="206"/>
  <c r="Q176" i="206" s="1"/>
  <c r="N175" i="206"/>
  <c r="I175" i="206"/>
  <c r="N174" i="206"/>
  <c r="I174" i="206"/>
  <c r="Q174" i="206" s="1"/>
  <c r="N173" i="206"/>
  <c r="I173" i="206"/>
  <c r="N172" i="206"/>
  <c r="I172" i="206"/>
  <c r="N171" i="206"/>
  <c r="I171" i="206"/>
  <c r="Q171" i="206" s="1"/>
  <c r="N170" i="206"/>
  <c r="I170" i="206"/>
  <c r="Q170" i="206" s="1"/>
  <c r="N169" i="206"/>
  <c r="I169" i="206"/>
  <c r="N168" i="206"/>
  <c r="I168" i="206"/>
  <c r="Q168" i="206" s="1"/>
  <c r="N167" i="206"/>
  <c r="I167" i="206"/>
  <c r="N166" i="206"/>
  <c r="I166" i="206"/>
  <c r="N165" i="206"/>
  <c r="I165" i="206"/>
  <c r="Q165" i="206" s="1"/>
  <c r="N164" i="206"/>
  <c r="I164" i="206"/>
  <c r="Q164" i="206" s="1"/>
  <c r="N163" i="206"/>
  <c r="I163" i="206"/>
  <c r="N162" i="206"/>
  <c r="I162" i="206"/>
  <c r="Q162" i="206" s="1"/>
  <c r="N161" i="206"/>
  <c r="I161" i="206"/>
  <c r="N160" i="206"/>
  <c r="I160" i="206"/>
  <c r="N159" i="206"/>
  <c r="I159" i="206"/>
  <c r="Q159" i="206" s="1"/>
  <c r="N158" i="206"/>
  <c r="I158" i="206"/>
  <c r="Q158" i="206" s="1"/>
  <c r="N157" i="206"/>
  <c r="I157" i="206"/>
  <c r="N156" i="206"/>
  <c r="I156" i="206"/>
  <c r="Q156" i="206" s="1"/>
  <c r="N155" i="206"/>
  <c r="I155" i="206"/>
  <c r="N154" i="206"/>
  <c r="I154" i="206"/>
  <c r="N153" i="206"/>
  <c r="I153" i="206"/>
  <c r="Q153" i="206" s="1"/>
  <c r="N152" i="206"/>
  <c r="I152" i="206"/>
  <c r="Q152" i="206" s="1"/>
  <c r="N151" i="206"/>
  <c r="I151" i="206"/>
  <c r="N150" i="206"/>
  <c r="I150" i="206"/>
  <c r="Q150" i="206" s="1"/>
  <c r="N149" i="206"/>
  <c r="I149" i="206"/>
  <c r="N148" i="206"/>
  <c r="I148" i="206"/>
  <c r="N147" i="206"/>
  <c r="I147" i="206"/>
  <c r="Q147" i="206" s="1"/>
  <c r="N146" i="206"/>
  <c r="I146" i="206"/>
  <c r="Q146" i="206" s="1"/>
  <c r="N145" i="206"/>
  <c r="I145" i="206"/>
  <c r="N144" i="206"/>
  <c r="I144" i="206"/>
  <c r="Q144" i="206" s="1"/>
  <c r="N143" i="206"/>
  <c r="I143" i="206"/>
  <c r="N142" i="206"/>
  <c r="I142" i="206"/>
  <c r="N141" i="206"/>
  <c r="I141" i="206"/>
  <c r="Q141" i="206" s="1"/>
  <c r="N140" i="206"/>
  <c r="I140" i="206"/>
  <c r="Q140" i="206" s="1"/>
  <c r="N139" i="206"/>
  <c r="I139" i="206"/>
  <c r="N138" i="206"/>
  <c r="I138" i="206"/>
  <c r="Q138" i="206" s="1"/>
  <c r="N137" i="206"/>
  <c r="I137" i="206"/>
  <c r="N136" i="206"/>
  <c r="I136" i="206"/>
  <c r="N135" i="206"/>
  <c r="I135" i="206"/>
  <c r="Q135" i="206" s="1"/>
  <c r="N134" i="206"/>
  <c r="I134" i="206"/>
  <c r="Q134" i="206" s="1"/>
  <c r="N133" i="206"/>
  <c r="I133" i="206"/>
  <c r="N132" i="206"/>
  <c r="I132" i="206"/>
  <c r="Q132" i="206" s="1"/>
  <c r="N131" i="206"/>
  <c r="I131" i="206"/>
  <c r="N130" i="206"/>
  <c r="I130" i="206"/>
  <c r="N129" i="206"/>
  <c r="I129" i="206"/>
  <c r="Q129" i="206" s="1"/>
  <c r="N128" i="206"/>
  <c r="I128" i="206"/>
  <c r="Q128" i="206" s="1"/>
  <c r="N127" i="206"/>
  <c r="I127" i="206"/>
  <c r="N126" i="206"/>
  <c r="I126" i="206"/>
  <c r="Q126" i="206" s="1"/>
  <c r="N125" i="206"/>
  <c r="I125" i="206"/>
  <c r="N124" i="206"/>
  <c r="I124" i="206"/>
  <c r="N123" i="206"/>
  <c r="I123" i="206"/>
  <c r="Q123" i="206" s="1"/>
  <c r="N122" i="206"/>
  <c r="I122" i="206"/>
  <c r="Q122" i="206" s="1"/>
  <c r="N121" i="206"/>
  <c r="I121" i="206"/>
  <c r="N120" i="206"/>
  <c r="I120" i="206"/>
  <c r="Q120" i="206" s="1"/>
  <c r="N119" i="206"/>
  <c r="I119" i="206"/>
  <c r="N118" i="206"/>
  <c r="I118" i="206"/>
  <c r="N117" i="206"/>
  <c r="I117" i="206"/>
  <c r="Q117" i="206" s="1"/>
  <c r="N116" i="206"/>
  <c r="I116" i="206"/>
  <c r="Q116" i="206" s="1"/>
  <c r="N115" i="206"/>
  <c r="I115" i="206"/>
  <c r="N114" i="206"/>
  <c r="I114" i="206"/>
  <c r="Q114" i="206" s="1"/>
  <c r="N113" i="206"/>
  <c r="I113" i="206"/>
  <c r="N112" i="206"/>
  <c r="I112" i="206"/>
  <c r="N111" i="206"/>
  <c r="I111" i="206"/>
  <c r="Q111" i="206" s="1"/>
  <c r="N110" i="206"/>
  <c r="I110" i="206"/>
  <c r="Q110" i="206" s="1"/>
  <c r="N109" i="206"/>
  <c r="I109" i="206"/>
  <c r="N108" i="206"/>
  <c r="I108" i="206"/>
  <c r="Q108" i="206" s="1"/>
  <c r="N107" i="206"/>
  <c r="I107" i="206"/>
  <c r="N106" i="206"/>
  <c r="I106" i="206"/>
  <c r="N105" i="206"/>
  <c r="I105" i="206"/>
  <c r="Q105" i="206" s="1"/>
  <c r="N104" i="206"/>
  <c r="I104" i="206"/>
  <c r="Q104" i="206" s="1"/>
  <c r="N103" i="206"/>
  <c r="I103" i="206"/>
  <c r="N102" i="206"/>
  <c r="I102" i="206"/>
  <c r="Q102" i="206" s="1"/>
  <c r="N101" i="206"/>
  <c r="I101" i="206"/>
  <c r="N100" i="206"/>
  <c r="I100" i="206"/>
  <c r="N99" i="206"/>
  <c r="I99" i="206"/>
  <c r="Q99" i="206" s="1"/>
  <c r="N98" i="206"/>
  <c r="I98" i="206"/>
  <c r="Q98" i="206" s="1"/>
  <c r="N97" i="206"/>
  <c r="I97" i="206"/>
  <c r="N96" i="206"/>
  <c r="I96" i="206"/>
  <c r="Q96" i="206" s="1"/>
  <c r="N95" i="206"/>
  <c r="I95" i="206"/>
  <c r="N94" i="206"/>
  <c r="I94" i="206"/>
  <c r="N93" i="206"/>
  <c r="I93" i="206"/>
  <c r="Q93" i="206" s="1"/>
  <c r="N92" i="206"/>
  <c r="I92" i="206"/>
  <c r="Q92" i="206" s="1"/>
  <c r="N91" i="206"/>
  <c r="I91" i="206"/>
  <c r="N90" i="206"/>
  <c r="I90" i="206"/>
  <c r="Q90" i="206" s="1"/>
  <c r="N89" i="206"/>
  <c r="I89" i="206"/>
  <c r="N88" i="206"/>
  <c r="I88" i="206"/>
  <c r="N87" i="206"/>
  <c r="I87" i="206"/>
  <c r="Q87" i="206" s="1"/>
  <c r="N86" i="206"/>
  <c r="I86" i="206"/>
  <c r="Q86" i="206" s="1"/>
  <c r="N85" i="206"/>
  <c r="I85" i="206"/>
  <c r="N84" i="206"/>
  <c r="I84" i="206"/>
  <c r="Q84" i="206" s="1"/>
  <c r="N83" i="206"/>
  <c r="I83" i="206"/>
  <c r="N82" i="206"/>
  <c r="I82" i="206"/>
  <c r="N81" i="206"/>
  <c r="I81" i="206"/>
  <c r="Q81" i="206" s="1"/>
  <c r="N80" i="206"/>
  <c r="I80" i="206"/>
  <c r="Q80" i="206" s="1"/>
  <c r="N79" i="206"/>
  <c r="I79" i="206"/>
  <c r="N78" i="206"/>
  <c r="I78" i="206"/>
  <c r="Q78" i="206" s="1"/>
  <c r="N77" i="206"/>
  <c r="I77" i="206"/>
  <c r="N76" i="206"/>
  <c r="I76" i="206"/>
  <c r="N75" i="206"/>
  <c r="I75" i="206"/>
  <c r="Q75" i="206" s="1"/>
  <c r="N74" i="206"/>
  <c r="I74" i="206"/>
  <c r="Q74" i="206" s="1"/>
  <c r="N73" i="206"/>
  <c r="I73" i="206"/>
  <c r="N72" i="206"/>
  <c r="I72" i="206"/>
  <c r="Q72" i="206" s="1"/>
  <c r="N71" i="206"/>
  <c r="I71" i="206"/>
  <c r="N70" i="206"/>
  <c r="I70" i="206"/>
  <c r="N69" i="206"/>
  <c r="I69" i="206"/>
  <c r="Q69" i="206" s="1"/>
  <c r="N68" i="206"/>
  <c r="I68" i="206"/>
  <c r="Q68" i="206" s="1"/>
  <c r="N67" i="206"/>
  <c r="I67" i="206"/>
  <c r="N66" i="206"/>
  <c r="I66" i="206"/>
  <c r="Q66" i="206" s="1"/>
  <c r="N65" i="206"/>
  <c r="I65" i="206"/>
  <c r="N64" i="206"/>
  <c r="I64" i="206"/>
  <c r="N63" i="206"/>
  <c r="I63" i="206"/>
  <c r="Q63" i="206" s="1"/>
  <c r="N62" i="206"/>
  <c r="I62" i="206"/>
  <c r="Q62" i="206" s="1"/>
  <c r="N61" i="206"/>
  <c r="I61" i="206"/>
  <c r="N60" i="206"/>
  <c r="I60" i="206"/>
  <c r="Q60" i="206" s="1"/>
  <c r="N59" i="206"/>
  <c r="I59" i="206"/>
  <c r="N58" i="206"/>
  <c r="I58" i="206"/>
  <c r="N57" i="206"/>
  <c r="I57" i="206"/>
  <c r="Q57" i="206" s="1"/>
  <c r="N56" i="206"/>
  <c r="I56" i="206"/>
  <c r="Q56" i="206" s="1"/>
  <c r="N55" i="206"/>
  <c r="I55" i="206"/>
  <c r="N54" i="206"/>
  <c r="I54" i="206"/>
  <c r="Q54" i="206" s="1"/>
  <c r="N53" i="206"/>
  <c r="I53" i="206"/>
  <c r="N52" i="206"/>
  <c r="I52" i="206"/>
  <c r="N51" i="206"/>
  <c r="I51" i="206"/>
  <c r="Q51" i="206" s="1"/>
  <c r="N50" i="206"/>
  <c r="I50" i="206"/>
  <c r="Q50" i="206" s="1"/>
  <c r="N49" i="206"/>
  <c r="I49" i="206"/>
  <c r="N48" i="206"/>
  <c r="I48" i="206"/>
  <c r="Q48" i="206" s="1"/>
  <c r="N47" i="206"/>
  <c r="I47" i="206"/>
  <c r="N46" i="206"/>
  <c r="I46" i="206"/>
  <c r="N45" i="206"/>
  <c r="I45" i="206"/>
  <c r="Q45" i="206" s="1"/>
  <c r="N44" i="206"/>
  <c r="I44" i="206"/>
  <c r="Q44" i="206" s="1"/>
  <c r="N43" i="206"/>
  <c r="I43" i="206"/>
  <c r="N42" i="206"/>
  <c r="I42" i="206"/>
  <c r="Q42" i="206" s="1"/>
  <c r="N41" i="206"/>
  <c r="I41" i="206"/>
  <c r="N40" i="206"/>
  <c r="I40" i="206"/>
  <c r="N39" i="206"/>
  <c r="I39" i="206"/>
  <c r="Q39" i="206" s="1"/>
  <c r="N38" i="206"/>
  <c r="I38" i="206"/>
  <c r="Q38" i="206" s="1"/>
  <c r="N37" i="206"/>
  <c r="I37" i="206"/>
  <c r="N36" i="206"/>
  <c r="I36" i="206"/>
  <c r="Q36" i="206" s="1"/>
  <c r="N35" i="206"/>
  <c r="I35" i="206"/>
  <c r="N34" i="206"/>
  <c r="I34" i="206"/>
  <c r="N33" i="206"/>
  <c r="I33" i="206"/>
  <c r="Q33" i="206" s="1"/>
  <c r="N32" i="206"/>
  <c r="I32" i="206"/>
  <c r="Q32" i="206" s="1"/>
  <c r="N31" i="206"/>
  <c r="I31" i="206"/>
  <c r="N30" i="206"/>
  <c r="I30" i="206"/>
  <c r="Q30" i="206" s="1"/>
  <c r="N29" i="206"/>
  <c r="I29" i="206"/>
  <c r="N28" i="206"/>
  <c r="I28" i="206"/>
  <c r="N27" i="206"/>
  <c r="I27" i="206"/>
  <c r="Q27" i="206" s="1"/>
  <c r="N26" i="206"/>
  <c r="I26" i="206"/>
  <c r="Q26" i="206" s="1"/>
  <c r="N25" i="206"/>
  <c r="I25" i="206"/>
  <c r="N24" i="206"/>
  <c r="I24" i="206"/>
  <c r="Q24" i="206" s="1"/>
  <c r="N23" i="206"/>
  <c r="I23" i="206"/>
  <c r="N22" i="206"/>
  <c r="I22" i="206"/>
  <c r="N21" i="206"/>
  <c r="I21" i="206"/>
  <c r="Q21" i="206" s="1"/>
  <c r="N20" i="206"/>
  <c r="I20" i="206"/>
  <c r="Q20" i="206" s="1"/>
  <c r="N19" i="206"/>
  <c r="I19" i="206"/>
  <c r="N18" i="206"/>
  <c r="I18" i="206"/>
  <c r="Q18" i="206" s="1"/>
  <c r="N17" i="206"/>
  <c r="I17" i="206"/>
  <c r="N16" i="206"/>
  <c r="I16" i="206"/>
  <c r="N15" i="206"/>
  <c r="I15" i="206"/>
  <c r="Q15" i="206" s="1"/>
  <c r="N14" i="206"/>
  <c r="I14" i="206"/>
  <c r="Q14" i="206" s="1"/>
  <c r="N13" i="206"/>
  <c r="I13" i="206"/>
  <c r="N12" i="206"/>
  <c r="I12" i="206"/>
  <c r="Q12" i="206" s="1"/>
  <c r="N11" i="206"/>
  <c r="I11" i="206"/>
  <c r="Q11" i="206" s="1"/>
  <c r="N10" i="206"/>
  <c r="I10" i="206"/>
  <c r="N9" i="206"/>
  <c r="I9" i="206"/>
  <c r="Q9" i="206" s="1"/>
  <c r="N8" i="206"/>
  <c r="I8" i="206"/>
  <c r="Q8" i="206" s="1"/>
  <c r="N7" i="206"/>
  <c r="I7" i="206"/>
  <c r="N6" i="206"/>
  <c r="I6" i="206"/>
  <c r="Q6" i="206" s="1"/>
  <c r="A6" i="206"/>
  <c r="A7" i="206" s="1"/>
  <c r="A8" i="206" s="1"/>
  <c r="A9" i="206" s="1"/>
  <c r="A10" i="206" s="1"/>
  <c r="A11" i="206" s="1"/>
  <c r="A12" i="206" s="1"/>
  <c r="A13" i="206" s="1"/>
  <c r="A14" i="206" s="1"/>
  <c r="A15" i="206" s="1"/>
  <c r="A16" i="206" s="1"/>
  <c r="A17" i="206" s="1"/>
  <c r="A18" i="206" s="1"/>
  <c r="A19" i="206" s="1"/>
  <c r="A20" i="206" s="1"/>
  <c r="A21" i="206" s="1"/>
  <c r="A22" i="206" s="1"/>
  <c r="A23" i="206" s="1"/>
  <c r="A24" i="206" s="1"/>
  <c r="A25" i="206" s="1"/>
  <c r="A26" i="206" s="1"/>
  <c r="A27" i="206" s="1"/>
  <c r="A28" i="206" s="1"/>
  <c r="A29" i="206" s="1"/>
  <c r="A30" i="206" s="1"/>
  <c r="A31" i="206" s="1"/>
  <c r="A32" i="206" s="1"/>
  <c r="A33" i="206" s="1"/>
  <c r="A34" i="206" s="1"/>
  <c r="A35" i="206" s="1"/>
  <c r="A36" i="206" s="1"/>
  <c r="A37" i="206" s="1"/>
  <c r="A38" i="206" s="1"/>
  <c r="A39" i="206" s="1"/>
  <c r="A40" i="206" s="1"/>
  <c r="A41" i="206" s="1"/>
  <c r="A42" i="206" s="1"/>
  <c r="A43" i="206" s="1"/>
  <c r="A44" i="206" s="1"/>
  <c r="A45" i="206" s="1"/>
  <c r="A46" i="206" s="1"/>
  <c r="A47" i="206" s="1"/>
  <c r="A48" i="206" s="1"/>
  <c r="A49" i="206" s="1"/>
  <c r="A50" i="206" s="1"/>
  <c r="A51" i="206" s="1"/>
  <c r="A52" i="206" s="1"/>
  <c r="A53" i="206" s="1"/>
  <c r="A54" i="206" s="1"/>
  <c r="A55" i="206" s="1"/>
  <c r="A56" i="206" s="1"/>
  <c r="A57" i="206" s="1"/>
  <c r="A58" i="206" s="1"/>
  <c r="A59" i="206" s="1"/>
  <c r="A60" i="206" s="1"/>
  <c r="A61" i="206" s="1"/>
  <c r="A62" i="206" s="1"/>
  <c r="A63" i="206" s="1"/>
  <c r="A64" i="206" s="1"/>
  <c r="A65" i="206" s="1"/>
  <c r="A66" i="206" s="1"/>
  <c r="A67" i="206" s="1"/>
  <c r="A68" i="206" s="1"/>
  <c r="A69" i="206" s="1"/>
  <c r="A70" i="206" s="1"/>
  <c r="A71" i="206" s="1"/>
  <c r="A72" i="206" s="1"/>
  <c r="A73" i="206" s="1"/>
  <c r="A74" i="206" s="1"/>
  <c r="A75" i="206" s="1"/>
  <c r="A76" i="206" s="1"/>
  <c r="A77" i="206" s="1"/>
  <c r="A78" i="206" s="1"/>
  <c r="A79" i="206" s="1"/>
  <c r="A80" i="206" s="1"/>
  <c r="A81" i="206" s="1"/>
  <c r="A82" i="206" s="1"/>
  <c r="A83" i="206" s="1"/>
  <c r="A84" i="206" s="1"/>
  <c r="A85" i="206" s="1"/>
  <c r="A86" i="206" s="1"/>
  <c r="A87" i="206" s="1"/>
  <c r="A88" i="206" s="1"/>
  <c r="A89" i="206" s="1"/>
  <c r="A90" i="206" s="1"/>
  <c r="A91" i="206" s="1"/>
  <c r="A92" i="206" s="1"/>
  <c r="A93" i="206" s="1"/>
  <c r="A94" i="206" s="1"/>
  <c r="A95" i="206" s="1"/>
  <c r="A96" i="206" s="1"/>
  <c r="A97" i="206" s="1"/>
  <c r="A98" i="206" s="1"/>
  <c r="A99" i="206" s="1"/>
  <c r="A100" i="206" s="1"/>
  <c r="A101" i="206" s="1"/>
  <c r="A102" i="206" s="1"/>
  <c r="A103" i="206" s="1"/>
  <c r="A104" i="206" s="1"/>
  <c r="A105" i="206" s="1"/>
  <c r="A106" i="206" s="1"/>
  <c r="A107" i="206" s="1"/>
  <c r="A108" i="206" s="1"/>
  <c r="A109" i="206" s="1"/>
  <c r="A110" i="206" s="1"/>
  <c r="A111" i="206" s="1"/>
  <c r="A112" i="206" s="1"/>
  <c r="A113" i="206" s="1"/>
  <c r="A114" i="206" s="1"/>
  <c r="A115" i="206" s="1"/>
  <c r="A116" i="206" s="1"/>
  <c r="A117" i="206" s="1"/>
  <c r="A118" i="206" s="1"/>
  <c r="A119" i="206" s="1"/>
  <c r="A120" i="206" s="1"/>
  <c r="A121" i="206" s="1"/>
  <c r="A122" i="206" s="1"/>
  <c r="A123" i="206" s="1"/>
  <c r="A124" i="206" s="1"/>
  <c r="A125" i="206" s="1"/>
  <c r="A126" i="206" s="1"/>
  <c r="A127" i="206" s="1"/>
  <c r="A128" i="206" s="1"/>
  <c r="A129" i="206" s="1"/>
  <c r="A130" i="206" s="1"/>
  <c r="A131" i="206" s="1"/>
  <c r="A132" i="206" s="1"/>
  <c r="A133" i="206" s="1"/>
  <c r="A134" i="206" s="1"/>
  <c r="A135" i="206" s="1"/>
  <c r="A136" i="206" s="1"/>
  <c r="A137" i="206" s="1"/>
  <c r="A138" i="206" s="1"/>
  <c r="A139" i="206" s="1"/>
  <c r="A140" i="206" s="1"/>
  <c r="A141" i="206" s="1"/>
  <c r="A142" i="206" s="1"/>
  <c r="A143" i="206" s="1"/>
  <c r="A144" i="206" s="1"/>
  <c r="A145" i="206" s="1"/>
  <c r="A146" i="206" s="1"/>
  <c r="A147" i="206" s="1"/>
  <c r="A148" i="206" s="1"/>
  <c r="A149" i="206" s="1"/>
  <c r="A150" i="206" s="1"/>
  <c r="A151" i="206" s="1"/>
  <c r="A152" i="206" s="1"/>
  <c r="A153" i="206" s="1"/>
  <c r="A154" i="206" s="1"/>
  <c r="A155" i="206" s="1"/>
  <c r="A156" i="206" s="1"/>
  <c r="A157" i="206" s="1"/>
  <c r="A158" i="206" s="1"/>
  <c r="A159" i="206" s="1"/>
  <c r="A160" i="206" s="1"/>
  <c r="A161" i="206" s="1"/>
  <c r="A162" i="206" s="1"/>
  <c r="A163" i="206" s="1"/>
  <c r="A164" i="206" s="1"/>
  <c r="A165" i="206" s="1"/>
  <c r="A166" i="206" s="1"/>
  <c r="A167" i="206" s="1"/>
  <c r="A168" i="206" s="1"/>
  <c r="A169" i="206" s="1"/>
  <c r="A170" i="206" s="1"/>
  <c r="A171" i="206" s="1"/>
  <c r="A172" i="206" s="1"/>
  <c r="A173" i="206" s="1"/>
  <c r="A174" i="206" s="1"/>
  <c r="A175" i="206" s="1"/>
  <c r="A176" i="206" s="1"/>
  <c r="A177" i="206" s="1"/>
  <c r="A178" i="206" s="1"/>
  <c r="A179" i="206" s="1"/>
  <c r="A180" i="206" s="1"/>
  <c r="A181" i="206" s="1"/>
  <c r="A182" i="206" s="1"/>
  <c r="A183" i="206" s="1"/>
  <c r="A184" i="206" s="1"/>
  <c r="A185" i="206" s="1"/>
  <c r="A186" i="206" s="1"/>
  <c r="A187" i="206" s="1"/>
  <c r="A188" i="206" s="1"/>
  <c r="A189" i="206" s="1"/>
  <c r="A190" i="206" s="1"/>
  <c r="A191" i="206" s="1"/>
  <c r="A192" i="206" s="1"/>
  <c r="A193" i="206" s="1"/>
  <c r="A194" i="206" s="1"/>
  <c r="A195" i="206" s="1"/>
  <c r="A196" i="206" s="1"/>
  <c r="A197" i="206" s="1"/>
  <c r="A198" i="206" s="1"/>
  <c r="A199" i="206" s="1"/>
  <c r="A200" i="206" s="1"/>
  <c r="A201" i="206" s="1"/>
  <c r="A202" i="206" s="1"/>
  <c r="A203" i="206" s="1"/>
  <c r="A204" i="206" s="1"/>
  <c r="N5" i="206"/>
  <c r="I5" i="206"/>
  <c r="Q5" i="206" s="1"/>
  <c r="B3" i="204"/>
  <c r="Q10" i="207" l="1"/>
  <c r="Q16" i="207"/>
  <c r="Q22" i="207"/>
  <c r="Q28" i="207"/>
  <c r="Q34" i="207"/>
  <c r="Q40" i="207"/>
  <c r="Q46" i="207"/>
  <c r="Q52" i="207"/>
  <c r="Q58" i="207"/>
  <c r="Q64" i="207"/>
  <c r="Q70" i="207"/>
  <c r="Q76" i="207"/>
  <c r="Q82" i="207"/>
  <c r="Q88" i="207"/>
  <c r="Q94" i="207"/>
  <c r="Q100" i="207"/>
  <c r="Q106" i="207"/>
  <c r="Q112" i="207"/>
  <c r="Q118" i="207"/>
  <c r="Q124" i="207"/>
  <c r="Q130" i="207"/>
  <c r="Q136" i="207"/>
  <c r="Q142" i="207"/>
  <c r="Q148" i="207"/>
  <c r="Q154" i="207"/>
  <c r="Q160" i="207"/>
  <c r="Q166" i="207"/>
  <c r="Q172" i="207"/>
  <c r="Q178" i="207"/>
  <c r="Q184" i="207"/>
  <c r="Q190" i="207"/>
  <c r="Q196" i="207"/>
  <c r="Q202" i="207"/>
  <c r="N206" i="209"/>
  <c r="Q7" i="206"/>
  <c r="Q13" i="206"/>
  <c r="Q19" i="206"/>
  <c r="Q25" i="206"/>
  <c r="Q31" i="206"/>
  <c r="Q37" i="206"/>
  <c r="Q43" i="206"/>
  <c r="Q49" i="206"/>
  <c r="Q55" i="206"/>
  <c r="Q61" i="206"/>
  <c r="Q67" i="206"/>
  <c r="Q73" i="206"/>
  <c r="Q79" i="206"/>
  <c r="Q85" i="206"/>
  <c r="Q91" i="206"/>
  <c r="Q97" i="206"/>
  <c r="Q103" i="206"/>
  <c r="Q109" i="206"/>
  <c r="Q115" i="206"/>
  <c r="Q121" i="206"/>
  <c r="Q127" i="206"/>
  <c r="Q133" i="206"/>
  <c r="Q139" i="206"/>
  <c r="Q145" i="206"/>
  <c r="Q151" i="206"/>
  <c r="Q157" i="206"/>
  <c r="Q163" i="206"/>
  <c r="Q169" i="206"/>
  <c r="Q175" i="206"/>
  <c r="Q181" i="206"/>
  <c r="Q187" i="206"/>
  <c r="Q193" i="206"/>
  <c r="Q199" i="206"/>
  <c r="Q5" i="207"/>
  <c r="Q8" i="208"/>
  <c r="Q14" i="208"/>
  <c r="Q20" i="208"/>
  <c r="Q26" i="208"/>
  <c r="Q32" i="208"/>
  <c r="Q38" i="208"/>
  <c r="Q44" i="208"/>
  <c r="Q50" i="208"/>
  <c r="Q56" i="208"/>
  <c r="Q62" i="208"/>
  <c r="Q68" i="208"/>
  <c r="Q74" i="208"/>
  <c r="Q80" i="208"/>
  <c r="Q86" i="208"/>
  <c r="Q92" i="208"/>
  <c r="Q98" i="208"/>
  <c r="Q104" i="208"/>
  <c r="Q110" i="208"/>
  <c r="Q116" i="208"/>
  <c r="Q122" i="208"/>
  <c r="Q128" i="208"/>
  <c r="Q134" i="208"/>
  <c r="Q140" i="208"/>
  <c r="Q146" i="208"/>
  <c r="Q152" i="208"/>
  <c r="Q158" i="208"/>
  <c r="Q164" i="208"/>
  <c r="Q170" i="208"/>
  <c r="Q176" i="208"/>
  <c r="Q182" i="208"/>
  <c r="Q188" i="208"/>
  <c r="Q194" i="208"/>
  <c r="Q200" i="208"/>
  <c r="Q6" i="207"/>
  <c r="Q12" i="207"/>
  <c r="Q18" i="207"/>
  <c r="Q24" i="207"/>
  <c r="Q30" i="207"/>
  <c r="Q36" i="207"/>
  <c r="Q7" i="209"/>
  <c r="Q13" i="209"/>
  <c r="Q19" i="209"/>
  <c r="Q25" i="209"/>
  <c r="Q31" i="209"/>
  <c r="Q37" i="209"/>
  <c r="Q43" i="209"/>
  <c r="Q49" i="209"/>
  <c r="Q55" i="209"/>
  <c r="Q61" i="209"/>
  <c r="Q67" i="209"/>
  <c r="Q73" i="209"/>
  <c r="Q79" i="209"/>
  <c r="Q85" i="209"/>
  <c r="Q91" i="209"/>
  <c r="Q97" i="209"/>
  <c r="Q103" i="209"/>
  <c r="Q109" i="209"/>
  <c r="Q115" i="209"/>
  <c r="Q121" i="209"/>
  <c r="Q127" i="209"/>
  <c r="Q133" i="209"/>
  <c r="Q139" i="209"/>
  <c r="Q145" i="209"/>
  <c r="Q151" i="209"/>
  <c r="Q157" i="209"/>
  <c r="Q163" i="209"/>
  <c r="Q169" i="209"/>
  <c r="Q175" i="209"/>
  <c r="Q181" i="209"/>
  <c r="Q187" i="209"/>
  <c r="Q193" i="209"/>
  <c r="Q199" i="209"/>
  <c r="Q10" i="206"/>
  <c r="Q16" i="206"/>
  <c r="Q22" i="206"/>
  <c r="Q28" i="206"/>
  <c r="Q34" i="206"/>
  <c r="Q40" i="206"/>
  <c r="Q46" i="206"/>
  <c r="Q52" i="206"/>
  <c r="Q58" i="206"/>
  <c r="Q64" i="206"/>
  <c r="Q70" i="206"/>
  <c r="Q76" i="206"/>
  <c r="Q82" i="206"/>
  <c r="Q88" i="206"/>
  <c r="Q94" i="206"/>
  <c r="Q100" i="206"/>
  <c r="Q106" i="206"/>
  <c r="Q112" i="206"/>
  <c r="Q118" i="206"/>
  <c r="Q124" i="206"/>
  <c r="Q130" i="206"/>
  <c r="Q136" i="206"/>
  <c r="Q142" i="206"/>
  <c r="Q148" i="206"/>
  <c r="Q154" i="206"/>
  <c r="Q160" i="206"/>
  <c r="Q166" i="206"/>
  <c r="Q172" i="206"/>
  <c r="Q178" i="206"/>
  <c r="Q184" i="206"/>
  <c r="Q190" i="206"/>
  <c r="Q196" i="206"/>
  <c r="Q202" i="206"/>
  <c r="Q11" i="208"/>
  <c r="Q17" i="208"/>
  <c r="Q23" i="208"/>
  <c r="Q29" i="208"/>
  <c r="Q35" i="208"/>
  <c r="Q41" i="208"/>
  <c r="Q47" i="208"/>
  <c r="Q53" i="208"/>
  <c r="Q59" i="208"/>
  <c r="Q65" i="208"/>
  <c r="Q71" i="208"/>
  <c r="Q77" i="208"/>
  <c r="Q83" i="208"/>
  <c r="Q89" i="208"/>
  <c r="Q95" i="208"/>
  <c r="Q101" i="208"/>
  <c r="Q107" i="208"/>
  <c r="Q113" i="208"/>
  <c r="Q119" i="208"/>
  <c r="Q125" i="208"/>
  <c r="Q131" i="208"/>
  <c r="Q137" i="208"/>
  <c r="Q143" i="208"/>
  <c r="Q149" i="208"/>
  <c r="Q155" i="208"/>
  <c r="Q161" i="208"/>
  <c r="Q167" i="208"/>
  <c r="Q173" i="208"/>
  <c r="Q179" i="208"/>
  <c r="Q185" i="208"/>
  <c r="Q191" i="208"/>
  <c r="Q197" i="208"/>
  <c r="Q203" i="208"/>
  <c r="Q9" i="209"/>
  <c r="Q15" i="209"/>
  <c r="Q21" i="209"/>
  <c r="Q27" i="209"/>
  <c r="Q33" i="209"/>
  <c r="Q39" i="209"/>
  <c r="Q45" i="209"/>
  <c r="Q51" i="209"/>
  <c r="Q57" i="209"/>
  <c r="Q63" i="209"/>
  <c r="Q69" i="209"/>
  <c r="Q75" i="209"/>
  <c r="Q81" i="209"/>
  <c r="Q87" i="209"/>
  <c r="Q93" i="209"/>
  <c r="Q99" i="209"/>
  <c r="Q105" i="209"/>
  <c r="Q111" i="209"/>
  <c r="Q117" i="209"/>
  <c r="Q123" i="209"/>
  <c r="Q129" i="209"/>
  <c r="Q135" i="209"/>
  <c r="Q141" i="209"/>
  <c r="Q147" i="209"/>
  <c r="Q153" i="209"/>
  <c r="Q159" i="209"/>
  <c r="Q165" i="209"/>
  <c r="Q171" i="209"/>
  <c r="Q177" i="209"/>
  <c r="Q183" i="209"/>
  <c r="Q189" i="209"/>
  <c r="Q195" i="209"/>
  <c r="Q201" i="209"/>
  <c r="Q17" i="206"/>
  <c r="Q23" i="206"/>
  <c r="Q29" i="206"/>
  <c r="Q35" i="206"/>
  <c r="Q41" i="206"/>
  <c r="Q47" i="206"/>
  <c r="Q53" i="206"/>
  <c r="Q59" i="206"/>
  <c r="Q65" i="206"/>
  <c r="Q71" i="206"/>
  <c r="Q77" i="206"/>
  <c r="Q83" i="206"/>
  <c r="Q89" i="206"/>
  <c r="Q95" i="206"/>
  <c r="Q101" i="206"/>
  <c r="Q107" i="206"/>
  <c r="Q113" i="206"/>
  <c r="Q119" i="206"/>
  <c r="Q125" i="206"/>
  <c r="Q131" i="206"/>
  <c r="Q137" i="206"/>
  <c r="Q143" i="206"/>
  <c r="Q149" i="206"/>
  <c r="Q155" i="206"/>
  <c r="Q161" i="206"/>
  <c r="Q167" i="206"/>
  <c r="Q173" i="206"/>
  <c r="Q179" i="206"/>
  <c r="Q185" i="206"/>
  <c r="Q191" i="206"/>
  <c r="Q197" i="206"/>
  <c r="Q203" i="206"/>
  <c r="Q6" i="208"/>
  <c r="Q12" i="208"/>
  <c r="Q18" i="208"/>
  <c r="Q24" i="208"/>
  <c r="Q30" i="208"/>
  <c r="Q36" i="208"/>
  <c r="Q42" i="208"/>
  <c r="Q48" i="208"/>
  <c r="Q54" i="208"/>
  <c r="Q60" i="208"/>
  <c r="Q66" i="208"/>
  <c r="Q72" i="208"/>
  <c r="Q78" i="208"/>
  <c r="Q84" i="208"/>
  <c r="Q90" i="208"/>
  <c r="Q96" i="208"/>
  <c r="Q102" i="208"/>
  <c r="Q108" i="208"/>
  <c r="Q114" i="208"/>
  <c r="Q120" i="208"/>
  <c r="Q126" i="208"/>
  <c r="Q132" i="208"/>
  <c r="Q138" i="208"/>
  <c r="Q144" i="208"/>
  <c r="Q150" i="208"/>
  <c r="Q156" i="208"/>
  <c r="Q162" i="208"/>
  <c r="Q168" i="208"/>
  <c r="Q174" i="208"/>
  <c r="Q180" i="208"/>
  <c r="Q186" i="208"/>
  <c r="Q192" i="208"/>
  <c r="Q198" i="208"/>
  <c r="Q204" i="208"/>
  <c r="Q42" i="207"/>
  <c r="Q48" i="207"/>
  <c r="Q54" i="207"/>
  <c r="Q60" i="207"/>
  <c r="Q66" i="207"/>
  <c r="Q72" i="207"/>
  <c r="Q78" i="207"/>
  <c r="Q84" i="207"/>
  <c r="Q90" i="207"/>
  <c r="Q96" i="207"/>
  <c r="Q102" i="207"/>
  <c r="Q108" i="207"/>
  <c r="Q114" i="207"/>
  <c r="Q120" i="207"/>
  <c r="Q126" i="207"/>
  <c r="Q132" i="207"/>
  <c r="Q138" i="207"/>
  <c r="Q144" i="207"/>
  <c r="Q150" i="207"/>
  <c r="Q156" i="207"/>
  <c r="Q162" i="207"/>
  <c r="Q168" i="207"/>
  <c r="Q174" i="207"/>
  <c r="Q180" i="207"/>
  <c r="Q186" i="207"/>
  <c r="Q192" i="207"/>
  <c r="Q198" i="207"/>
  <c r="Q204" i="207"/>
  <c r="H206" i="206"/>
  <c r="B3" i="206"/>
  <c r="B3" i="207" s="1"/>
  <c r="B3" i="208" s="1"/>
  <c r="B3" i="209" s="1"/>
  <c r="I155" i="225"/>
  <c r="H155" i="225"/>
  <c r="I206" i="209"/>
  <c r="Q206" i="209" s="1"/>
  <c r="H206" i="209"/>
  <c r="I206" i="208"/>
  <c r="H206" i="208"/>
  <c r="N206" i="208"/>
  <c r="N206" i="207"/>
  <c r="I206" i="207"/>
  <c r="Q206" i="207" s="1"/>
  <c r="H206" i="207"/>
  <c r="I206" i="206"/>
  <c r="N206" i="206"/>
  <c r="Q206" i="206" l="1"/>
  <c r="Q206" i="208"/>
  <c r="Q207" i="206"/>
  <c r="Q207" i="207"/>
  <c r="Q207" i="209"/>
  <c r="Q207" i="208"/>
  <c r="N204" i="204"/>
  <c r="I204" i="204"/>
  <c r="Q204" i="204" s="1"/>
  <c r="N203" i="204"/>
  <c r="I203" i="204"/>
  <c r="N202" i="204"/>
  <c r="I202" i="204"/>
  <c r="Q202" i="204" s="1"/>
  <c r="N201" i="204"/>
  <c r="I201" i="204"/>
  <c r="Q201" i="204" s="1"/>
  <c r="N200" i="204"/>
  <c r="I200" i="204"/>
  <c r="Q200" i="204" s="1"/>
  <c r="N199" i="204"/>
  <c r="I199" i="204"/>
  <c r="Q199" i="204" s="1"/>
  <c r="N198" i="204"/>
  <c r="I198" i="204"/>
  <c r="Q198" i="204" s="1"/>
  <c r="N197" i="204"/>
  <c r="I197" i="204"/>
  <c r="N196" i="204"/>
  <c r="I196" i="204"/>
  <c r="Q196" i="204" s="1"/>
  <c r="N195" i="204"/>
  <c r="I195" i="204"/>
  <c r="Q195" i="204" s="1"/>
  <c r="N194" i="204"/>
  <c r="I194" i="204"/>
  <c r="Q194" i="204" s="1"/>
  <c r="N193" i="204"/>
  <c r="I193" i="204"/>
  <c r="Q193" i="204" s="1"/>
  <c r="N192" i="204"/>
  <c r="I192" i="204"/>
  <c r="Q192" i="204" s="1"/>
  <c r="N191" i="204"/>
  <c r="I191" i="204"/>
  <c r="N190" i="204"/>
  <c r="I190" i="204"/>
  <c r="Q190" i="204" s="1"/>
  <c r="N189" i="204"/>
  <c r="I189" i="204"/>
  <c r="Q189" i="204" s="1"/>
  <c r="N188" i="204"/>
  <c r="I188" i="204"/>
  <c r="Q188" i="204" s="1"/>
  <c r="N187" i="204"/>
  <c r="I187" i="204"/>
  <c r="Q187" i="204" s="1"/>
  <c r="N186" i="204"/>
  <c r="I186" i="204"/>
  <c r="Q186" i="204" s="1"/>
  <c r="N185" i="204"/>
  <c r="I185" i="204"/>
  <c r="N184" i="204"/>
  <c r="I184" i="204"/>
  <c r="Q184" i="204" s="1"/>
  <c r="N183" i="204"/>
  <c r="I183" i="204"/>
  <c r="Q183" i="204" s="1"/>
  <c r="N182" i="204"/>
  <c r="I182" i="204"/>
  <c r="Q182" i="204" s="1"/>
  <c r="N181" i="204"/>
  <c r="I181" i="204"/>
  <c r="Q181" i="204" s="1"/>
  <c r="N180" i="204"/>
  <c r="I180" i="204"/>
  <c r="Q180" i="204" s="1"/>
  <c r="N179" i="204"/>
  <c r="I179" i="204"/>
  <c r="N178" i="204"/>
  <c r="I178" i="204"/>
  <c r="Q178" i="204" s="1"/>
  <c r="N177" i="204"/>
  <c r="I177" i="204"/>
  <c r="Q177" i="204" s="1"/>
  <c r="N176" i="204"/>
  <c r="I176" i="204"/>
  <c r="Q176" i="204" s="1"/>
  <c r="N175" i="204"/>
  <c r="I175" i="204"/>
  <c r="Q175" i="204" s="1"/>
  <c r="N174" i="204"/>
  <c r="I174" i="204"/>
  <c r="Q174" i="204" s="1"/>
  <c r="N173" i="204"/>
  <c r="I173" i="204"/>
  <c r="N172" i="204"/>
  <c r="I172" i="204"/>
  <c r="Q172" i="204" s="1"/>
  <c r="N171" i="204"/>
  <c r="I171" i="204"/>
  <c r="Q171" i="204" s="1"/>
  <c r="N170" i="204"/>
  <c r="I170" i="204"/>
  <c r="Q170" i="204" s="1"/>
  <c r="N169" i="204"/>
  <c r="I169" i="204"/>
  <c r="Q169" i="204" s="1"/>
  <c r="N168" i="204"/>
  <c r="I168" i="204"/>
  <c r="Q168" i="204" s="1"/>
  <c r="N167" i="204"/>
  <c r="I167" i="204"/>
  <c r="N166" i="204"/>
  <c r="I166" i="204"/>
  <c r="Q166" i="204" s="1"/>
  <c r="N165" i="204"/>
  <c r="I165" i="204"/>
  <c r="Q165" i="204" s="1"/>
  <c r="N164" i="204"/>
  <c r="I164" i="204"/>
  <c r="Q164" i="204" s="1"/>
  <c r="N163" i="204"/>
  <c r="I163" i="204"/>
  <c r="Q163" i="204" s="1"/>
  <c r="N162" i="204"/>
  <c r="I162" i="204"/>
  <c r="Q162" i="204" s="1"/>
  <c r="N161" i="204"/>
  <c r="I161" i="204"/>
  <c r="N160" i="204"/>
  <c r="I160" i="204"/>
  <c r="Q160" i="204" s="1"/>
  <c r="N159" i="204"/>
  <c r="I159" i="204"/>
  <c r="Q159" i="204" s="1"/>
  <c r="N158" i="204"/>
  <c r="I158" i="204"/>
  <c r="Q158" i="204" s="1"/>
  <c r="N157" i="204"/>
  <c r="I157" i="204"/>
  <c r="Q157" i="204" s="1"/>
  <c r="N156" i="204"/>
  <c r="I156" i="204"/>
  <c r="Q156" i="204" s="1"/>
  <c r="N155" i="204"/>
  <c r="I155" i="204"/>
  <c r="N154" i="204"/>
  <c r="I154" i="204"/>
  <c r="Q154" i="204" s="1"/>
  <c r="N153" i="204"/>
  <c r="I153" i="204"/>
  <c r="Q153" i="204" s="1"/>
  <c r="N152" i="204"/>
  <c r="I152" i="204"/>
  <c r="Q152" i="204" s="1"/>
  <c r="N151" i="204"/>
  <c r="I151" i="204"/>
  <c r="Q151" i="204" s="1"/>
  <c r="N150" i="204"/>
  <c r="I150" i="204"/>
  <c r="Q150" i="204" s="1"/>
  <c r="N149" i="204"/>
  <c r="I149" i="204"/>
  <c r="N148" i="204"/>
  <c r="I148" i="204"/>
  <c r="Q148" i="204" s="1"/>
  <c r="N147" i="204"/>
  <c r="I147" i="204"/>
  <c r="Q147" i="204" s="1"/>
  <c r="N146" i="204"/>
  <c r="I146" i="204"/>
  <c r="Q146" i="204" s="1"/>
  <c r="N145" i="204"/>
  <c r="I145" i="204"/>
  <c r="Q145" i="204" s="1"/>
  <c r="N144" i="204"/>
  <c r="I144" i="204"/>
  <c r="Q144" i="204" s="1"/>
  <c r="N143" i="204"/>
  <c r="I143" i="204"/>
  <c r="N142" i="204"/>
  <c r="I142" i="204"/>
  <c r="Q142" i="204" s="1"/>
  <c r="N141" i="204"/>
  <c r="I141" i="204"/>
  <c r="Q141" i="204" s="1"/>
  <c r="N140" i="204"/>
  <c r="I140" i="204"/>
  <c r="Q140" i="204" s="1"/>
  <c r="N139" i="204"/>
  <c r="I139" i="204"/>
  <c r="Q139" i="204" s="1"/>
  <c r="N138" i="204"/>
  <c r="I138" i="204"/>
  <c r="Q138" i="204" s="1"/>
  <c r="N137" i="204"/>
  <c r="I137" i="204"/>
  <c r="N136" i="204"/>
  <c r="I136" i="204"/>
  <c r="Q136" i="204" s="1"/>
  <c r="N135" i="204"/>
  <c r="I135" i="204"/>
  <c r="Q135" i="204" s="1"/>
  <c r="N134" i="204"/>
  <c r="I134" i="204"/>
  <c r="Q134" i="204" s="1"/>
  <c r="N133" i="204"/>
  <c r="I133" i="204"/>
  <c r="Q133" i="204" s="1"/>
  <c r="N132" i="204"/>
  <c r="I132" i="204"/>
  <c r="Q132" i="204" s="1"/>
  <c r="N131" i="204"/>
  <c r="I131" i="204"/>
  <c r="N130" i="204"/>
  <c r="I130" i="204"/>
  <c r="Q130" i="204" s="1"/>
  <c r="N129" i="204"/>
  <c r="I129" i="204"/>
  <c r="Q129" i="204" s="1"/>
  <c r="N128" i="204"/>
  <c r="I128" i="204"/>
  <c r="Q128" i="204" s="1"/>
  <c r="N127" i="204"/>
  <c r="I127" i="204"/>
  <c r="Q127" i="204" s="1"/>
  <c r="N126" i="204"/>
  <c r="I126" i="204"/>
  <c r="Q126" i="204" s="1"/>
  <c r="N125" i="204"/>
  <c r="I125" i="204"/>
  <c r="N124" i="204"/>
  <c r="I124" i="204"/>
  <c r="Q124" i="204" s="1"/>
  <c r="N123" i="204"/>
  <c r="I123" i="204"/>
  <c r="Q123" i="204" s="1"/>
  <c r="N122" i="204"/>
  <c r="I122" i="204"/>
  <c r="Q122" i="204" s="1"/>
  <c r="N121" i="204"/>
  <c r="I121" i="204"/>
  <c r="Q121" i="204" s="1"/>
  <c r="N120" i="204"/>
  <c r="I120" i="204"/>
  <c r="Q120" i="204" s="1"/>
  <c r="N119" i="204"/>
  <c r="I119" i="204"/>
  <c r="N118" i="204"/>
  <c r="I118" i="204"/>
  <c r="Q118" i="204" s="1"/>
  <c r="N117" i="204"/>
  <c r="I117" i="204"/>
  <c r="Q117" i="204" s="1"/>
  <c r="N116" i="204"/>
  <c r="I116" i="204"/>
  <c r="Q116" i="204" s="1"/>
  <c r="N115" i="204"/>
  <c r="I115" i="204"/>
  <c r="Q115" i="204" s="1"/>
  <c r="N114" i="204"/>
  <c r="I114" i="204"/>
  <c r="Q114" i="204" s="1"/>
  <c r="N113" i="204"/>
  <c r="I113" i="204"/>
  <c r="N112" i="204"/>
  <c r="I112" i="204"/>
  <c r="Q112" i="204" s="1"/>
  <c r="N111" i="204"/>
  <c r="I111" i="204"/>
  <c r="Q111" i="204" s="1"/>
  <c r="N110" i="204"/>
  <c r="I110" i="204"/>
  <c r="Q110" i="204" s="1"/>
  <c r="N109" i="204"/>
  <c r="I109" i="204"/>
  <c r="Q109" i="204" s="1"/>
  <c r="N108" i="204"/>
  <c r="I108" i="204"/>
  <c r="Q108" i="204" s="1"/>
  <c r="N107" i="204"/>
  <c r="I107" i="204"/>
  <c r="N106" i="204"/>
  <c r="I106" i="204"/>
  <c r="Q106" i="204" s="1"/>
  <c r="N105" i="204"/>
  <c r="I105" i="204"/>
  <c r="Q105" i="204" s="1"/>
  <c r="N104" i="204"/>
  <c r="I104" i="204"/>
  <c r="Q104" i="204" s="1"/>
  <c r="N103" i="204"/>
  <c r="I103" i="204"/>
  <c r="Q103" i="204" s="1"/>
  <c r="N102" i="204"/>
  <c r="I102" i="204"/>
  <c r="Q102" i="204" s="1"/>
  <c r="N101" i="204"/>
  <c r="I101" i="204"/>
  <c r="N100" i="204"/>
  <c r="I100" i="204"/>
  <c r="Q100" i="204" s="1"/>
  <c r="N99" i="204"/>
  <c r="I99" i="204"/>
  <c r="Q99" i="204" s="1"/>
  <c r="N98" i="204"/>
  <c r="I98" i="204"/>
  <c r="Q98" i="204" s="1"/>
  <c r="N97" i="204"/>
  <c r="I97" i="204"/>
  <c r="Q97" i="204" s="1"/>
  <c r="N96" i="204"/>
  <c r="I96" i="204"/>
  <c r="Q96" i="204" s="1"/>
  <c r="N95" i="204"/>
  <c r="I95" i="204"/>
  <c r="N94" i="204"/>
  <c r="I94" i="204"/>
  <c r="Q94" i="204" s="1"/>
  <c r="N93" i="204"/>
  <c r="I93" i="204"/>
  <c r="Q93" i="204" s="1"/>
  <c r="N92" i="204"/>
  <c r="I92" i="204"/>
  <c r="Q92" i="204" s="1"/>
  <c r="N91" i="204"/>
  <c r="I91" i="204"/>
  <c r="Q91" i="204" s="1"/>
  <c r="N90" i="204"/>
  <c r="I90" i="204"/>
  <c r="Q90" i="204" s="1"/>
  <c r="N89" i="204"/>
  <c r="I89" i="204"/>
  <c r="N88" i="204"/>
  <c r="I88" i="204"/>
  <c r="Q88" i="204" s="1"/>
  <c r="N87" i="204"/>
  <c r="I87" i="204"/>
  <c r="Q87" i="204" s="1"/>
  <c r="N86" i="204"/>
  <c r="I86" i="204"/>
  <c r="Q86" i="204" s="1"/>
  <c r="N85" i="204"/>
  <c r="I85" i="204"/>
  <c r="Q85" i="204" s="1"/>
  <c r="N84" i="204"/>
  <c r="I84" i="204"/>
  <c r="Q84" i="204" s="1"/>
  <c r="N83" i="204"/>
  <c r="I83" i="204"/>
  <c r="N82" i="204"/>
  <c r="I82" i="204"/>
  <c r="Q82" i="204" s="1"/>
  <c r="N81" i="204"/>
  <c r="I81" i="204"/>
  <c r="Q81" i="204" s="1"/>
  <c r="N80" i="204"/>
  <c r="I80" i="204"/>
  <c r="Q80" i="204" s="1"/>
  <c r="N79" i="204"/>
  <c r="I79" i="204"/>
  <c r="Q79" i="204" s="1"/>
  <c r="N78" i="204"/>
  <c r="I78" i="204"/>
  <c r="Q78" i="204" s="1"/>
  <c r="N77" i="204"/>
  <c r="I77" i="204"/>
  <c r="N76" i="204"/>
  <c r="I76" i="204"/>
  <c r="Q76" i="204" s="1"/>
  <c r="N75" i="204"/>
  <c r="I75" i="204"/>
  <c r="Q75" i="204" s="1"/>
  <c r="N74" i="204"/>
  <c r="I74" i="204"/>
  <c r="Q74" i="204" s="1"/>
  <c r="N73" i="204"/>
  <c r="I73" i="204"/>
  <c r="Q73" i="204" s="1"/>
  <c r="N72" i="204"/>
  <c r="I72" i="204"/>
  <c r="Q72" i="204" s="1"/>
  <c r="N71" i="204"/>
  <c r="I71" i="204"/>
  <c r="N70" i="204"/>
  <c r="I70" i="204"/>
  <c r="Q70" i="204" s="1"/>
  <c r="N69" i="204"/>
  <c r="I69" i="204"/>
  <c r="Q69" i="204" s="1"/>
  <c r="N68" i="204"/>
  <c r="I68" i="204"/>
  <c r="Q68" i="204" s="1"/>
  <c r="N67" i="204"/>
  <c r="I67" i="204"/>
  <c r="Q67" i="204" s="1"/>
  <c r="N66" i="204"/>
  <c r="I66" i="204"/>
  <c r="Q66" i="204" s="1"/>
  <c r="N65" i="204"/>
  <c r="I65" i="204"/>
  <c r="N64" i="204"/>
  <c r="I64" i="204"/>
  <c r="Q64" i="204" s="1"/>
  <c r="N63" i="204"/>
  <c r="I63" i="204"/>
  <c r="Q63" i="204" s="1"/>
  <c r="N62" i="204"/>
  <c r="I62" i="204"/>
  <c r="Q62" i="204" s="1"/>
  <c r="N61" i="204"/>
  <c r="I61" i="204"/>
  <c r="Q61" i="204" s="1"/>
  <c r="N60" i="204"/>
  <c r="I60" i="204"/>
  <c r="Q60" i="204" s="1"/>
  <c r="N59" i="204"/>
  <c r="I59" i="204"/>
  <c r="N58" i="204"/>
  <c r="I58" i="204"/>
  <c r="Q58" i="204" s="1"/>
  <c r="N57" i="204"/>
  <c r="I57" i="204"/>
  <c r="Q57" i="204" s="1"/>
  <c r="N56" i="204"/>
  <c r="I56" i="204"/>
  <c r="Q56" i="204" s="1"/>
  <c r="N55" i="204"/>
  <c r="I55" i="204"/>
  <c r="Q55" i="204" s="1"/>
  <c r="N54" i="204"/>
  <c r="I54" i="204"/>
  <c r="Q54" i="204" s="1"/>
  <c r="N53" i="204"/>
  <c r="I53" i="204"/>
  <c r="N52" i="204"/>
  <c r="I52" i="204"/>
  <c r="Q52" i="204" s="1"/>
  <c r="N51" i="204"/>
  <c r="I51" i="204"/>
  <c r="Q51" i="204" s="1"/>
  <c r="N50" i="204"/>
  <c r="I50" i="204"/>
  <c r="Q50" i="204" s="1"/>
  <c r="N49" i="204"/>
  <c r="I49" i="204"/>
  <c r="Q49" i="204" s="1"/>
  <c r="N48" i="204"/>
  <c r="I48" i="204"/>
  <c r="Q48" i="204" s="1"/>
  <c r="N47" i="204"/>
  <c r="I47" i="204"/>
  <c r="N46" i="204"/>
  <c r="I46" i="204"/>
  <c r="Q46" i="204" s="1"/>
  <c r="N45" i="204"/>
  <c r="I45" i="204"/>
  <c r="Q45" i="204" s="1"/>
  <c r="N44" i="204"/>
  <c r="I44" i="204"/>
  <c r="Q44" i="204" s="1"/>
  <c r="N43" i="204"/>
  <c r="I43" i="204"/>
  <c r="Q43" i="204" s="1"/>
  <c r="N42" i="204"/>
  <c r="I42" i="204"/>
  <c r="Q42" i="204" s="1"/>
  <c r="N41" i="204"/>
  <c r="I41" i="204"/>
  <c r="N40" i="204"/>
  <c r="I40" i="204"/>
  <c r="Q40" i="204" s="1"/>
  <c r="N39" i="204"/>
  <c r="I39" i="204"/>
  <c r="Q39" i="204" s="1"/>
  <c r="N38" i="204"/>
  <c r="I38" i="204"/>
  <c r="Q38" i="204" s="1"/>
  <c r="N37" i="204"/>
  <c r="I37" i="204"/>
  <c r="Q37" i="204" s="1"/>
  <c r="N36" i="204"/>
  <c r="I36" i="204"/>
  <c r="Q36" i="204" s="1"/>
  <c r="N35" i="204"/>
  <c r="I35" i="204"/>
  <c r="N34" i="204"/>
  <c r="I34" i="204"/>
  <c r="Q34" i="204" s="1"/>
  <c r="N33" i="204"/>
  <c r="I33" i="204"/>
  <c r="Q33" i="204" s="1"/>
  <c r="N32" i="204"/>
  <c r="I32" i="204"/>
  <c r="Q32" i="204" s="1"/>
  <c r="N31" i="204"/>
  <c r="I31" i="204"/>
  <c r="Q31" i="204" s="1"/>
  <c r="N30" i="204"/>
  <c r="I30" i="204"/>
  <c r="Q30" i="204" s="1"/>
  <c r="N29" i="204"/>
  <c r="I29" i="204"/>
  <c r="N28" i="204"/>
  <c r="I28" i="204"/>
  <c r="Q28" i="204" s="1"/>
  <c r="N27" i="204"/>
  <c r="I27" i="204"/>
  <c r="Q27" i="204" s="1"/>
  <c r="N26" i="204"/>
  <c r="I26" i="204"/>
  <c r="Q26" i="204" s="1"/>
  <c r="N25" i="204"/>
  <c r="I25" i="204"/>
  <c r="Q25" i="204" s="1"/>
  <c r="N24" i="204"/>
  <c r="I24" i="204"/>
  <c r="Q24" i="204" s="1"/>
  <c r="N23" i="204"/>
  <c r="I23" i="204"/>
  <c r="N22" i="204"/>
  <c r="I22" i="204"/>
  <c r="Q22" i="204" s="1"/>
  <c r="N21" i="204"/>
  <c r="I21" i="204"/>
  <c r="Q21" i="204" s="1"/>
  <c r="N20" i="204"/>
  <c r="I20" i="204"/>
  <c r="Q20" i="204" s="1"/>
  <c r="N19" i="204"/>
  <c r="I19" i="204"/>
  <c r="Q19" i="204" s="1"/>
  <c r="N18" i="204"/>
  <c r="I18" i="204"/>
  <c r="Q18" i="204" s="1"/>
  <c r="N17" i="204"/>
  <c r="I17" i="204"/>
  <c r="N16" i="204"/>
  <c r="I16" i="204"/>
  <c r="Q16" i="204" s="1"/>
  <c r="N15" i="204"/>
  <c r="I15" i="204"/>
  <c r="Q15" i="204" s="1"/>
  <c r="N14" i="204"/>
  <c r="I14" i="204"/>
  <c r="Q14" i="204" s="1"/>
  <c r="N13" i="204"/>
  <c r="I13" i="204"/>
  <c r="Q13" i="204" s="1"/>
  <c r="N12" i="204"/>
  <c r="I12" i="204"/>
  <c r="Q12" i="204" s="1"/>
  <c r="N11" i="204"/>
  <c r="I11" i="204"/>
  <c r="N10" i="204"/>
  <c r="I10" i="204"/>
  <c r="Q10" i="204" s="1"/>
  <c r="N9" i="204"/>
  <c r="I9" i="204"/>
  <c r="Q9" i="204" s="1"/>
  <c r="N8" i="204"/>
  <c r="I8" i="204"/>
  <c r="Q8" i="204" s="1"/>
  <c r="N7" i="204"/>
  <c r="I7" i="204"/>
  <c r="Q7" i="204" s="1"/>
  <c r="N6" i="204"/>
  <c r="I6" i="204"/>
  <c r="Q6" i="204" s="1"/>
  <c r="A6" i="204"/>
  <c r="A7" i="204" s="1"/>
  <c r="A8" i="204" s="1"/>
  <c r="A9" i="204" s="1"/>
  <c r="A10" i="204" s="1"/>
  <c r="A11" i="204" s="1"/>
  <c r="A12" i="204" s="1"/>
  <c r="A13" i="204" s="1"/>
  <c r="A14" i="204" s="1"/>
  <c r="A15" i="204" s="1"/>
  <c r="A16" i="204" s="1"/>
  <c r="A17" i="204" s="1"/>
  <c r="A18" i="204" s="1"/>
  <c r="A19" i="204" s="1"/>
  <c r="A20" i="204" s="1"/>
  <c r="A21" i="204" s="1"/>
  <c r="A22" i="204" s="1"/>
  <c r="A23" i="204" s="1"/>
  <c r="A24" i="204" s="1"/>
  <c r="A25" i="204" s="1"/>
  <c r="A26" i="204" s="1"/>
  <c r="A27" i="204" s="1"/>
  <c r="A28" i="204" s="1"/>
  <c r="A29" i="204" s="1"/>
  <c r="A30" i="204" s="1"/>
  <c r="A31" i="204" s="1"/>
  <c r="A32" i="204" s="1"/>
  <c r="A33" i="204" s="1"/>
  <c r="A34" i="204" s="1"/>
  <c r="A35" i="204" s="1"/>
  <c r="A36" i="204" s="1"/>
  <c r="A37" i="204" s="1"/>
  <c r="A38" i="204" s="1"/>
  <c r="A39" i="204" s="1"/>
  <c r="A40" i="204" s="1"/>
  <c r="A41" i="204" s="1"/>
  <c r="A42" i="204" s="1"/>
  <c r="A43" i="204" s="1"/>
  <c r="A44" i="204" s="1"/>
  <c r="A45" i="204" s="1"/>
  <c r="A46" i="204" s="1"/>
  <c r="A47" i="204" s="1"/>
  <c r="A48" i="204" s="1"/>
  <c r="A49" i="204" s="1"/>
  <c r="A50" i="204" s="1"/>
  <c r="A51" i="204" s="1"/>
  <c r="A52" i="204" s="1"/>
  <c r="A53" i="204" s="1"/>
  <c r="A54" i="204" s="1"/>
  <c r="A55" i="204" s="1"/>
  <c r="A56" i="204" s="1"/>
  <c r="A57" i="204" s="1"/>
  <c r="A58" i="204" s="1"/>
  <c r="A59" i="204" s="1"/>
  <c r="A60" i="204" s="1"/>
  <c r="A61" i="204" s="1"/>
  <c r="A62" i="204" s="1"/>
  <c r="A63" i="204" s="1"/>
  <c r="A64" i="204" s="1"/>
  <c r="A65" i="204" s="1"/>
  <c r="A66" i="204" s="1"/>
  <c r="A67" i="204" s="1"/>
  <c r="A68" i="204" s="1"/>
  <c r="A69" i="204" s="1"/>
  <c r="A70" i="204" s="1"/>
  <c r="A71" i="204" s="1"/>
  <c r="A72" i="204" s="1"/>
  <c r="A73" i="204" s="1"/>
  <c r="A74" i="204" s="1"/>
  <c r="A75" i="204" s="1"/>
  <c r="A76" i="204" s="1"/>
  <c r="A77" i="204" s="1"/>
  <c r="A78" i="204" s="1"/>
  <c r="A79" i="204" s="1"/>
  <c r="A80" i="204" s="1"/>
  <c r="A81" i="204" s="1"/>
  <c r="A82" i="204" s="1"/>
  <c r="A83" i="204" s="1"/>
  <c r="A84" i="204" s="1"/>
  <c r="A85" i="204" s="1"/>
  <c r="A86" i="204" s="1"/>
  <c r="A87" i="204" s="1"/>
  <c r="A88" i="204" s="1"/>
  <c r="A89" i="204" s="1"/>
  <c r="A90" i="204" s="1"/>
  <c r="A91" i="204" s="1"/>
  <c r="A92" i="204" s="1"/>
  <c r="A93" i="204" s="1"/>
  <c r="A94" i="204" s="1"/>
  <c r="A95" i="204" s="1"/>
  <c r="A96" i="204" s="1"/>
  <c r="A97" i="204" s="1"/>
  <c r="A98" i="204" s="1"/>
  <c r="A99" i="204" s="1"/>
  <c r="A100" i="204" s="1"/>
  <c r="A101" i="204" s="1"/>
  <c r="A102" i="204" s="1"/>
  <c r="A103" i="204" s="1"/>
  <c r="A104" i="204" s="1"/>
  <c r="A105" i="204" s="1"/>
  <c r="A106" i="204" s="1"/>
  <c r="A107" i="204" s="1"/>
  <c r="A108" i="204" s="1"/>
  <c r="A109" i="204" s="1"/>
  <c r="A110" i="204" s="1"/>
  <c r="A111" i="204" s="1"/>
  <c r="A112" i="204" s="1"/>
  <c r="A113" i="204" s="1"/>
  <c r="A114" i="204" s="1"/>
  <c r="A115" i="204" s="1"/>
  <c r="A116" i="204" s="1"/>
  <c r="A117" i="204" s="1"/>
  <c r="A118" i="204" s="1"/>
  <c r="A119" i="204" s="1"/>
  <c r="A120" i="204" s="1"/>
  <c r="A121" i="204" s="1"/>
  <c r="A122" i="204" s="1"/>
  <c r="A123" i="204" s="1"/>
  <c r="A124" i="204" s="1"/>
  <c r="A125" i="204" s="1"/>
  <c r="A126" i="204" s="1"/>
  <c r="A127" i="204" s="1"/>
  <c r="A128" i="204" s="1"/>
  <c r="A129" i="204" s="1"/>
  <c r="A130" i="204" s="1"/>
  <c r="A131" i="204" s="1"/>
  <c r="A132" i="204" s="1"/>
  <c r="A133" i="204" s="1"/>
  <c r="A134" i="204" s="1"/>
  <c r="A135" i="204" s="1"/>
  <c r="A136" i="204" s="1"/>
  <c r="A137" i="204" s="1"/>
  <c r="A138" i="204" s="1"/>
  <c r="A139" i="204" s="1"/>
  <c r="A140" i="204" s="1"/>
  <c r="A141" i="204" s="1"/>
  <c r="A142" i="204" s="1"/>
  <c r="A143" i="204" s="1"/>
  <c r="A144" i="204" s="1"/>
  <c r="A145" i="204" s="1"/>
  <c r="A146" i="204" s="1"/>
  <c r="A147" i="204" s="1"/>
  <c r="A148" i="204" s="1"/>
  <c r="A149" i="204" s="1"/>
  <c r="A150" i="204" s="1"/>
  <c r="A151" i="204" s="1"/>
  <c r="A152" i="204" s="1"/>
  <c r="A153" i="204" s="1"/>
  <c r="A154" i="204" s="1"/>
  <c r="A155" i="204" s="1"/>
  <c r="A156" i="204" s="1"/>
  <c r="A157" i="204" s="1"/>
  <c r="A158" i="204" s="1"/>
  <c r="A159" i="204" s="1"/>
  <c r="A160" i="204" s="1"/>
  <c r="A161" i="204" s="1"/>
  <c r="A162" i="204" s="1"/>
  <c r="A163" i="204" s="1"/>
  <c r="A164" i="204" s="1"/>
  <c r="A165" i="204" s="1"/>
  <c r="A166" i="204" s="1"/>
  <c r="A167" i="204" s="1"/>
  <c r="A168" i="204" s="1"/>
  <c r="A169" i="204" s="1"/>
  <c r="A170" i="204" s="1"/>
  <c r="A171" i="204" s="1"/>
  <c r="A172" i="204" s="1"/>
  <c r="A173" i="204" s="1"/>
  <c r="A174" i="204" s="1"/>
  <c r="A175" i="204" s="1"/>
  <c r="A176" i="204" s="1"/>
  <c r="A177" i="204" s="1"/>
  <c r="A178" i="204" s="1"/>
  <c r="A179" i="204" s="1"/>
  <c r="A180" i="204" s="1"/>
  <c r="A181" i="204" s="1"/>
  <c r="A182" i="204" s="1"/>
  <c r="A183" i="204" s="1"/>
  <c r="A184" i="204" s="1"/>
  <c r="A185" i="204" s="1"/>
  <c r="A186" i="204" s="1"/>
  <c r="A187" i="204" s="1"/>
  <c r="A188" i="204" s="1"/>
  <c r="A189" i="204" s="1"/>
  <c r="A190" i="204" s="1"/>
  <c r="A191" i="204" s="1"/>
  <c r="A192" i="204" s="1"/>
  <c r="A193" i="204" s="1"/>
  <c r="A194" i="204" s="1"/>
  <c r="A195" i="204" s="1"/>
  <c r="A196" i="204" s="1"/>
  <c r="A197" i="204" s="1"/>
  <c r="A198" i="204" s="1"/>
  <c r="A199" i="204" s="1"/>
  <c r="A200" i="204" s="1"/>
  <c r="A201" i="204" s="1"/>
  <c r="A202" i="204" s="1"/>
  <c r="A203" i="204" s="1"/>
  <c r="A204" i="204" s="1"/>
  <c r="N5" i="204"/>
  <c r="I5" i="204"/>
  <c r="Q5" i="204" s="1"/>
  <c r="I175" i="203"/>
  <c r="N173" i="203"/>
  <c r="I173" i="203"/>
  <c r="N172" i="203"/>
  <c r="I172" i="203"/>
  <c r="N171" i="203"/>
  <c r="I171" i="203"/>
  <c r="N170" i="203"/>
  <c r="I170" i="203"/>
  <c r="N169" i="203"/>
  <c r="I169" i="203"/>
  <c r="N168" i="203"/>
  <c r="I168" i="203"/>
  <c r="N167" i="203"/>
  <c r="I167" i="203"/>
  <c r="N166" i="203"/>
  <c r="I166" i="203"/>
  <c r="N165" i="203"/>
  <c r="I165" i="203"/>
  <c r="N164" i="203"/>
  <c r="I164" i="203"/>
  <c r="N163" i="203"/>
  <c r="I163" i="203"/>
  <c r="N162" i="203"/>
  <c r="I162" i="203"/>
  <c r="N161" i="203"/>
  <c r="I161" i="203"/>
  <c r="N160" i="203"/>
  <c r="I160" i="203"/>
  <c r="N159" i="203"/>
  <c r="I159" i="203"/>
  <c r="N158" i="203"/>
  <c r="I158" i="203"/>
  <c r="N157" i="203"/>
  <c r="I157" i="203"/>
  <c r="N156" i="203"/>
  <c r="I156" i="203"/>
  <c r="N155" i="203"/>
  <c r="I155" i="203"/>
  <c r="N154" i="203"/>
  <c r="I154" i="203"/>
  <c r="N153" i="203"/>
  <c r="I153" i="203"/>
  <c r="N152" i="203"/>
  <c r="I152" i="203"/>
  <c r="N151" i="203"/>
  <c r="I151" i="203"/>
  <c r="N150" i="203"/>
  <c r="I150" i="203"/>
  <c r="N149" i="203"/>
  <c r="I149" i="203"/>
  <c r="N148" i="203"/>
  <c r="I148" i="203"/>
  <c r="N147" i="203"/>
  <c r="I147" i="203"/>
  <c r="N146" i="203"/>
  <c r="I146" i="203"/>
  <c r="N145" i="203"/>
  <c r="I145" i="203"/>
  <c r="N144" i="203"/>
  <c r="I144" i="203"/>
  <c r="N143" i="203"/>
  <c r="I143" i="203"/>
  <c r="I142" i="203"/>
  <c r="I141" i="203"/>
  <c r="I140" i="203"/>
  <c r="N7" i="203"/>
  <c r="I7" i="203"/>
  <c r="N6" i="203"/>
  <c r="I6" i="203"/>
  <c r="A6" i="203"/>
  <c r="A7" i="203" s="1"/>
  <c r="A8" i="203" s="1"/>
  <c r="A9" i="203" s="1"/>
  <c r="A10" i="203" s="1"/>
  <c r="A11" i="203" s="1"/>
  <c r="A12" i="203" s="1"/>
  <c r="A13" i="203" s="1"/>
  <c r="A14" i="203" s="1"/>
  <c r="A15" i="203" s="1"/>
  <c r="A16" i="203" s="1"/>
  <c r="A17" i="203" s="1"/>
  <c r="A18" i="203" s="1"/>
  <c r="A19" i="203" s="1"/>
  <c r="A20" i="203" s="1"/>
  <c r="A21" i="203" s="1"/>
  <c r="A22" i="203" s="1"/>
  <c r="A23" i="203" s="1"/>
  <c r="A24" i="203" s="1"/>
  <c r="A25" i="203" s="1"/>
  <c r="A26" i="203" s="1"/>
  <c r="A27" i="203" s="1"/>
  <c r="A28" i="203" s="1"/>
  <c r="A29" i="203" s="1"/>
  <c r="A30" i="203" s="1"/>
  <c r="A31" i="203" s="1"/>
  <c r="A32" i="203" s="1"/>
  <c r="A33" i="203" s="1"/>
  <c r="A34" i="203" s="1"/>
  <c r="A35" i="203" s="1"/>
  <c r="A36" i="203" s="1"/>
  <c r="A37" i="203" s="1"/>
  <c r="A38" i="203" s="1"/>
  <c r="A39" i="203" s="1"/>
  <c r="A40" i="203" s="1"/>
  <c r="A41" i="203" s="1"/>
  <c r="A42" i="203" s="1"/>
  <c r="A43" i="203" s="1"/>
  <c r="A44" i="203" s="1"/>
  <c r="A45" i="203" s="1"/>
  <c r="A46" i="203" s="1"/>
  <c r="A47" i="203" s="1"/>
  <c r="A48" i="203" s="1"/>
  <c r="A49" i="203" s="1"/>
  <c r="A50" i="203" s="1"/>
  <c r="A51" i="203" s="1"/>
  <c r="A52" i="203" s="1"/>
  <c r="A53" i="203" s="1"/>
  <c r="A54" i="203" s="1"/>
  <c r="A55" i="203" s="1"/>
  <c r="A56" i="203" s="1"/>
  <c r="A57" i="203" s="1"/>
  <c r="A58" i="203" s="1"/>
  <c r="A59" i="203" s="1"/>
  <c r="A60" i="203" s="1"/>
  <c r="A61" i="203" s="1"/>
  <c r="A62" i="203" s="1"/>
  <c r="A63" i="203" s="1"/>
  <c r="A64" i="203" s="1"/>
  <c r="A65" i="203" s="1"/>
  <c r="A66" i="203" s="1"/>
  <c r="A67" i="203" s="1"/>
  <c r="A68" i="203" s="1"/>
  <c r="A69" i="203" s="1"/>
  <c r="A70" i="203" s="1"/>
  <c r="A71" i="203" s="1"/>
  <c r="A72" i="203" s="1"/>
  <c r="A73" i="203" s="1"/>
  <c r="A74" i="203" s="1"/>
  <c r="A75" i="203" s="1"/>
  <c r="A76" i="203" s="1"/>
  <c r="A77" i="203" s="1"/>
  <c r="A78" i="203" s="1"/>
  <c r="A79" i="203" s="1"/>
  <c r="A80" i="203" s="1"/>
  <c r="A81" i="203" s="1"/>
  <c r="A82" i="203" s="1"/>
  <c r="A83" i="203" s="1"/>
  <c r="A84" i="203" s="1"/>
  <c r="A85" i="203" s="1"/>
  <c r="A86" i="203" s="1"/>
  <c r="A87" i="203" s="1"/>
  <c r="A88" i="203" s="1"/>
  <c r="A89" i="203" s="1"/>
  <c r="A90" i="203" s="1"/>
  <c r="A91" i="203" s="1"/>
  <c r="A92" i="203" s="1"/>
  <c r="A93" i="203" s="1"/>
  <c r="A94" i="203" s="1"/>
  <c r="A95" i="203" s="1"/>
  <c r="A96" i="203" s="1"/>
  <c r="A97" i="203" s="1"/>
  <c r="A98" i="203" s="1"/>
  <c r="A99" i="203" s="1"/>
  <c r="A100" i="203" s="1"/>
  <c r="A101" i="203" s="1"/>
  <c r="A102" i="203" s="1"/>
  <c r="A103" i="203" s="1"/>
  <c r="A104" i="203" s="1"/>
  <c r="A105" i="203" s="1"/>
  <c r="A106" i="203" s="1"/>
  <c r="A107" i="203" s="1"/>
  <c r="A108" i="203" s="1"/>
  <c r="A109" i="203" s="1"/>
  <c r="A110" i="203" s="1"/>
  <c r="A111" i="203" s="1"/>
  <c r="A112" i="203" s="1"/>
  <c r="A113" i="203" s="1"/>
  <c r="A114" i="203" s="1"/>
  <c r="A115" i="203" s="1"/>
  <c r="A116" i="203" s="1"/>
  <c r="A117" i="203" s="1"/>
  <c r="A118" i="203" s="1"/>
  <c r="A119" i="203" s="1"/>
  <c r="A120" i="203" s="1"/>
  <c r="A121" i="203" s="1"/>
  <c r="A122" i="203" s="1"/>
  <c r="A123" i="203" s="1"/>
  <c r="A124" i="203" s="1"/>
  <c r="A125" i="203" s="1"/>
  <c r="A126" i="203" s="1"/>
  <c r="A127" i="203" s="1"/>
  <c r="A128" i="203" s="1"/>
  <c r="A129" i="203" s="1"/>
  <c r="A130" i="203" s="1"/>
  <c r="A131" i="203" s="1"/>
  <c r="A132" i="203" s="1"/>
  <c r="A133" i="203" s="1"/>
  <c r="A134" i="203" s="1"/>
  <c r="A135" i="203" s="1"/>
  <c r="A136" i="203" s="1"/>
  <c r="A137" i="203" s="1"/>
  <c r="A138" i="203" s="1"/>
  <c r="A139" i="203" s="1"/>
  <c r="A140" i="203" s="1"/>
  <c r="A141" i="203" s="1"/>
  <c r="A142" i="203" s="1"/>
  <c r="A143" i="203" s="1"/>
  <c r="A144" i="203" s="1"/>
  <c r="A145" i="203" s="1"/>
  <c r="A146" i="203" s="1"/>
  <c r="A147" i="203" s="1"/>
  <c r="A148" i="203" s="1"/>
  <c r="A149" i="203" s="1"/>
  <c r="A150" i="203" s="1"/>
  <c r="A151" i="203" s="1"/>
  <c r="A152" i="203" s="1"/>
  <c r="A153" i="203" s="1"/>
  <c r="A154" i="203" s="1"/>
  <c r="A155" i="203" s="1"/>
  <c r="A156" i="203" s="1"/>
  <c r="A157" i="203" s="1"/>
  <c r="A158" i="203" s="1"/>
  <c r="A159" i="203" s="1"/>
  <c r="A160" i="203" s="1"/>
  <c r="A161" i="203" s="1"/>
  <c r="A162" i="203" s="1"/>
  <c r="A163" i="203" s="1"/>
  <c r="A164" i="203" s="1"/>
  <c r="A165" i="203" s="1"/>
  <c r="A166" i="203" s="1"/>
  <c r="A167" i="203" s="1"/>
  <c r="A168" i="203" s="1"/>
  <c r="A169" i="203" s="1"/>
  <c r="A170" i="203" s="1"/>
  <c r="A171" i="203" s="1"/>
  <c r="A172" i="203" s="1"/>
  <c r="A173" i="203" s="1"/>
  <c r="A174" i="203" s="1"/>
  <c r="A175" i="203" s="1"/>
  <c r="N5" i="203"/>
  <c r="I5" i="203"/>
  <c r="Q11" i="204" l="1"/>
  <c r="Q17" i="204"/>
  <c r="Q23" i="204"/>
  <c r="Q29" i="204"/>
  <c r="Q35" i="204"/>
  <c r="Q41" i="204"/>
  <c r="Q47" i="204"/>
  <c r="Q53" i="204"/>
  <c r="Q59" i="204"/>
  <c r="Q65" i="204"/>
  <c r="Q71" i="204"/>
  <c r="Q77" i="204"/>
  <c r="Q83" i="204"/>
  <c r="Q89" i="204"/>
  <c r="Q95" i="204"/>
  <c r="Q101" i="204"/>
  <c r="Q107" i="204"/>
  <c r="Q113" i="204"/>
  <c r="Q119" i="204"/>
  <c r="Q125" i="204"/>
  <c r="Q131" i="204"/>
  <c r="Q137" i="204"/>
  <c r="Q143" i="204"/>
  <c r="Q149" i="204"/>
  <c r="Q155" i="204"/>
  <c r="Q161" i="204"/>
  <c r="Q167" i="204"/>
  <c r="Q173" i="204"/>
  <c r="Q179" i="204"/>
  <c r="Q185" i="204"/>
  <c r="Q191" i="204"/>
  <c r="Q197" i="204"/>
  <c r="Q203" i="204"/>
  <c r="Q7" i="203"/>
  <c r="Q141" i="203"/>
  <c r="Q145" i="203"/>
  <c r="Q149" i="203"/>
  <c r="Q153" i="203"/>
  <c r="Q157" i="203"/>
  <c r="Q161" i="203"/>
  <c r="Q165" i="203"/>
  <c r="Q169" i="203"/>
  <c r="Q173" i="203"/>
  <c r="Q139" i="203"/>
  <c r="Q143" i="203"/>
  <c r="Q147" i="203"/>
  <c r="Q151" i="203"/>
  <c r="Q155" i="203"/>
  <c r="Q159" i="203"/>
  <c r="Q163" i="203"/>
  <c r="Q167" i="203"/>
  <c r="Q171" i="203"/>
  <c r="Q5" i="203"/>
  <c r="Q6" i="203"/>
  <c r="Q140" i="203"/>
  <c r="Q144" i="203"/>
  <c r="Q148" i="203"/>
  <c r="Q152" i="203"/>
  <c r="Q156" i="203"/>
  <c r="Q160" i="203"/>
  <c r="Q164" i="203"/>
  <c r="Q168" i="203"/>
  <c r="Q172" i="203"/>
  <c r="Q138" i="203"/>
  <c r="Q142" i="203"/>
  <c r="Q146" i="203"/>
  <c r="Q150" i="203"/>
  <c r="Q154" i="203"/>
  <c r="Q158" i="203"/>
  <c r="Q162" i="203"/>
  <c r="Q166" i="203"/>
  <c r="Q170" i="203"/>
  <c r="Q175" i="203"/>
  <c r="N177" i="203"/>
  <c r="N206" i="204"/>
  <c r="I206" i="204"/>
  <c r="Q206" i="204" s="1"/>
  <c r="H206" i="204"/>
  <c r="I177" i="203"/>
  <c r="H177" i="203"/>
  <c r="Q177" i="203" l="1"/>
  <c r="Q178" i="203" s="1"/>
  <c r="Q207" i="204"/>
</calcChain>
</file>

<file path=xl/sharedStrings.xml><?xml version="1.0" encoding="utf-8"?>
<sst xmlns="http://schemas.openxmlformats.org/spreadsheetml/2006/main" count="792" uniqueCount="397">
  <si>
    <t>No</t>
  </si>
  <si>
    <t>Ticket No</t>
  </si>
  <si>
    <t>Unit ID</t>
  </si>
  <si>
    <t>Date Out</t>
  </si>
  <si>
    <t>Time Out</t>
  </si>
  <si>
    <t>Shipper</t>
  </si>
  <si>
    <t>Gross</t>
  </si>
  <si>
    <t>Tare</t>
  </si>
  <si>
    <t>Netto</t>
  </si>
  <si>
    <t>Total</t>
  </si>
  <si>
    <t>Diperiksa dan disetujui oleh :</t>
  </si>
  <si>
    <t>Dibuat oleh :</t>
  </si>
  <si>
    <t>Deviasi</t>
  </si>
  <si>
    <t>TIMBANGAN MERGE (KG)</t>
  </si>
  <si>
    <t>ID Slip
Timbangan</t>
  </si>
  <si>
    <t>MRG</t>
  </si>
  <si>
    <t>Syarfiatul Uzma</t>
  </si>
  <si>
    <t>Staff Engineering</t>
  </si>
  <si>
    <t>TGL :</t>
  </si>
  <si>
    <t>Syella Wu</t>
  </si>
  <si>
    <t>Finance &amp; Accounting</t>
  </si>
  <si>
    <t>REKAPITULASI COAL HAULING DARI PT. MERGE MINING INDUSTRI KE PELABUHAN</t>
  </si>
  <si>
    <t>PT Talenta Bumi</t>
  </si>
  <si>
    <t>PT Merge Mining Industri</t>
  </si>
  <si>
    <t>PJM062</t>
  </si>
  <si>
    <t>PJM154</t>
  </si>
  <si>
    <t>PJM036</t>
  </si>
  <si>
    <t>PJM012</t>
  </si>
  <si>
    <t>PJM114</t>
  </si>
  <si>
    <t>PJM022</t>
  </si>
  <si>
    <t>PJM153</t>
  </si>
  <si>
    <t>PJM110</t>
  </si>
  <si>
    <t>PJM038</t>
  </si>
  <si>
    <t>PJM010</t>
  </si>
  <si>
    <t>PJM106</t>
  </si>
  <si>
    <t>PJM005</t>
  </si>
  <si>
    <t>PJM013</t>
  </si>
  <si>
    <t>PJM111</t>
  </si>
  <si>
    <t>PJM008</t>
  </si>
  <si>
    <t>PJM070</t>
  </si>
  <si>
    <t>PJM015</t>
  </si>
  <si>
    <t>PJM041</t>
  </si>
  <si>
    <t>PJM009</t>
  </si>
  <si>
    <t>PJM031</t>
  </si>
  <si>
    <t>PJM030</t>
  </si>
  <si>
    <t>PJM052</t>
  </si>
  <si>
    <t>PJM051</t>
  </si>
  <si>
    <t>PJM101</t>
  </si>
  <si>
    <t>PJM085</t>
  </si>
  <si>
    <t>PJM102</t>
  </si>
  <si>
    <t>PJM003</t>
  </si>
  <si>
    <t>PJM108</t>
  </si>
  <si>
    <t>PJM018</t>
  </si>
  <si>
    <t>PJM025</t>
  </si>
  <si>
    <t>PJM011</t>
  </si>
  <si>
    <t>PJM059</t>
  </si>
  <si>
    <t>PJM019</t>
  </si>
  <si>
    <t>PJM029</t>
  </si>
  <si>
    <t>PJM020</t>
  </si>
  <si>
    <t>PJM014</t>
  </si>
  <si>
    <t>PJM049</t>
  </si>
  <si>
    <t>PJM088</t>
  </si>
  <si>
    <t>PJM089</t>
  </si>
  <si>
    <t>PJM095</t>
  </si>
  <si>
    <t>PJM079</t>
  </si>
  <si>
    <t>PJM072</t>
  </si>
  <si>
    <t>PJM032</t>
  </si>
  <si>
    <t>PJM093</t>
  </si>
  <si>
    <t>PJM086</t>
  </si>
  <si>
    <t>PJM045</t>
  </si>
  <si>
    <t>PJM043</t>
  </si>
  <si>
    <t>PJM042</t>
  </si>
  <si>
    <t>PJM090</t>
  </si>
  <si>
    <t>PJM080</t>
  </si>
  <si>
    <t>PJM103</t>
  </si>
  <si>
    <t>PJM024</t>
  </si>
  <si>
    <t>PJM107</t>
  </si>
  <si>
    <t>PJM115</t>
  </si>
  <si>
    <t>PJM037</t>
  </si>
  <si>
    <t>PJM071</t>
  </si>
  <si>
    <t>PJM050</t>
  </si>
  <si>
    <t>PJM073</t>
  </si>
  <si>
    <t>PJM083</t>
  </si>
  <si>
    <t>PJM084</t>
  </si>
  <si>
    <t>PJM057</t>
  </si>
  <si>
    <t>PJM082</t>
  </si>
  <si>
    <t>PJM017</t>
  </si>
  <si>
    <t>PJM067</t>
  </si>
  <si>
    <t>PJM091</t>
  </si>
  <si>
    <t>PJM104</t>
  </si>
  <si>
    <t>PJM087</t>
  </si>
  <si>
    <t>PJM026</t>
  </si>
  <si>
    <t>PJM023</t>
  </si>
  <si>
    <t>PJM004</t>
  </si>
  <si>
    <t>PJM007</t>
  </si>
  <si>
    <t>PJM058</t>
  </si>
  <si>
    <t>PJM027</t>
  </si>
  <si>
    <t>PJM021</t>
  </si>
  <si>
    <t>PJM056</t>
  </si>
  <si>
    <t>PJM055</t>
  </si>
  <si>
    <t>PJM028</t>
  </si>
  <si>
    <t>MMI</t>
  </si>
  <si>
    <t>14:42</t>
  </si>
  <si>
    <t>14:43</t>
  </si>
  <si>
    <t>14:44</t>
  </si>
  <si>
    <t>14:45</t>
  </si>
  <si>
    <t>14:46</t>
  </si>
  <si>
    <t>14:47</t>
  </si>
  <si>
    <t>14:54</t>
  </si>
  <si>
    <t>15:15</t>
  </si>
  <si>
    <t>15:20</t>
  </si>
  <si>
    <t>15:21</t>
  </si>
  <si>
    <t>15:22</t>
  </si>
  <si>
    <t>15:41</t>
  </si>
  <si>
    <t>15:44</t>
  </si>
  <si>
    <t>15:46</t>
  </si>
  <si>
    <t>16:44</t>
  </si>
  <si>
    <t>16:50</t>
  </si>
  <si>
    <t>19:06</t>
  </si>
  <si>
    <t>PJM039</t>
  </si>
  <si>
    <t>PJM060</t>
  </si>
  <si>
    <t>PJM081</t>
  </si>
  <si>
    <t>PJM069</t>
  </si>
  <si>
    <t>PJM061</t>
  </si>
  <si>
    <t>PJM066</t>
  </si>
  <si>
    <t>PJM035</t>
  </si>
  <si>
    <t>PJM034</t>
  </si>
  <si>
    <t>PJM152</t>
  </si>
  <si>
    <t>PJM047</t>
  </si>
  <si>
    <t>PJM002</t>
  </si>
  <si>
    <t>PJM053</t>
  </si>
  <si>
    <t>14:52</t>
  </si>
  <si>
    <t>14:53</t>
  </si>
  <si>
    <t>14:58</t>
  </si>
  <si>
    <t>14:59</t>
  </si>
  <si>
    <t>19:03</t>
  </si>
  <si>
    <t>20:53</t>
  </si>
  <si>
    <t>22:35</t>
  </si>
  <si>
    <t>22:52</t>
  </si>
  <si>
    <t>23:16</t>
  </si>
  <si>
    <t>23:18</t>
  </si>
  <si>
    <t>23:20</t>
  </si>
  <si>
    <t>23:23</t>
  </si>
  <si>
    <t>23:24</t>
  </si>
  <si>
    <t>00:37</t>
  </si>
  <si>
    <t>01:21</t>
  </si>
  <si>
    <t>07:12</t>
  </si>
  <si>
    <t>07:14</t>
  </si>
  <si>
    <t>PJM112</t>
  </si>
  <si>
    <t>PJM100</t>
  </si>
  <si>
    <t>22:11</t>
  </si>
  <si>
    <t>17:42</t>
  </si>
  <si>
    <t>00:31</t>
  </si>
  <si>
    <t>21:12</t>
  </si>
  <si>
    <t>15:29</t>
  </si>
  <si>
    <t>02:00</t>
  </si>
  <si>
    <t>02:47</t>
  </si>
  <si>
    <t>22:06</t>
  </si>
  <si>
    <t>03:55</t>
  </si>
  <si>
    <t>19:49</t>
  </si>
  <si>
    <t>14:40</t>
  </si>
  <si>
    <t>14:48</t>
  </si>
  <si>
    <t>14:51</t>
  </si>
  <si>
    <t>16:06</t>
  </si>
  <si>
    <t>16:40</t>
  </si>
  <si>
    <t>16:42</t>
  </si>
  <si>
    <t>16:59</t>
  </si>
  <si>
    <t>20:27</t>
  </si>
  <si>
    <t>20:29</t>
  </si>
  <si>
    <t>20:30</t>
  </si>
  <si>
    <t>20:33</t>
  </si>
  <si>
    <t>21:35</t>
  </si>
  <si>
    <t>21:36</t>
  </si>
  <si>
    <t>21:38</t>
  </si>
  <si>
    <t>21:39</t>
  </si>
  <si>
    <t>21:47</t>
  </si>
  <si>
    <t>23:48</t>
  </si>
  <si>
    <t>00:35</t>
  </si>
  <si>
    <t>01:12</t>
  </si>
  <si>
    <t>01:19</t>
  </si>
  <si>
    <t>01:26</t>
  </si>
  <si>
    <t>01:27</t>
  </si>
  <si>
    <t>PJM033</t>
  </si>
  <si>
    <t>16:18</t>
  </si>
  <si>
    <t>21:54</t>
  </si>
  <si>
    <t>23:22</t>
  </si>
  <si>
    <t>PJM065</t>
  </si>
  <si>
    <t>15:11</t>
  </si>
  <si>
    <t>15:43</t>
  </si>
  <si>
    <t>15:45</t>
  </si>
  <si>
    <t>19:01</t>
  </si>
  <si>
    <t>20:25</t>
  </si>
  <si>
    <t>01:24</t>
  </si>
  <si>
    <t>01:25</t>
  </si>
  <si>
    <t>PJM113</t>
  </si>
  <si>
    <t>PJM063</t>
  </si>
  <si>
    <t>PJM064</t>
  </si>
  <si>
    <t>15:10</t>
  </si>
  <si>
    <t>17:19</t>
  </si>
  <si>
    <t>21:34</t>
  </si>
  <si>
    <t>TB02-23/05/26/00034</t>
  </si>
  <si>
    <t>TB01-22/05/26/00047</t>
  </si>
  <si>
    <t>TB02-22/05/26/00114</t>
  </si>
  <si>
    <t>TB02-23/05/26/00015</t>
  </si>
  <si>
    <t>TB02-22/05/26/00057</t>
  </si>
  <si>
    <t>TB02-22/05/26/00100</t>
  </si>
  <si>
    <t>TB02-22/05/26/00044</t>
  </si>
  <si>
    <t>TB02-22/05/26/00051</t>
  </si>
  <si>
    <t>TB02-22/05/26/00064</t>
  </si>
  <si>
    <t>TB02-22/05/26/00087</t>
  </si>
  <si>
    <t>TB02-22/05/26/00019</t>
  </si>
  <si>
    <t>TB02-22/05/26/00123</t>
  </si>
  <si>
    <t>TB02-22/05/26/00076</t>
  </si>
  <si>
    <t>TB02-22/05/26/00028</t>
  </si>
  <si>
    <t>TB02-22/05/26/00042</t>
  </si>
  <si>
    <t>TB02-22/05/26/00013</t>
  </si>
  <si>
    <t>TB02-23/05/26/00019</t>
  </si>
  <si>
    <t>TB02-22/05/26/00070</t>
  </si>
  <si>
    <t>TB01-22/05/26/00015</t>
  </si>
  <si>
    <t>TB02-22/05/26/00102</t>
  </si>
  <si>
    <t>TB02-22/05/26/00071</t>
  </si>
  <si>
    <t>TB02-23/05/26/00035</t>
  </si>
  <si>
    <t>TB02-22/05/26/00040</t>
  </si>
  <si>
    <t>TB02-22/05/26/00120</t>
  </si>
  <si>
    <t>TB02-22/05/26/00059</t>
  </si>
  <si>
    <t>TB02-23/05/26/00039</t>
  </si>
  <si>
    <t>TB02-22/05/26/00048</t>
  </si>
  <si>
    <t>TB02-23/05/26/00040</t>
  </si>
  <si>
    <t>TB02-23/05/26/00029</t>
  </si>
  <si>
    <t>TB02-23/05/26/00030</t>
  </si>
  <si>
    <t>TB02-22/05/26/00078</t>
  </si>
  <si>
    <t>TB01-22/05/26/00048</t>
  </si>
  <si>
    <t>TB02-23/05/26/00036</t>
  </si>
  <si>
    <t>TB02-22/05/26/00027</t>
  </si>
  <si>
    <t>TB02-22/05/26/00116</t>
  </si>
  <si>
    <t>TB01-22/05/26/00050</t>
  </si>
  <si>
    <t>TB01-22/05/26/00013</t>
  </si>
  <si>
    <t>TB02-23/05/26/00016</t>
  </si>
  <si>
    <t>TB02-22/05/26/00069</t>
  </si>
  <si>
    <t>TB02-22/05/26/00041</t>
  </si>
  <si>
    <t>TB02-22/05/26/00043</t>
  </si>
  <si>
    <t>TB01-22/05/26/00019</t>
  </si>
  <si>
    <t>TB02-22/05/26/00109</t>
  </si>
  <si>
    <t>TB01-22/05/26/00005</t>
  </si>
  <si>
    <t>TB02-23/05/26/00057</t>
  </si>
  <si>
    <t>TB02-22/05/26/00061</t>
  </si>
  <si>
    <t>TB02-22/05/26/00018</t>
  </si>
  <si>
    <t>TB02-22/05/26/00079</t>
  </si>
  <si>
    <t>TB02-22/05/26/00031</t>
  </si>
  <si>
    <t>TB02-23/05/26/00006</t>
  </si>
  <si>
    <t>TB02-22/05/26/00091</t>
  </si>
  <si>
    <t>TB02-22/05/26/00077</t>
  </si>
  <si>
    <t>TB02-22/05/26/00049</t>
  </si>
  <si>
    <t>TB02-22/05/26/00099</t>
  </si>
  <si>
    <t>PJM044</t>
  </si>
  <si>
    <t>TB02-22/05/26/00032</t>
  </si>
  <si>
    <t>TB02-23/05/26/00005</t>
  </si>
  <si>
    <t>TB02-22/05/26/00046</t>
  </si>
  <si>
    <t>TB02-23/05/26/00003</t>
  </si>
  <si>
    <t>TB02-22/05/26/00037</t>
  </si>
  <si>
    <t>TB02-22/05/26/00060</t>
  </si>
  <si>
    <t>TB02-22/05/26/00036</t>
  </si>
  <si>
    <t>TB01-22/05/26/00028</t>
  </si>
  <si>
    <t>TB01-22/05/26/00010</t>
  </si>
  <si>
    <t>TB02-22/05/26/00122</t>
  </si>
  <si>
    <t>TB02-22/05/26/00098</t>
  </si>
  <si>
    <t>TB02-22/05/26/00097</t>
  </si>
  <si>
    <t>TB02-22/05/26/00047</t>
  </si>
  <si>
    <t>TB02-23/05/26/00041</t>
  </si>
  <si>
    <t>TB01-22/05/26/00012</t>
  </si>
  <si>
    <t>TB02-23/05/26/00020</t>
  </si>
  <si>
    <t>TB02-22/05/26/00092</t>
  </si>
  <si>
    <t>TB02-22/05/26/00115</t>
  </si>
  <si>
    <t>TB02-22/05/26/00009</t>
  </si>
  <si>
    <t>TB02-23/05/26/00052</t>
  </si>
  <si>
    <t>TB02-22/05/26/00011</t>
  </si>
  <si>
    <t>TB02-23/05/26/00127</t>
  </si>
  <si>
    <t>TB02-22/05/26/00025</t>
  </si>
  <si>
    <t>TB02-23/05/26/00088</t>
  </si>
  <si>
    <t>TB02-22/05/26/00026</t>
  </si>
  <si>
    <t>TB02-23/05/26/00044</t>
  </si>
  <si>
    <t>TB01-22/05/26/00056</t>
  </si>
  <si>
    <t>TB02-23/05/26/00050</t>
  </si>
  <si>
    <t>TB02-22/05/26/00052</t>
  </si>
  <si>
    <t>TB02-23/05/26/00045</t>
  </si>
  <si>
    <t>TB01-22/05/26/00004</t>
  </si>
  <si>
    <t>TB02-23/05/26/00049</t>
  </si>
  <si>
    <t>TB01-22/05/26/00006</t>
  </si>
  <si>
    <t>TB02-23/05/26/00021</t>
  </si>
  <si>
    <t>TB02-22/05/26/00015</t>
  </si>
  <si>
    <t>TB02-23/05/26/00043</t>
  </si>
  <si>
    <t>TB02-22/05/26/00058</t>
  </si>
  <si>
    <t>TB02-23/05/26/00114</t>
  </si>
  <si>
    <t>TB01-22/05/26/00007</t>
  </si>
  <si>
    <t>TB02-22/05/26/00090</t>
  </si>
  <si>
    <t>TB02-22/05/26/00068</t>
  </si>
  <si>
    <t>TB02-22/05/26/00017</t>
  </si>
  <si>
    <t>TB02-22/05/26/00104</t>
  </si>
  <si>
    <t>TB02-22/05/26/00053</t>
  </si>
  <si>
    <t>TB02-22/05/26/00014</t>
  </si>
  <si>
    <t>TB02-23/05/26/00009</t>
  </si>
  <si>
    <t>TB01-22/05/26/00017</t>
  </si>
  <si>
    <t>TB02-23/05/26/00022</t>
  </si>
  <si>
    <t>TB01-22/05/26/00016</t>
  </si>
  <si>
    <t>TB02-23/05/26/00008</t>
  </si>
  <si>
    <t>TB01-22/05/26/00018</t>
  </si>
  <si>
    <t>TB02-23/05/26/00018</t>
  </si>
  <si>
    <t>TB02-22/05/26/00110</t>
  </si>
  <si>
    <t>TB01-22/05/26/00055</t>
  </si>
  <si>
    <t>TB02-22/05/26/00125</t>
  </si>
  <si>
    <t>TB01-22/05/26/00053</t>
  </si>
  <si>
    <t>TB02-22/05/26/00012</t>
  </si>
  <si>
    <t>TB02-23/05/26/00017</t>
  </si>
  <si>
    <t>TB01-22/05/26/00003</t>
  </si>
  <si>
    <t>TB02-23/05/26/00014</t>
  </si>
  <si>
    <t>TB01-22/05/26/00057</t>
  </si>
  <si>
    <t>TB02-23/05/26/00023</t>
  </si>
  <si>
    <t>TB01-22/05/26/00008</t>
  </si>
  <si>
    <t>TB02-22/05/26/00016</t>
  </si>
  <si>
    <t>TB02-22/05/26/00103</t>
  </si>
  <si>
    <t>TB02-22/05/26/00073</t>
  </si>
  <si>
    <t>TB02-22/05/26/00020</t>
  </si>
  <si>
    <t>TB02-23/05/26/00010</t>
  </si>
  <si>
    <t>TB01-22/05/26/00011</t>
  </si>
  <si>
    <t>TB02-23/05/26/00038</t>
  </si>
  <si>
    <t>TB01-22/05/26/00014</t>
  </si>
  <si>
    <t>TB02-23/05/26/00007</t>
  </si>
  <si>
    <t>TB01-22/05/26/00001</t>
  </si>
  <si>
    <t>TB02-22/05/26/00010</t>
  </si>
  <si>
    <t>TB02-22/05/26/00095</t>
  </si>
  <si>
    <t>TB02-22/05/26/00006</t>
  </si>
  <si>
    <t>TB02-22/05/26/00088</t>
  </si>
  <si>
    <t>TB02-22/05/26/00008</t>
  </si>
  <si>
    <t>TB02-22/05/26/00118</t>
  </si>
  <si>
    <t>TB01-22/05/26/00002</t>
  </si>
  <si>
    <t>TB02-22/05/26/00067</t>
  </si>
  <si>
    <t>TB02-22/05/26/00007</t>
  </si>
  <si>
    <t>TB02-22/05/26/00072</t>
  </si>
  <si>
    <t>TB02-22/05/26/00089</t>
  </si>
  <si>
    <t>TB01-22/05/26/00009</t>
  </si>
  <si>
    <t>TB02-22/05/26/00121</t>
  </si>
  <si>
    <t>TB01-22/05/26/00049</t>
  </si>
  <si>
    <t>TB02-22/05/26/00124</t>
  </si>
  <si>
    <t>TB02-22/05/26/00038</t>
  </si>
  <si>
    <t>TB01-22/05/26/00060</t>
  </si>
  <si>
    <t>PJM135</t>
  </si>
  <si>
    <t>TB02-22/05/26/00034</t>
  </si>
  <si>
    <t>TB02-23/05/26/00012</t>
  </si>
  <si>
    <t>TB02-22/05/26/00039</t>
  </si>
  <si>
    <t>TB02-23/05/26/00013</t>
  </si>
  <si>
    <t>TB02-22/05/26/00094</t>
  </si>
  <si>
    <t>14:39</t>
  </si>
  <si>
    <t>14:41</t>
  </si>
  <si>
    <t>14:49</t>
  </si>
  <si>
    <t>14:50</t>
  </si>
  <si>
    <t>15:01</t>
  </si>
  <si>
    <t>17:02</t>
  </si>
  <si>
    <t>14:38</t>
  </si>
  <si>
    <t>15:00</t>
  </si>
  <si>
    <t>15:27</t>
  </si>
  <si>
    <t>17:04</t>
  </si>
  <si>
    <t>17:40</t>
  </si>
  <si>
    <t>20:21</t>
  </si>
  <si>
    <t>20:28</t>
  </si>
  <si>
    <t>20:51</t>
  </si>
  <si>
    <t>21:11</t>
  </si>
  <si>
    <t>21:37</t>
  </si>
  <si>
    <t>22:08</t>
  </si>
  <si>
    <t>22:10</t>
  </si>
  <si>
    <t>22:27</t>
  </si>
  <si>
    <t>22:33</t>
  </si>
  <si>
    <t>22:54</t>
  </si>
  <si>
    <t>23:08</t>
  </si>
  <si>
    <t>23:09</t>
  </si>
  <si>
    <t>23:11</t>
  </si>
  <si>
    <t>00:39</t>
  </si>
  <si>
    <t>00:41</t>
  </si>
  <si>
    <t>00:43</t>
  </si>
  <si>
    <t>00:45</t>
  </si>
  <si>
    <t>00:50</t>
  </si>
  <si>
    <t>00:52</t>
  </si>
  <si>
    <t>00:53</t>
  </si>
  <si>
    <t>01:11</t>
  </si>
  <si>
    <t>01:22</t>
  </si>
  <si>
    <t>01:59</t>
  </si>
  <si>
    <t>02:37</t>
  </si>
  <si>
    <t>02:39</t>
  </si>
  <si>
    <t>02:40</t>
  </si>
  <si>
    <t>02:49</t>
  </si>
  <si>
    <t>02:53</t>
  </si>
  <si>
    <t>02:55</t>
  </si>
  <si>
    <t>03:53</t>
  </si>
  <si>
    <t>03:59</t>
  </si>
  <si>
    <t>07:20</t>
  </si>
  <si>
    <t>11:26</t>
  </si>
  <si>
    <t>14:11</t>
  </si>
  <si>
    <t>16:36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</si>
</sst>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5" formatCode="_(* #,##0.00_);_(* \(#,##0.00\);_(* &quot;-&quot;??_);_(@_)"/>
    <numFmt numFmtId="166" formatCode="[$-F400]h:mm:ss\ AM/PM"/>
    <numFmt numFmtId="167" formatCode="#,##0_ ;\-#,##0\ "/>
    <numFmt numFmtId="169" formatCode="#,##0.000"/>
  </numFmts>
  <fonts count="15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b/>
      <sz val="8"/>
      <name val="Arial"/>
      <family val="2"/>
    </font>
    <font>
      <b/>
      <sz val="9"/>
      <name val="Arial"/>
      <family val="2"/>
    </font>
    <font>
      <sz val="9"/>
      <name val="Arial"/>
      <family val="2"/>
      <charset val="204"/>
    </font>
    <font>
      <b/>
      <u/>
      <sz val="9"/>
      <name val="Arial"/>
      <family val="2"/>
      <charset val="204"/>
    </font>
    <font>
      <sz val="8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14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theme="0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1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" fillId="0" borderId="0"/>
    <xf numFmtId="0" fontId="9" fillId="0" borderId="0"/>
    <xf numFmtId="0" fontId="1" fillId="0" borderId="0"/>
    <xf numFmtId="9" fontId="8" fillId="0" borderId="0" applyFont="0" applyFill="0" applyBorder="0" applyAlignment="0" applyProtection="0"/>
  </cellStyleXfs>
  <cellXfs count="53">
    <xf numFmtId="0" fontId="0" fillId="0" borderId="0" xfId="0"/>
    <xf numFmtId="0" fontId="1" fillId="2" borderId="0" xfId="3" applyFill="1"/>
    <xf numFmtId="0" fontId="1" fillId="2" borderId="1" xfId="3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1" fillId="2" borderId="0" xfId="3" applyFill="1" applyAlignment="1">
      <alignment horizontal="center" vertical="center"/>
    </xf>
    <xf numFmtId="0" fontId="4" fillId="2" borderId="0" xfId="3" applyFont="1" applyFill="1" applyAlignment="1">
      <alignment vertical="center"/>
    </xf>
    <xf numFmtId="0" fontId="4" fillId="2" borderId="0" xfId="3" applyFont="1" applyFill="1"/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4" borderId="1" xfId="3" applyFont="1" applyFill="1" applyBorder="1" applyAlignment="1">
      <alignment horizontal="center" vertical="center"/>
    </xf>
    <xf numFmtId="0" fontId="12" fillId="2" borderId="2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horizontal="left" vertical="center"/>
    </xf>
    <xf numFmtId="0" fontId="13" fillId="2" borderId="3" xfId="3" applyFont="1" applyFill="1" applyBorder="1" applyAlignment="1">
      <alignment vertical="center"/>
    </xf>
    <xf numFmtId="0" fontId="3" fillId="2" borderId="5" xfId="3" applyFont="1" applyFill="1" applyBorder="1" applyAlignment="1">
      <alignment horizontal="center" vertical="center"/>
    </xf>
    <xf numFmtId="0" fontId="3" fillId="2" borderId="6" xfId="3" applyFont="1" applyFill="1" applyBorder="1" applyAlignment="1">
      <alignment horizontal="center" vertical="center"/>
    </xf>
    <xf numFmtId="0" fontId="3" fillId="2" borderId="7" xfId="3" applyFont="1" applyFill="1" applyBorder="1" applyAlignment="1">
      <alignment horizontal="left" vertical="center"/>
    </xf>
    <xf numFmtId="169" fontId="3" fillId="3" borderId="1" xfId="3" applyNumberFormat="1" applyFont="1" applyFill="1" applyBorder="1" applyAlignment="1">
      <alignment horizontal="center" vertical="center"/>
    </xf>
    <xf numFmtId="169" fontId="3" fillId="4" borderId="1" xfId="3" applyNumberFormat="1" applyFont="1" applyFill="1" applyBorder="1" applyAlignment="1">
      <alignment horizontal="center" vertical="center"/>
    </xf>
    <xf numFmtId="0" fontId="1" fillId="2" borderId="0" xfId="3" applyFill="1" applyAlignment="1">
      <alignment horizontal="center"/>
    </xf>
    <xf numFmtId="0" fontId="3" fillId="2" borderId="0" xfId="3" applyFont="1" applyFill="1" applyAlignment="1">
      <alignment horizontal="center" vertical="center"/>
    </xf>
    <xf numFmtId="3" fontId="3" fillId="2" borderId="0" xfId="3" applyNumberFormat="1" applyFont="1" applyFill="1" applyAlignment="1">
      <alignment horizontal="center" vertical="center"/>
    </xf>
    <xf numFmtId="3" fontId="10" fillId="2" borderId="0" xfId="0" applyNumberFormat="1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166" fontId="11" fillId="2" borderId="0" xfId="0" applyNumberFormat="1" applyFont="1" applyFill="1" applyAlignment="1">
      <alignment horizontal="center" vertical="center"/>
    </xf>
    <xf numFmtId="3" fontId="10" fillId="2" borderId="8" xfId="0" applyNumberFormat="1" applyFont="1" applyFill="1" applyBorder="1" applyAlignment="1">
      <alignment horizontal="center" vertical="center"/>
    </xf>
    <xf numFmtId="167" fontId="6" fillId="2" borderId="0" xfId="1" applyNumberFormat="1" applyFont="1" applyFill="1" applyBorder="1" applyAlignment="1">
      <alignment horizontal="center" vertical="center"/>
    </xf>
    <xf numFmtId="167" fontId="6" fillId="2" borderId="8" xfId="1" applyNumberFormat="1" applyFont="1" applyFill="1" applyBorder="1" applyAlignment="1">
      <alignment horizontal="center" vertical="center"/>
    </xf>
    <xf numFmtId="167" fontId="1" fillId="2" borderId="8" xfId="1" applyNumberFormat="1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 wrapText="1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3" fontId="1" fillId="2" borderId="0" xfId="3" applyNumberFormat="1" applyFill="1" applyAlignment="1">
      <alignment horizontal="center" vertical="center"/>
    </xf>
    <xf numFmtId="0" fontId="14" fillId="2" borderId="4" xfId="3" applyFont="1" applyFill="1" applyBorder="1" applyAlignment="1">
      <alignment horizontal="center" vertical="center"/>
    </xf>
    <xf numFmtId="14" fontId="3" fillId="2" borderId="5" xfId="3" applyNumberFormat="1" applyFont="1" applyFill="1" applyBorder="1" applyAlignment="1">
      <alignment horizontal="center" vertical="center"/>
    </xf>
    <xf numFmtId="10" fontId="1" fillId="2" borderId="0" xfId="6" applyNumberFormat="1" applyFont="1" applyFill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4" fillId="2" borderId="0" xfId="3" applyFont="1" applyFill="1" applyAlignment="1">
      <alignment horizontal="center"/>
    </xf>
    <xf numFmtId="0" fontId="7" fillId="2" borderId="0" xfId="3" applyFont="1" applyFill="1" applyAlignment="1">
      <alignment horizontal="center" vertical="center"/>
    </xf>
    <xf numFmtId="0" fontId="3" fillId="2" borderId="9" xfId="3" applyFont="1" applyFill="1" applyBorder="1" applyAlignment="1">
      <alignment horizontal="left" vertical="center"/>
    </xf>
    <xf numFmtId="0" fontId="3" fillId="2" borderId="0" xfId="3" applyFont="1" applyFill="1" applyAlignment="1">
      <alignment horizontal="left" vertical="center"/>
    </xf>
    <xf numFmtId="0" fontId="3" fillId="2" borderId="10" xfId="3" applyFont="1" applyFill="1" applyBorder="1" applyAlignment="1">
      <alignment horizontal="left" vertical="center"/>
    </xf>
    <xf numFmtId="0" fontId="7" fillId="2" borderId="5" xfId="3" applyFont="1" applyFill="1" applyBorder="1" applyAlignment="1">
      <alignment horizontal="center" vertical="center"/>
    </xf>
  </cellXfs>
  <cellStyles count="7">
    <cellStyle name="Comma [0]" xfId="1" builtinId="6"/>
    <cellStyle name="Comma 2" xfId="2" xr:uid="{00000000-0005-0000-0000-000001000000}"/>
    <cellStyle name="Normal" xfId="0" builtinId="0"/>
    <cellStyle name="Normal 2" xfId="3" xr:uid="{00000000-0005-0000-0000-000003000000}"/>
    <cellStyle name="Normal 2 2" xfId="5" xr:uid="{00000000-0005-0000-0000-000004000000}"/>
    <cellStyle name="Normal 3" xfId="4" xr:uid="{00000000-0005-0000-0000-000005000000}"/>
    <cellStyle name="Percent" xfId="6" builtinId="5"/>
  </cellStyles>
  <dxfs count="532"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mruColors>
      <color rgb="FFFF0066"/>
      <color rgb="FFFFCCFF"/>
      <color rgb="FFFFFFCC"/>
      <color rgb="FFFF99FF"/>
      <color rgb="FF66CCFF"/>
      <color rgb="FF99CC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ED740-7046-4C58-BD9F-6A6E15827CDD}">
  <sheetPr codeName="Sheet4"/>
  <dimension ref="A1:Q227"/>
  <sheetViews>
    <sheetView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5.140625" style="1" bestFit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v>46143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175" si="1">G6-H6</f>
        <v>0</v>
      </c>
      <c r="K6" s="2"/>
      <c r="L6" s="14"/>
      <c r="M6" s="14"/>
      <c r="N6" s="15">
        <f t="shared" ref="N6:N175" si="2">L6-M6</f>
        <v>0</v>
      </c>
      <c r="O6" s="41">
        <f t="shared" ref="O6:O175" si="3">G6-L6</f>
        <v>0</v>
      </c>
      <c r="P6" s="41">
        <f t="shared" ref="P6:P175" si="4">H6-M6</f>
        <v>0</v>
      </c>
      <c r="Q6" s="41">
        <f t="shared" ref="Q6:Q175" si="5">I6-N6</f>
        <v>0</v>
      </c>
    </row>
    <row r="7" spans="1:17" s="7" customFormat="1" ht="15" customHeight="1" x14ac:dyDescent="0.25">
      <c r="A7" s="2">
        <f t="shared" ref="A7:A175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ref="O7:O70" si="7">G7-L7</f>
        <v>0</v>
      </c>
      <c r="P7" s="41">
        <f t="shared" ref="P7:P70" si="8">H7-M7</f>
        <v>0</v>
      </c>
      <c r="Q7" s="41">
        <f t="shared" ref="Q7:Q70" si="9">I7-N7</f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7"/>
        <v>0</v>
      </c>
      <c r="P8" s="41">
        <f t="shared" si="8"/>
        <v>0</v>
      </c>
      <c r="Q8" s="41">
        <f t="shared" si="9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7"/>
        <v>0</v>
      </c>
      <c r="P9" s="41">
        <f t="shared" si="8"/>
        <v>0</v>
      </c>
      <c r="Q9" s="41">
        <f t="shared" si="9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7"/>
        <v>0</v>
      </c>
      <c r="P10" s="41">
        <f t="shared" si="8"/>
        <v>0</v>
      </c>
      <c r="Q10" s="41">
        <f t="shared" si="9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7"/>
        <v>0</v>
      </c>
      <c r="P11" s="41">
        <f t="shared" si="8"/>
        <v>0</v>
      </c>
      <c r="Q11" s="41">
        <f t="shared" si="9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7"/>
        <v>0</v>
      </c>
      <c r="P12" s="41">
        <f t="shared" si="8"/>
        <v>0</v>
      </c>
      <c r="Q12" s="41">
        <f t="shared" si="9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7"/>
        <v>0</v>
      </c>
      <c r="P13" s="41">
        <f t="shared" si="8"/>
        <v>0</v>
      </c>
      <c r="Q13" s="41">
        <f t="shared" si="9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7"/>
        <v>0</v>
      </c>
      <c r="P14" s="41">
        <f t="shared" si="8"/>
        <v>0</v>
      </c>
      <c r="Q14" s="41">
        <f t="shared" si="9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7"/>
        <v>0</v>
      </c>
      <c r="P15" s="41">
        <f t="shared" si="8"/>
        <v>0</v>
      </c>
      <c r="Q15" s="41">
        <f t="shared" si="9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7"/>
        <v>0</v>
      </c>
      <c r="P16" s="41">
        <f t="shared" si="8"/>
        <v>0</v>
      </c>
      <c r="Q16" s="41">
        <f t="shared" si="9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7"/>
        <v>0</v>
      </c>
      <c r="P17" s="41">
        <f t="shared" si="8"/>
        <v>0</v>
      </c>
      <c r="Q17" s="41">
        <f t="shared" si="9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7"/>
        <v>0</v>
      </c>
      <c r="P18" s="41">
        <f t="shared" si="8"/>
        <v>0</v>
      </c>
      <c r="Q18" s="41">
        <f t="shared" si="9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7"/>
        <v>0</v>
      </c>
      <c r="P19" s="41">
        <f t="shared" si="8"/>
        <v>0</v>
      </c>
      <c r="Q19" s="41">
        <f t="shared" si="9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7"/>
        <v>0</v>
      </c>
      <c r="P20" s="41">
        <f t="shared" si="8"/>
        <v>0</v>
      </c>
      <c r="Q20" s="41">
        <f t="shared" si="9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7"/>
        <v>0</v>
      </c>
      <c r="P21" s="41">
        <f t="shared" si="8"/>
        <v>0</v>
      </c>
      <c r="Q21" s="41">
        <f t="shared" si="9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7"/>
        <v>0</v>
      </c>
      <c r="P22" s="41">
        <f t="shared" si="8"/>
        <v>0</v>
      </c>
      <c r="Q22" s="41">
        <f t="shared" si="9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7"/>
        <v>0</v>
      </c>
      <c r="P23" s="41">
        <f t="shared" si="8"/>
        <v>0</v>
      </c>
      <c r="Q23" s="41">
        <f t="shared" si="9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7"/>
        <v>0</v>
      </c>
      <c r="P24" s="41">
        <f t="shared" si="8"/>
        <v>0</v>
      </c>
      <c r="Q24" s="41">
        <f t="shared" si="9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7"/>
        <v>0</v>
      </c>
      <c r="P25" s="41">
        <f t="shared" si="8"/>
        <v>0</v>
      </c>
      <c r="Q25" s="41">
        <f t="shared" si="9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7"/>
        <v>0</v>
      </c>
      <c r="P26" s="41">
        <f t="shared" si="8"/>
        <v>0</v>
      </c>
      <c r="Q26" s="41">
        <f t="shared" si="9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7"/>
        <v>0</v>
      </c>
      <c r="P27" s="41">
        <f t="shared" si="8"/>
        <v>0</v>
      </c>
      <c r="Q27" s="41">
        <f t="shared" si="9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7"/>
        <v>0</v>
      </c>
      <c r="P28" s="41">
        <f t="shared" si="8"/>
        <v>0</v>
      </c>
      <c r="Q28" s="41">
        <f t="shared" si="9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7"/>
        <v>0</v>
      </c>
      <c r="P29" s="41">
        <f t="shared" si="8"/>
        <v>0</v>
      </c>
      <c r="Q29" s="41">
        <f t="shared" si="9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7"/>
        <v>0</v>
      </c>
      <c r="P30" s="41">
        <f t="shared" si="8"/>
        <v>0</v>
      </c>
      <c r="Q30" s="41">
        <f t="shared" si="9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7"/>
        <v>0</v>
      </c>
      <c r="P31" s="41">
        <f t="shared" si="8"/>
        <v>0</v>
      </c>
      <c r="Q31" s="41">
        <f t="shared" si="9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7"/>
        <v>0</v>
      </c>
      <c r="P32" s="41">
        <f t="shared" si="8"/>
        <v>0</v>
      </c>
      <c r="Q32" s="41">
        <f t="shared" si="9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7"/>
        <v>0</v>
      </c>
      <c r="P33" s="41">
        <f t="shared" si="8"/>
        <v>0</v>
      </c>
      <c r="Q33" s="41">
        <f t="shared" si="9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7"/>
        <v>0</v>
      </c>
      <c r="P34" s="41">
        <f t="shared" si="8"/>
        <v>0</v>
      </c>
      <c r="Q34" s="41">
        <f t="shared" si="9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7"/>
        <v>0</v>
      </c>
      <c r="P35" s="41">
        <f t="shared" si="8"/>
        <v>0</v>
      </c>
      <c r="Q35" s="41">
        <f t="shared" si="9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7"/>
        <v>0</v>
      </c>
      <c r="P36" s="41">
        <f t="shared" si="8"/>
        <v>0</v>
      </c>
      <c r="Q36" s="41">
        <f t="shared" si="9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7"/>
        <v>0</v>
      </c>
      <c r="P37" s="41">
        <f t="shared" si="8"/>
        <v>0</v>
      </c>
      <c r="Q37" s="41">
        <f t="shared" si="9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7"/>
        <v>0</v>
      </c>
      <c r="P38" s="41">
        <f t="shared" si="8"/>
        <v>0</v>
      </c>
      <c r="Q38" s="41">
        <f t="shared" si="9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7"/>
        <v>0</v>
      </c>
      <c r="P39" s="41">
        <f t="shared" si="8"/>
        <v>0</v>
      </c>
      <c r="Q39" s="41">
        <f t="shared" si="9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7"/>
        <v>0</v>
      </c>
      <c r="P40" s="41">
        <f t="shared" si="8"/>
        <v>0</v>
      </c>
      <c r="Q40" s="41">
        <f t="shared" si="9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7"/>
        <v>0</v>
      </c>
      <c r="P41" s="41">
        <f t="shared" si="8"/>
        <v>0</v>
      </c>
      <c r="Q41" s="41">
        <f t="shared" si="9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7"/>
        <v>0</v>
      </c>
      <c r="P42" s="41">
        <f t="shared" si="8"/>
        <v>0</v>
      </c>
      <c r="Q42" s="41">
        <f t="shared" si="9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7"/>
        <v>0</v>
      </c>
      <c r="P43" s="41">
        <f t="shared" si="8"/>
        <v>0</v>
      </c>
      <c r="Q43" s="41">
        <f t="shared" si="9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7"/>
        <v>0</v>
      </c>
      <c r="P44" s="41">
        <f t="shared" si="8"/>
        <v>0</v>
      </c>
      <c r="Q44" s="41">
        <f t="shared" si="9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7"/>
        <v>0</v>
      </c>
      <c r="P45" s="41">
        <f t="shared" si="8"/>
        <v>0</v>
      </c>
      <c r="Q45" s="41">
        <f t="shared" si="9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7"/>
        <v>0</v>
      </c>
      <c r="P46" s="41">
        <f t="shared" si="8"/>
        <v>0</v>
      </c>
      <c r="Q46" s="41">
        <f t="shared" si="9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7"/>
        <v>0</v>
      </c>
      <c r="P47" s="41">
        <f t="shared" si="8"/>
        <v>0</v>
      </c>
      <c r="Q47" s="41">
        <f t="shared" si="9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7"/>
        <v>0</v>
      </c>
      <c r="P48" s="41">
        <f t="shared" si="8"/>
        <v>0</v>
      </c>
      <c r="Q48" s="41">
        <f t="shared" si="9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7"/>
        <v>0</v>
      </c>
      <c r="P49" s="41">
        <f t="shared" si="8"/>
        <v>0</v>
      </c>
      <c r="Q49" s="41">
        <f t="shared" si="9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7"/>
        <v>0</v>
      </c>
      <c r="P50" s="41">
        <f t="shared" si="8"/>
        <v>0</v>
      </c>
      <c r="Q50" s="41">
        <f t="shared" si="9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7"/>
        <v>0</v>
      </c>
      <c r="P51" s="41">
        <f t="shared" si="8"/>
        <v>0</v>
      </c>
      <c r="Q51" s="41">
        <f t="shared" si="9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7"/>
        <v>0</v>
      </c>
      <c r="P52" s="41">
        <f t="shared" si="8"/>
        <v>0</v>
      </c>
      <c r="Q52" s="41">
        <f t="shared" si="9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7"/>
        <v>0</v>
      </c>
      <c r="P53" s="41">
        <f t="shared" si="8"/>
        <v>0</v>
      </c>
      <c r="Q53" s="41">
        <f t="shared" si="9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7"/>
        <v>0</v>
      </c>
      <c r="P54" s="41">
        <f t="shared" si="8"/>
        <v>0</v>
      </c>
      <c r="Q54" s="41">
        <f t="shared" si="9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7"/>
        <v>0</v>
      </c>
      <c r="P55" s="41">
        <f t="shared" si="8"/>
        <v>0</v>
      </c>
      <c r="Q55" s="41">
        <f t="shared" si="9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7"/>
        <v>0</v>
      </c>
      <c r="P56" s="41">
        <f t="shared" si="8"/>
        <v>0</v>
      </c>
      <c r="Q56" s="41">
        <f t="shared" si="9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7"/>
        <v>0</v>
      </c>
      <c r="P57" s="41">
        <f t="shared" si="8"/>
        <v>0</v>
      </c>
      <c r="Q57" s="41">
        <f t="shared" si="9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7"/>
        <v>0</v>
      </c>
      <c r="P58" s="41">
        <f t="shared" si="8"/>
        <v>0</v>
      </c>
      <c r="Q58" s="41">
        <f t="shared" si="9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7"/>
        <v>0</v>
      </c>
      <c r="P59" s="41">
        <f t="shared" si="8"/>
        <v>0</v>
      </c>
      <c r="Q59" s="41">
        <f t="shared" si="9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7"/>
        <v>0</v>
      </c>
      <c r="P60" s="41">
        <f t="shared" si="8"/>
        <v>0</v>
      </c>
      <c r="Q60" s="41">
        <f t="shared" si="9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7"/>
        <v>0</v>
      </c>
      <c r="P61" s="41">
        <f t="shared" si="8"/>
        <v>0</v>
      </c>
      <c r="Q61" s="41">
        <f t="shared" si="9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7"/>
        <v>0</v>
      </c>
      <c r="P62" s="41">
        <f t="shared" si="8"/>
        <v>0</v>
      </c>
      <c r="Q62" s="41">
        <f t="shared" si="9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7"/>
        <v>0</v>
      </c>
      <c r="P63" s="41">
        <f t="shared" si="8"/>
        <v>0</v>
      </c>
      <c r="Q63" s="41">
        <f t="shared" si="9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7"/>
        <v>0</v>
      </c>
      <c r="P64" s="41">
        <f t="shared" si="8"/>
        <v>0</v>
      </c>
      <c r="Q64" s="41">
        <f t="shared" si="9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7"/>
        <v>0</v>
      </c>
      <c r="P65" s="41">
        <f t="shared" si="8"/>
        <v>0</v>
      </c>
      <c r="Q65" s="41">
        <f t="shared" si="9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7"/>
        <v>0</v>
      </c>
      <c r="P66" s="41">
        <f t="shared" si="8"/>
        <v>0</v>
      </c>
      <c r="Q66" s="41">
        <f t="shared" si="9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7"/>
        <v>0</v>
      </c>
      <c r="P67" s="41">
        <f t="shared" si="8"/>
        <v>0</v>
      </c>
      <c r="Q67" s="41">
        <f t="shared" si="9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7"/>
        <v>0</v>
      </c>
      <c r="P68" s="41">
        <f t="shared" si="8"/>
        <v>0</v>
      </c>
      <c r="Q68" s="41">
        <f t="shared" si="9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7"/>
        <v>0</v>
      </c>
      <c r="P69" s="41">
        <f t="shared" si="8"/>
        <v>0</v>
      </c>
      <c r="Q69" s="41">
        <f t="shared" si="9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si="7"/>
        <v>0</v>
      </c>
      <c r="P70" s="41">
        <f t="shared" si="8"/>
        <v>0</v>
      </c>
      <c r="Q70" s="41">
        <f t="shared" si="9"/>
        <v>0</v>
      </c>
    </row>
    <row r="71" spans="1:17" s="7" customFormat="1" ht="15" customHeight="1" x14ac:dyDescent="0.25">
      <c r="A71" s="2">
        <f t="shared" si="6"/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ref="O71:O134" si="10">G71-L71</f>
        <v>0</v>
      </c>
      <c r="P71" s="41">
        <f t="shared" ref="P71:P134" si="11">H71-M71</f>
        <v>0</v>
      </c>
      <c r="Q71" s="41">
        <f t="shared" ref="Q71:Q134" si="12">I71-N71</f>
        <v>0</v>
      </c>
    </row>
    <row r="72" spans="1:17" s="7" customFormat="1" ht="15" customHeight="1" x14ac:dyDescent="0.25">
      <c r="A72" s="2">
        <f t="shared" si="6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10"/>
        <v>0</v>
      </c>
      <c r="P72" s="41">
        <f t="shared" si="11"/>
        <v>0</v>
      </c>
      <c r="Q72" s="41">
        <f t="shared" si="12"/>
        <v>0</v>
      </c>
    </row>
    <row r="73" spans="1:17" s="7" customFormat="1" ht="15" customHeight="1" x14ac:dyDescent="0.25">
      <c r="A73" s="2">
        <f t="shared" si="6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10"/>
        <v>0</v>
      </c>
      <c r="P73" s="41">
        <f t="shared" si="11"/>
        <v>0</v>
      </c>
      <c r="Q73" s="41">
        <f t="shared" si="12"/>
        <v>0</v>
      </c>
    </row>
    <row r="74" spans="1:17" s="7" customFormat="1" ht="15" customHeight="1" x14ac:dyDescent="0.25">
      <c r="A74" s="2">
        <f t="shared" si="6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10"/>
        <v>0</v>
      </c>
      <c r="P74" s="41">
        <f t="shared" si="11"/>
        <v>0</v>
      </c>
      <c r="Q74" s="41">
        <f t="shared" si="12"/>
        <v>0</v>
      </c>
    </row>
    <row r="75" spans="1:17" s="7" customFormat="1" ht="15" customHeight="1" x14ac:dyDescent="0.25">
      <c r="A75" s="2">
        <f t="shared" si="6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10"/>
        <v>0</v>
      </c>
      <c r="P75" s="41">
        <f t="shared" si="11"/>
        <v>0</v>
      </c>
      <c r="Q75" s="41">
        <f t="shared" si="12"/>
        <v>0</v>
      </c>
    </row>
    <row r="76" spans="1:17" s="7" customFormat="1" ht="15" customHeight="1" x14ac:dyDescent="0.25">
      <c r="A76" s="2">
        <f t="shared" si="6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10"/>
        <v>0</v>
      </c>
      <c r="P76" s="41">
        <f t="shared" si="11"/>
        <v>0</v>
      </c>
      <c r="Q76" s="41">
        <f t="shared" si="12"/>
        <v>0</v>
      </c>
    </row>
    <row r="77" spans="1:17" s="7" customFormat="1" ht="15" customHeight="1" x14ac:dyDescent="0.25">
      <c r="A77" s="2">
        <f t="shared" si="6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10"/>
        <v>0</v>
      </c>
      <c r="P77" s="41">
        <f t="shared" si="11"/>
        <v>0</v>
      </c>
      <c r="Q77" s="41">
        <f t="shared" si="12"/>
        <v>0</v>
      </c>
    </row>
    <row r="78" spans="1:17" s="7" customFormat="1" ht="15" customHeight="1" x14ac:dyDescent="0.25">
      <c r="A78" s="2">
        <f t="shared" si="6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10"/>
        <v>0</v>
      </c>
      <c r="P78" s="41">
        <f t="shared" si="11"/>
        <v>0</v>
      </c>
      <c r="Q78" s="41">
        <f t="shared" si="12"/>
        <v>0</v>
      </c>
    </row>
    <row r="79" spans="1:17" s="7" customFormat="1" ht="15" customHeight="1" x14ac:dyDescent="0.25">
      <c r="A79" s="2">
        <f t="shared" si="6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10"/>
        <v>0</v>
      </c>
      <c r="P79" s="41">
        <f t="shared" si="11"/>
        <v>0</v>
      </c>
      <c r="Q79" s="41">
        <f t="shared" si="12"/>
        <v>0</v>
      </c>
    </row>
    <row r="80" spans="1:17" s="7" customFormat="1" ht="15" customHeight="1" x14ac:dyDescent="0.25">
      <c r="A80" s="2">
        <f t="shared" si="6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10"/>
        <v>0</v>
      </c>
      <c r="P80" s="41">
        <f t="shared" si="11"/>
        <v>0</v>
      </c>
      <c r="Q80" s="41">
        <f t="shared" si="12"/>
        <v>0</v>
      </c>
    </row>
    <row r="81" spans="1:17" s="7" customFormat="1" ht="15" customHeight="1" x14ac:dyDescent="0.25">
      <c r="A81" s="2">
        <f t="shared" si="6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10"/>
        <v>0</v>
      </c>
      <c r="P81" s="41">
        <f t="shared" si="11"/>
        <v>0</v>
      </c>
      <c r="Q81" s="41">
        <f t="shared" si="12"/>
        <v>0</v>
      </c>
    </row>
    <row r="82" spans="1:17" s="7" customFormat="1" ht="15" customHeight="1" x14ac:dyDescent="0.25">
      <c r="A82" s="2">
        <f t="shared" si="6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10"/>
        <v>0</v>
      </c>
      <c r="P82" s="41">
        <f t="shared" si="11"/>
        <v>0</v>
      </c>
      <c r="Q82" s="41">
        <f t="shared" si="12"/>
        <v>0</v>
      </c>
    </row>
    <row r="83" spans="1:17" s="7" customFormat="1" ht="15" customHeight="1" x14ac:dyDescent="0.25">
      <c r="A83" s="2">
        <f t="shared" si="6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10"/>
        <v>0</v>
      </c>
      <c r="P83" s="41">
        <f t="shared" si="11"/>
        <v>0</v>
      </c>
      <c r="Q83" s="41">
        <f t="shared" si="12"/>
        <v>0</v>
      </c>
    </row>
    <row r="84" spans="1:17" s="7" customFormat="1" ht="15" customHeight="1" x14ac:dyDescent="0.25">
      <c r="A84" s="2">
        <f t="shared" si="6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10"/>
        <v>0</v>
      </c>
      <c r="P84" s="41">
        <f t="shared" si="11"/>
        <v>0</v>
      </c>
      <c r="Q84" s="41">
        <f t="shared" si="12"/>
        <v>0</v>
      </c>
    </row>
    <row r="85" spans="1:17" s="7" customFormat="1" ht="15" customHeight="1" x14ac:dyDescent="0.25">
      <c r="A85" s="2">
        <f t="shared" si="6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10"/>
        <v>0</v>
      </c>
      <c r="P85" s="41">
        <f t="shared" si="11"/>
        <v>0</v>
      </c>
      <c r="Q85" s="41">
        <f t="shared" si="12"/>
        <v>0</v>
      </c>
    </row>
    <row r="86" spans="1:17" s="7" customFormat="1" ht="15" customHeight="1" x14ac:dyDescent="0.25">
      <c r="A86" s="2">
        <f t="shared" si="6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10"/>
        <v>0</v>
      </c>
      <c r="P86" s="41">
        <f t="shared" si="11"/>
        <v>0</v>
      </c>
      <c r="Q86" s="41">
        <f t="shared" si="12"/>
        <v>0</v>
      </c>
    </row>
    <row r="87" spans="1:17" s="7" customFormat="1" ht="15" customHeight="1" x14ac:dyDescent="0.25">
      <c r="A87" s="2">
        <f t="shared" si="6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10"/>
        <v>0</v>
      </c>
      <c r="P87" s="41">
        <f t="shared" si="11"/>
        <v>0</v>
      </c>
      <c r="Q87" s="41">
        <f t="shared" si="12"/>
        <v>0</v>
      </c>
    </row>
    <row r="88" spans="1:17" s="7" customFormat="1" ht="15" customHeight="1" x14ac:dyDescent="0.25">
      <c r="A88" s="2">
        <f t="shared" si="6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10"/>
        <v>0</v>
      </c>
      <c r="P88" s="41">
        <f t="shared" si="11"/>
        <v>0</v>
      </c>
      <c r="Q88" s="41">
        <f t="shared" si="12"/>
        <v>0</v>
      </c>
    </row>
    <row r="89" spans="1:17" s="7" customFormat="1" ht="15" customHeight="1" x14ac:dyDescent="0.25">
      <c r="A89" s="2">
        <f t="shared" si="6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10"/>
        <v>0</v>
      </c>
      <c r="P89" s="41">
        <f t="shared" si="11"/>
        <v>0</v>
      </c>
      <c r="Q89" s="41">
        <f t="shared" si="12"/>
        <v>0</v>
      </c>
    </row>
    <row r="90" spans="1:17" s="7" customFormat="1" ht="15" customHeight="1" x14ac:dyDescent="0.25">
      <c r="A90" s="2">
        <f t="shared" si="6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10"/>
        <v>0</v>
      </c>
      <c r="P90" s="41">
        <f t="shared" si="11"/>
        <v>0</v>
      </c>
      <c r="Q90" s="41">
        <f t="shared" si="12"/>
        <v>0</v>
      </c>
    </row>
    <row r="91" spans="1:17" s="7" customFormat="1" ht="15" customHeight="1" x14ac:dyDescent="0.25">
      <c r="A91" s="2">
        <f t="shared" si="6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10"/>
        <v>0</v>
      </c>
      <c r="P91" s="41">
        <f t="shared" si="11"/>
        <v>0</v>
      </c>
      <c r="Q91" s="41">
        <f t="shared" si="12"/>
        <v>0</v>
      </c>
    </row>
    <row r="92" spans="1:17" s="7" customFormat="1" ht="15" customHeight="1" x14ac:dyDescent="0.25">
      <c r="A92" s="2">
        <f t="shared" si="6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10"/>
        <v>0</v>
      </c>
      <c r="P92" s="41">
        <f t="shared" si="11"/>
        <v>0</v>
      </c>
      <c r="Q92" s="41">
        <f t="shared" si="12"/>
        <v>0</v>
      </c>
    </row>
    <row r="93" spans="1:17" s="7" customFormat="1" ht="15" customHeight="1" x14ac:dyDescent="0.25">
      <c r="A93" s="2">
        <f t="shared" si="6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10"/>
        <v>0</v>
      </c>
      <c r="P93" s="41">
        <f t="shared" si="11"/>
        <v>0</v>
      </c>
      <c r="Q93" s="41">
        <f t="shared" si="12"/>
        <v>0</v>
      </c>
    </row>
    <row r="94" spans="1:17" s="7" customFormat="1" ht="15" customHeight="1" x14ac:dyDescent="0.25">
      <c r="A94" s="2">
        <f t="shared" si="6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10"/>
        <v>0</v>
      </c>
      <c r="P94" s="41">
        <f t="shared" si="11"/>
        <v>0</v>
      </c>
      <c r="Q94" s="41">
        <f t="shared" si="12"/>
        <v>0</v>
      </c>
    </row>
    <row r="95" spans="1:17" s="7" customFormat="1" ht="15" customHeight="1" x14ac:dyDescent="0.25">
      <c r="A95" s="2">
        <f t="shared" si="6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10"/>
        <v>0</v>
      </c>
      <c r="P95" s="41">
        <f t="shared" si="11"/>
        <v>0</v>
      </c>
      <c r="Q95" s="41">
        <f t="shared" si="12"/>
        <v>0</v>
      </c>
    </row>
    <row r="96" spans="1:17" s="7" customFormat="1" ht="15" customHeight="1" x14ac:dyDescent="0.25">
      <c r="A96" s="2">
        <f t="shared" si="6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10"/>
        <v>0</v>
      </c>
      <c r="P96" s="41">
        <f t="shared" si="11"/>
        <v>0</v>
      </c>
      <c r="Q96" s="41">
        <f t="shared" si="12"/>
        <v>0</v>
      </c>
    </row>
    <row r="97" spans="1:17" s="7" customFormat="1" ht="15" customHeight="1" x14ac:dyDescent="0.25">
      <c r="A97" s="2">
        <f t="shared" si="6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10"/>
        <v>0</v>
      </c>
      <c r="P97" s="41">
        <f t="shared" si="11"/>
        <v>0</v>
      </c>
      <c r="Q97" s="41">
        <f t="shared" si="12"/>
        <v>0</v>
      </c>
    </row>
    <row r="98" spans="1:17" s="7" customFormat="1" ht="15" customHeight="1" x14ac:dyDescent="0.25">
      <c r="A98" s="2">
        <f t="shared" si="6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10"/>
        <v>0</v>
      </c>
      <c r="P98" s="41">
        <f t="shared" si="11"/>
        <v>0</v>
      </c>
      <c r="Q98" s="41">
        <f t="shared" si="12"/>
        <v>0</v>
      </c>
    </row>
    <row r="99" spans="1:17" s="7" customFormat="1" ht="15" customHeight="1" x14ac:dyDescent="0.25">
      <c r="A99" s="2">
        <f t="shared" si="6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10"/>
        <v>0</v>
      </c>
      <c r="P99" s="41">
        <f t="shared" si="11"/>
        <v>0</v>
      </c>
      <c r="Q99" s="41">
        <f t="shared" si="12"/>
        <v>0</v>
      </c>
    </row>
    <row r="100" spans="1:17" s="7" customFormat="1" ht="15" customHeight="1" x14ac:dyDescent="0.25">
      <c r="A100" s="2">
        <f t="shared" si="6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10"/>
        <v>0</v>
      </c>
      <c r="P100" s="41">
        <f t="shared" si="11"/>
        <v>0</v>
      </c>
      <c r="Q100" s="41">
        <f t="shared" si="12"/>
        <v>0</v>
      </c>
    </row>
    <row r="101" spans="1:17" s="7" customFormat="1" ht="15" customHeight="1" x14ac:dyDescent="0.25">
      <c r="A101" s="2">
        <f t="shared" si="6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10"/>
        <v>0</v>
      </c>
      <c r="P101" s="41">
        <f t="shared" si="11"/>
        <v>0</v>
      </c>
      <c r="Q101" s="41">
        <f t="shared" si="12"/>
        <v>0</v>
      </c>
    </row>
    <row r="102" spans="1:17" s="7" customFormat="1" ht="15" customHeight="1" x14ac:dyDescent="0.25">
      <c r="A102" s="2">
        <f t="shared" si="6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10"/>
        <v>0</v>
      </c>
      <c r="P102" s="41">
        <f t="shared" si="11"/>
        <v>0</v>
      </c>
      <c r="Q102" s="41">
        <f t="shared" si="12"/>
        <v>0</v>
      </c>
    </row>
    <row r="103" spans="1:17" s="7" customFormat="1" ht="15" customHeight="1" x14ac:dyDescent="0.25">
      <c r="A103" s="2">
        <f t="shared" si="6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10"/>
        <v>0</v>
      </c>
      <c r="P103" s="41">
        <f t="shared" si="11"/>
        <v>0</v>
      </c>
      <c r="Q103" s="41">
        <f t="shared" si="12"/>
        <v>0</v>
      </c>
    </row>
    <row r="104" spans="1:17" s="7" customFormat="1" ht="15" customHeight="1" x14ac:dyDescent="0.25">
      <c r="A104" s="2">
        <f t="shared" si="6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10"/>
        <v>0</v>
      </c>
      <c r="P104" s="41">
        <f t="shared" si="11"/>
        <v>0</v>
      </c>
      <c r="Q104" s="41">
        <f t="shared" si="12"/>
        <v>0</v>
      </c>
    </row>
    <row r="105" spans="1:17" s="7" customFormat="1" ht="15" customHeight="1" x14ac:dyDescent="0.25">
      <c r="A105" s="2">
        <f t="shared" si="6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10"/>
        <v>0</v>
      </c>
      <c r="P105" s="41">
        <f t="shared" si="11"/>
        <v>0</v>
      </c>
      <c r="Q105" s="41">
        <f t="shared" si="12"/>
        <v>0</v>
      </c>
    </row>
    <row r="106" spans="1:17" s="7" customFormat="1" ht="15" customHeight="1" x14ac:dyDescent="0.25">
      <c r="A106" s="2">
        <f t="shared" si="6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10"/>
        <v>0</v>
      </c>
      <c r="P106" s="41">
        <f t="shared" si="11"/>
        <v>0</v>
      </c>
      <c r="Q106" s="41">
        <f t="shared" si="12"/>
        <v>0</v>
      </c>
    </row>
    <row r="107" spans="1:17" s="7" customFormat="1" ht="15" customHeight="1" x14ac:dyDescent="0.25">
      <c r="A107" s="2">
        <f t="shared" si="6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10"/>
        <v>0</v>
      </c>
      <c r="P107" s="41">
        <f t="shared" si="11"/>
        <v>0</v>
      </c>
      <c r="Q107" s="41">
        <f t="shared" si="12"/>
        <v>0</v>
      </c>
    </row>
    <row r="108" spans="1:17" s="7" customFormat="1" ht="15" customHeight="1" x14ac:dyDescent="0.25">
      <c r="A108" s="2">
        <f t="shared" si="6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10"/>
        <v>0</v>
      </c>
      <c r="P108" s="41">
        <f t="shared" si="11"/>
        <v>0</v>
      </c>
      <c r="Q108" s="41">
        <f t="shared" si="12"/>
        <v>0</v>
      </c>
    </row>
    <row r="109" spans="1:17" s="7" customFormat="1" ht="15" customHeight="1" x14ac:dyDescent="0.25">
      <c r="A109" s="2">
        <f t="shared" si="6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10"/>
        <v>0</v>
      </c>
      <c r="P109" s="41">
        <f t="shared" si="11"/>
        <v>0</v>
      </c>
      <c r="Q109" s="41">
        <f t="shared" si="12"/>
        <v>0</v>
      </c>
    </row>
    <row r="110" spans="1:17" s="7" customFormat="1" ht="15" customHeight="1" x14ac:dyDescent="0.25">
      <c r="A110" s="2">
        <f t="shared" si="6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10"/>
        <v>0</v>
      </c>
      <c r="P110" s="41">
        <f t="shared" si="11"/>
        <v>0</v>
      </c>
      <c r="Q110" s="41">
        <f t="shared" si="12"/>
        <v>0</v>
      </c>
    </row>
    <row r="111" spans="1:17" s="7" customFormat="1" ht="15" customHeight="1" x14ac:dyDescent="0.25">
      <c r="A111" s="2">
        <f t="shared" si="6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10"/>
        <v>0</v>
      </c>
      <c r="P111" s="41">
        <f t="shared" si="11"/>
        <v>0</v>
      </c>
      <c r="Q111" s="41">
        <f t="shared" si="12"/>
        <v>0</v>
      </c>
    </row>
    <row r="112" spans="1:17" s="7" customFormat="1" ht="15" customHeight="1" x14ac:dyDescent="0.25">
      <c r="A112" s="2">
        <f t="shared" si="6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10"/>
        <v>0</v>
      </c>
      <c r="P112" s="41">
        <f t="shared" si="11"/>
        <v>0</v>
      </c>
      <c r="Q112" s="41">
        <f t="shared" si="12"/>
        <v>0</v>
      </c>
    </row>
    <row r="113" spans="1:17" s="7" customFormat="1" ht="15" customHeight="1" x14ac:dyDescent="0.25">
      <c r="A113" s="2">
        <f t="shared" si="6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10"/>
        <v>0</v>
      </c>
      <c r="P113" s="41">
        <f t="shared" si="11"/>
        <v>0</v>
      </c>
      <c r="Q113" s="41">
        <f t="shared" si="12"/>
        <v>0</v>
      </c>
    </row>
    <row r="114" spans="1:17" s="7" customFormat="1" ht="15" customHeight="1" x14ac:dyDescent="0.25">
      <c r="A114" s="2">
        <f t="shared" si="6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10"/>
        <v>0</v>
      </c>
      <c r="P114" s="41">
        <f t="shared" si="11"/>
        <v>0</v>
      </c>
      <c r="Q114" s="41">
        <f t="shared" si="12"/>
        <v>0</v>
      </c>
    </row>
    <row r="115" spans="1:17" s="7" customFormat="1" ht="15" customHeight="1" x14ac:dyDescent="0.25">
      <c r="A115" s="2">
        <f t="shared" si="6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10"/>
        <v>0</v>
      </c>
      <c r="P115" s="41">
        <f t="shared" si="11"/>
        <v>0</v>
      </c>
      <c r="Q115" s="41">
        <f t="shared" si="12"/>
        <v>0</v>
      </c>
    </row>
    <row r="116" spans="1:17" s="7" customFormat="1" ht="15" customHeight="1" x14ac:dyDescent="0.25">
      <c r="A116" s="2">
        <f t="shared" si="6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10"/>
        <v>0</v>
      </c>
      <c r="P116" s="41">
        <f t="shared" si="11"/>
        <v>0</v>
      </c>
      <c r="Q116" s="41">
        <f t="shared" si="12"/>
        <v>0</v>
      </c>
    </row>
    <row r="117" spans="1:17" s="7" customFormat="1" ht="15" customHeight="1" x14ac:dyDescent="0.25">
      <c r="A117" s="2">
        <f t="shared" si="6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10"/>
        <v>0</v>
      </c>
      <c r="P117" s="41">
        <f t="shared" si="11"/>
        <v>0</v>
      </c>
      <c r="Q117" s="41">
        <f t="shared" si="12"/>
        <v>0</v>
      </c>
    </row>
    <row r="118" spans="1:17" s="7" customFormat="1" ht="15" customHeight="1" x14ac:dyDescent="0.25">
      <c r="A118" s="2">
        <f t="shared" si="6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10"/>
        <v>0</v>
      </c>
      <c r="P118" s="41">
        <f t="shared" si="11"/>
        <v>0</v>
      </c>
      <c r="Q118" s="41">
        <f t="shared" si="12"/>
        <v>0</v>
      </c>
    </row>
    <row r="119" spans="1:17" s="7" customFormat="1" ht="15" customHeight="1" x14ac:dyDescent="0.25">
      <c r="A119" s="2">
        <f t="shared" si="6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10"/>
        <v>0</v>
      </c>
      <c r="P119" s="41">
        <f t="shared" si="11"/>
        <v>0</v>
      </c>
      <c r="Q119" s="41">
        <f t="shared" si="12"/>
        <v>0</v>
      </c>
    </row>
    <row r="120" spans="1:17" s="7" customFormat="1" ht="15" customHeight="1" x14ac:dyDescent="0.25">
      <c r="A120" s="2">
        <f t="shared" si="6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10"/>
        <v>0</v>
      </c>
      <c r="P120" s="41">
        <f t="shared" si="11"/>
        <v>0</v>
      </c>
      <c r="Q120" s="41">
        <f t="shared" si="12"/>
        <v>0</v>
      </c>
    </row>
    <row r="121" spans="1:17" s="7" customFormat="1" ht="15" customHeight="1" x14ac:dyDescent="0.25">
      <c r="A121" s="2">
        <f t="shared" si="6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10"/>
        <v>0</v>
      </c>
      <c r="P121" s="41">
        <f t="shared" si="11"/>
        <v>0</v>
      </c>
      <c r="Q121" s="41">
        <f t="shared" si="12"/>
        <v>0</v>
      </c>
    </row>
    <row r="122" spans="1:17" s="7" customFormat="1" ht="15" customHeight="1" x14ac:dyDescent="0.25">
      <c r="A122" s="2">
        <f t="shared" si="6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10"/>
        <v>0</v>
      </c>
      <c r="P122" s="41">
        <f t="shared" si="11"/>
        <v>0</v>
      </c>
      <c r="Q122" s="41">
        <f t="shared" si="12"/>
        <v>0</v>
      </c>
    </row>
    <row r="123" spans="1:17" s="7" customFormat="1" ht="15" customHeight="1" x14ac:dyDescent="0.25">
      <c r="A123" s="2">
        <f t="shared" si="6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10"/>
        <v>0</v>
      </c>
      <c r="P123" s="41">
        <f t="shared" si="11"/>
        <v>0</v>
      </c>
      <c r="Q123" s="41">
        <f t="shared" si="12"/>
        <v>0</v>
      </c>
    </row>
    <row r="124" spans="1:17" s="7" customFormat="1" ht="15" customHeight="1" x14ac:dyDescent="0.25">
      <c r="A124" s="2">
        <f t="shared" si="6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10"/>
        <v>0</v>
      </c>
      <c r="P124" s="41">
        <f t="shared" si="11"/>
        <v>0</v>
      </c>
      <c r="Q124" s="41">
        <f t="shared" si="12"/>
        <v>0</v>
      </c>
    </row>
    <row r="125" spans="1:17" s="7" customFormat="1" ht="15" customHeight="1" x14ac:dyDescent="0.25">
      <c r="A125" s="2">
        <f t="shared" si="6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10"/>
        <v>0</v>
      </c>
      <c r="P125" s="41">
        <f t="shared" si="11"/>
        <v>0</v>
      </c>
      <c r="Q125" s="41">
        <f t="shared" si="12"/>
        <v>0</v>
      </c>
    </row>
    <row r="126" spans="1:17" s="7" customFormat="1" ht="15" customHeight="1" x14ac:dyDescent="0.25">
      <c r="A126" s="2">
        <f t="shared" si="6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10"/>
        <v>0</v>
      </c>
      <c r="P126" s="41">
        <f t="shared" si="11"/>
        <v>0</v>
      </c>
      <c r="Q126" s="41">
        <f t="shared" si="12"/>
        <v>0</v>
      </c>
    </row>
    <row r="127" spans="1:17" s="7" customFormat="1" ht="15" customHeight="1" x14ac:dyDescent="0.25">
      <c r="A127" s="2">
        <f t="shared" si="6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10"/>
        <v>0</v>
      </c>
      <c r="P127" s="41">
        <f t="shared" si="11"/>
        <v>0</v>
      </c>
      <c r="Q127" s="41">
        <f t="shared" si="12"/>
        <v>0</v>
      </c>
    </row>
    <row r="128" spans="1:17" s="7" customFormat="1" ht="15" customHeight="1" x14ac:dyDescent="0.25">
      <c r="A128" s="2">
        <f t="shared" si="6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10"/>
        <v>0</v>
      </c>
      <c r="P128" s="41">
        <f t="shared" si="11"/>
        <v>0</v>
      </c>
      <c r="Q128" s="41">
        <f t="shared" si="12"/>
        <v>0</v>
      </c>
    </row>
    <row r="129" spans="1:17" s="7" customFormat="1" ht="15" customHeight="1" x14ac:dyDescent="0.25">
      <c r="A129" s="2">
        <f t="shared" si="6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10"/>
        <v>0</v>
      </c>
      <c r="P129" s="41">
        <f t="shared" si="11"/>
        <v>0</v>
      </c>
      <c r="Q129" s="41">
        <f t="shared" si="12"/>
        <v>0</v>
      </c>
    </row>
    <row r="130" spans="1:17" s="7" customFormat="1" ht="15" customHeight="1" x14ac:dyDescent="0.25">
      <c r="A130" s="2">
        <f t="shared" si="6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10"/>
        <v>0</v>
      </c>
      <c r="P130" s="41">
        <f t="shared" si="11"/>
        <v>0</v>
      </c>
      <c r="Q130" s="41">
        <f t="shared" si="12"/>
        <v>0</v>
      </c>
    </row>
    <row r="131" spans="1:17" s="7" customFormat="1" ht="15" customHeight="1" x14ac:dyDescent="0.25">
      <c r="A131" s="2">
        <f t="shared" si="6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10"/>
        <v>0</v>
      </c>
      <c r="P131" s="41">
        <f t="shared" si="11"/>
        <v>0</v>
      </c>
      <c r="Q131" s="41">
        <f t="shared" si="12"/>
        <v>0</v>
      </c>
    </row>
    <row r="132" spans="1:17" s="7" customFormat="1" ht="15" customHeight="1" x14ac:dyDescent="0.25">
      <c r="A132" s="2">
        <f t="shared" si="6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10"/>
        <v>0</v>
      </c>
      <c r="P132" s="41">
        <f t="shared" si="11"/>
        <v>0</v>
      </c>
      <c r="Q132" s="41">
        <f t="shared" si="12"/>
        <v>0</v>
      </c>
    </row>
    <row r="133" spans="1:17" s="7" customFormat="1" ht="15" customHeight="1" x14ac:dyDescent="0.25">
      <c r="A133" s="2">
        <f t="shared" si="6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10"/>
        <v>0</v>
      </c>
      <c r="P133" s="41">
        <f t="shared" si="11"/>
        <v>0</v>
      </c>
      <c r="Q133" s="41">
        <f t="shared" si="12"/>
        <v>0</v>
      </c>
    </row>
    <row r="134" spans="1:17" s="7" customFormat="1" ht="15" customHeight="1" x14ac:dyDescent="0.25">
      <c r="A134" s="2">
        <f t="shared" si="6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si="10"/>
        <v>0</v>
      </c>
      <c r="P134" s="41">
        <f t="shared" si="11"/>
        <v>0</v>
      </c>
      <c r="Q134" s="41">
        <f t="shared" si="12"/>
        <v>0</v>
      </c>
    </row>
    <row r="135" spans="1:17" s="7" customFormat="1" ht="15" customHeight="1" x14ac:dyDescent="0.25">
      <c r="A135" s="2">
        <f t="shared" si="6"/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ref="O135:O137" si="13">G135-L135</f>
        <v>0</v>
      </c>
      <c r="P135" s="41">
        <f t="shared" ref="P135:P137" si="14">H135-M135</f>
        <v>0</v>
      </c>
      <c r="Q135" s="41">
        <f t="shared" ref="Q135:Q137" si="15">I135-N135</f>
        <v>0</v>
      </c>
    </row>
    <row r="136" spans="1:17" s="7" customFormat="1" ht="15" customHeight="1" x14ac:dyDescent="0.25">
      <c r="A136" s="2">
        <f t="shared" si="6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3"/>
        <v>0</v>
      </c>
      <c r="P136" s="41">
        <f t="shared" si="14"/>
        <v>0</v>
      </c>
      <c r="Q136" s="41">
        <f t="shared" si="15"/>
        <v>0</v>
      </c>
    </row>
    <row r="137" spans="1:17" s="7" customFormat="1" ht="15" customHeight="1" x14ac:dyDescent="0.25">
      <c r="A137" s="2">
        <f t="shared" si="6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3"/>
        <v>0</v>
      </c>
      <c r="P137" s="41">
        <f t="shared" si="14"/>
        <v>0</v>
      </c>
      <c r="Q137" s="41">
        <f t="shared" si="15"/>
        <v>0</v>
      </c>
    </row>
    <row r="138" spans="1:17" s="7" customFormat="1" ht="15" customHeight="1" x14ac:dyDescent="0.25">
      <c r="A138" s="2">
        <f t="shared" si="6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3"/>
        <v>0</v>
      </c>
      <c r="P138" s="41">
        <f t="shared" si="4"/>
        <v>0</v>
      </c>
      <c r="Q138" s="41">
        <f t="shared" si="5"/>
        <v>0</v>
      </c>
    </row>
    <row r="139" spans="1:17" s="7" customFormat="1" ht="15" customHeight="1" x14ac:dyDescent="0.25">
      <c r="A139" s="2">
        <f t="shared" si="6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3"/>
        <v>0</v>
      </c>
      <c r="P139" s="41">
        <f t="shared" si="4"/>
        <v>0</v>
      </c>
      <c r="Q139" s="41">
        <f t="shared" si="5"/>
        <v>0</v>
      </c>
    </row>
    <row r="140" spans="1:17" s="7" customFormat="1" ht="15" customHeight="1" x14ac:dyDescent="0.25">
      <c r="A140" s="2">
        <f t="shared" si="6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3"/>
        <v>0</v>
      </c>
      <c r="P140" s="41">
        <f t="shared" si="4"/>
        <v>0</v>
      </c>
      <c r="Q140" s="41">
        <f t="shared" si="5"/>
        <v>0</v>
      </c>
    </row>
    <row r="141" spans="1:17" s="7" customFormat="1" ht="15" customHeight="1" x14ac:dyDescent="0.25">
      <c r="A141" s="2">
        <f t="shared" si="6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3"/>
        <v>0</v>
      </c>
      <c r="P141" s="41">
        <f t="shared" si="4"/>
        <v>0</v>
      </c>
      <c r="Q141" s="41">
        <f t="shared" si="5"/>
        <v>0</v>
      </c>
    </row>
    <row r="142" spans="1:17" s="7" customFormat="1" ht="15" customHeight="1" x14ac:dyDescent="0.25">
      <c r="A142" s="2">
        <f t="shared" si="6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3"/>
        <v>0</v>
      </c>
      <c r="P142" s="41">
        <f t="shared" si="4"/>
        <v>0</v>
      </c>
      <c r="Q142" s="41">
        <f t="shared" si="5"/>
        <v>0</v>
      </c>
    </row>
    <row r="143" spans="1:17" s="7" customFormat="1" ht="15" customHeight="1" x14ac:dyDescent="0.25">
      <c r="A143" s="2">
        <f t="shared" si="6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3"/>
        <v>0</v>
      </c>
      <c r="P143" s="41">
        <f t="shared" si="4"/>
        <v>0</v>
      </c>
      <c r="Q143" s="41">
        <f t="shared" si="5"/>
        <v>0</v>
      </c>
    </row>
    <row r="144" spans="1:17" s="7" customFormat="1" ht="15" customHeight="1" x14ac:dyDescent="0.25">
      <c r="A144" s="2">
        <f t="shared" si="6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3"/>
        <v>0</v>
      </c>
      <c r="P144" s="41">
        <f t="shared" si="4"/>
        <v>0</v>
      </c>
      <c r="Q144" s="41">
        <f t="shared" si="5"/>
        <v>0</v>
      </c>
    </row>
    <row r="145" spans="1:17" s="7" customFormat="1" ht="15" customHeight="1" x14ac:dyDescent="0.25">
      <c r="A145" s="2">
        <f t="shared" si="6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3"/>
        <v>0</v>
      </c>
      <c r="P145" s="41">
        <f t="shared" si="4"/>
        <v>0</v>
      </c>
      <c r="Q145" s="41">
        <f t="shared" si="5"/>
        <v>0</v>
      </c>
    </row>
    <row r="146" spans="1:17" s="7" customFormat="1" ht="15" customHeight="1" x14ac:dyDescent="0.25">
      <c r="A146" s="2">
        <f t="shared" si="6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3"/>
        <v>0</v>
      </c>
      <c r="P146" s="41">
        <f t="shared" si="4"/>
        <v>0</v>
      </c>
      <c r="Q146" s="41">
        <f t="shared" si="5"/>
        <v>0</v>
      </c>
    </row>
    <row r="147" spans="1:17" s="7" customFormat="1" ht="15" customHeight="1" x14ac:dyDescent="0.25">
      <c r="A147" s="2">
        <f t="shared" si="6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3"/>
        <v>0</v>
      </c>
      <c r="P147" s="41">
        <f t="shared" si="4"/>
        <v>0</v>
      </c>
      <c r="Q147" s="41">
        <f t="shared" si="5"/>
        <v>0</v>
      </c>
    </row>
    <row r="148" spans="1:17" s="7" customFormat="1" ht="15" customHeight="1" x14ac:dyDescent="0.25">
      <c r="A148" s="2">
        <f t="shared" si="6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3"/>
        <v>0</v>
      </c>
      <c r="P148" s="41">
        <f t="shared" si="4"/>
        <v>0</v>
      </c>
      <c r="Q148" s="41">
        <f t="shared" si="5"/>
        <v>0</v>
      </c>
    </row>
    <row r="149" spans="1:17" s="7" customFormat="1" ht="15" customHeight="1" x14ac:dyDescent="0.25">
      <c r="A149" s="2">
        <f t="shared" si="6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3"/>
        <v>0</v>
      </c>
      <c r="P149" s="41">
        <f t="shared" si="4"/>
        <v>0</v>
      </c>
      <c r="Q149" s="41">
        <f t="shared" si="5"/>
        <v>0</v>
      </c>
    </row>
    <row r="150" spans="1:17" s="7" customFormat="1" ht="15" customHeight="1" x14ac:dyDescent="0.25">
      <c r="A150" s="2">
        <f t="shared" si="6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3"/>
        <v>0</v>
      </c>
      <c r="P150" s="41">
        <f t="shared" si="4"/>
        <v>0</v>
      </c>
      <c r="Q150" s="41">
        <f t="shared" si="5"/>
        <v>0</v>
      </c>
    </row>
    <row r="151" spans="1:17" s="7" customFormat="1" ht="15" customHeight="1" x14ac:dyDescent="0.25">
      <c r="A151" s="2">
        <f t="shared" si="6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3"/>
        <v>0</v>
      </c>
      <c r="P151" s="41">
        <f t="shared" si="4"/>
        <v>0</v>
      </c>
      <c r="Q151" s="41">
        <f t="shared" si="5"/>
        <v>0</v>
      </c>
    </row>
    <row r="152" spans="1:17" s="7" customFormat="1" ht="15" customHeight="1" x14ac:dyDescent="0.25">
      <c r="A152" s="2">
        <f t="shared" si="6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3"/>
        <v>0</v>
      </c>
      <c r="P152" s="41">
        <f t="shared" si="4"/>
        <v>0</v>
      </c>
      <c r="Q152" s="41">
        <f t="shared" si="5"/>
        <v>0</v>
      </c>
    </row>
    <row r="153" spans="1:17" s="7" customFormat="1" ht="15" customHeight="1" x14ac:dyDescent="0.25">
      <c r="A153" s="2">
        <f t="shared" si="6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3"/>
        <v>0</v>
      </c>
      <c r="P153" s="41">
        <f t="shared" si="4"/>
        <v>0</v>
      </c>
      <c r="Q153" s="41">
        <f t="shared" si="5"/>
        <v>0</v>
      </c>
    </row>
    <row r="154" spans="1:17" s="7" customFormat="1" ht="15" customHeight="1" x14ac:dyDescent="0.25">
      <c r="A154" s="2">
        <f t="shared" si="6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3"/>
        <v>0</v>
      </c>
      <c r="P154" s="41">
        <f t="shared" si="4"/>
        <v>0</v>
      </c>
      <c r="Q154" s="41">
        <f t="shared" si="5"/>
        <v>0</v>
      </c>
    </row>
    <row r="155" spans="1:17" s="7" customFormat="1" ht="15" customHeight="1" x14ac:dyDescent="0.25">
      <c r="A155" s="2">
        <f t="shared" si="6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3"/>
        <v>0</v>
      </c>
      <c r="P155" s="41">
        <f t="shared" si="4"/>
        <v>0</v>
      </c>
      <c r="Q155" s="41">
        <f t="shared" si="5"/>
        <v>0</v>
      </c>
    </row>
    <row r="156" spans="1:17" s="7" customFormat="1" ht="15" customHeight="1" x14ac:dyDescent="0.25">
      <c r="A156" s="2">
        <f t="shared" si="6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3"/>
        <v>0</v>
      </c>
      <c r="P156" s="41">
        <f t="shared" si="4"/>
        <v>0</v>
      </c>
      <c r="Q156" s="41">
        <f t="shared" si="5"/>
        <v>0</v>
      </c>
    </row>
    <row r="157" spans="1:17" s="7" customFormat="1" ht="15" customHeight="1" x14ac:dyDescent="0.25">
      <c r="A157" s="2">
        <f t="shared" si="6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3"/>
        <v>0</v>
      </c>
      <c r="P157" s="41">
        <f t="shared" si="4"/>
        <v>0</v>
      </c>
      <c r="Q157" s="41">
        <f t="shared" si="5"/>
        <v>0</v>
      </c>
    </row>
    <row r="158" spans="1:17" s="7" customFormat="1" ht="15" customHeight="1" x14ac:dyDescent="0.25">
      <c r="A158" s="2">
        <f t="shared" si="6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3"/>
        <v>0</v>
      </c>
      <c r="P158" s="41">
        <f t="shared" si="4"/>
        <v>0</v>
      </c>
      <c r="Q158" s="41">
        <f t="shared" si="5"/>
        <v>0</v>
      </c>
    </row>
    <row r="159" spans="1:17" s="7" customFormat="1" ht="15" customHeight="1" x14ac:dyDescent="0.25">
      <c r="A159" s="2">
        <f t="shared" si="6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3"/>
        <v>0</v>
      </c>
      <c r="P159" s="41">
        <f t="shared" si="4"/>
        <v>0</v>
      </c>
      <c r="Q159" s="41">
        <f t="shared" si="5"/>
        <v>0</v>
      </c>
    </row>
    <row r="160" spans="1:17" s="7" customFormat="1" ht="15" customHeight="1" x14ac:dyDescent="0.25">
      <c r="A160" s="2">
        <f t="shared" si="6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3"/>
        <v>0</v>
      </c>
      <c r="P160" s="41">
        <f t="shared" si="4"/>
        <v>0</v>
      </c>
      <c r="Q160" s="41">
        <f t="shared" si="5"/>
        <v>0</v>
      </c>
    </row>
    <row r="161" spans="1:17" s="7" customFormat="1" ht="15" customHeight="1" x14ac:dyDescent="0.25">
      <c r="A161" s="2">
        <f t="shared" si="6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3"/>
        <v>0</v>
      </c>
      <c r="P161" s="41">
        <f t="shared" si="4"/>
        <v>0</v>
      </c>
      <c r="Q161" s="41">
        <f t="shared" si="5"/>
        <v>0</v>
      </c>
    </row>
    <row r="162" spans="1:17" s="7" customFormat="1" ht="15" customHeight="1" x14ac:dyDescent="0.25">
      <c r="A162" s="2">
        <f t="shared" si="6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3"/>
        <v>0</v>
      </c>
      <c r="P162" s="41">
        <f t="shared" si="4"/>
        <v>0</v>
      </c>
      <c r="Q162" s="41">
        <f t="shared" si="5"/>
        <v>0</v>
      </c>
    </row>
    <row r="163" spans="1:17" s="7" customFormat="1" ht="15" customHeight="1" x14ac:dyDescent="0.25">
      <c r="A163" s="2">
        <f t="shared" si="6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3"/>
        <v>0</v>
      </c>
      <c r="P163" s="41">
        <f t="shared" si="4"/>
        <v>0</v>
      </c>
      <c r="Q163" s="41">
        <f t="shared" si="5"/>
        <v>0</v>
      </c>
    </row>
    <row r="164" spans="1:17" s="7" customFormat="1" ht="15" customHeight="1" x14ac:dyDescent="0.25">
      <c r="A164" s="2">
        <f t="shared" si="6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3"/>
        <v>0</v>
      </c>
      <c r="P164" s="41">
        <f t="shared" si="4"/>
        <v>0</v>
      </c>
      <c r="Q164" s="41">
        <f t="shared" si="5"/>
        <v>0</v>
      </c>
    </row>
    <row r="165" spans="1:17" s="7" customFormat="1" ht="15" customHeight="1" x14ac:dyDescent="0.25">
      <c r="A165" s="2">
        <f t="shared" si="6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3"/>
        <v>0</v>
      </c>
      <c r="P165" s="41">
        <f t="shared" si="4"/>
        <v>0</v>
      </c>
      <c r="Q165" s="41">
        <f t="shared" si="5"/>
        <v>0</v>
      </c>
    </row>
    <row r="166" spans="1:17" s="7" customFormat="1" ht="15" customHeight="1" x14ac:dyDescent="0.25">
      <c r="A166" s="2">
        <f t="shared" si="6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3"/>
        <v>0</v>
      </c>
      <c r="P166" s="41">
        <f t="shared" si="4"/>
        <v>0</v>
      </c>
      <c r="Q166" s="41">
        <f t="shared" si="5"/>
        <v>0</v>
      </c>
    </row>
    <row r="167" spans="1:17" s="7" customFormat="1" ht="15" customHeight="1" x14ac:dyDescent="0.25">
      <c r="A167" s="2">
        <f t="shared" si="6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3"/>
        <v>0</v>
      </c>
      <c r="P167" s="41">
        <f t="shared" si="4"/>
        <v>0</v>
      </c>
      <c r="Q167" s="41">
        <f t="shared" si="5"/>
        <v>0</v>
      </c>
    </row>
    <row r="168" spans="1:17" s="7" customFormat="1" ht="15" customHeight="1" x14ac:dyDescent="0.25">
      <c r="A168" s="2">
        <f t="shared" si="6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3"/>
        <v>0</v>
      </c>
      <c r="P168" s="41">
        <f t="shared" si="4"/>
        <v>0</v>
      </c>
      <c r="Q168" s="41">
        <f t="shared" si="5"/>
        <v>0</v>
      </c>
    </row>
    <row r="169" spans="1:17" s="7" customFormat="1" ht="15" customHeight="1" x14ac:dyDescent="0.25">
      <c r="A169" s="2">
        <f t="shared" si="6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3"/>
        <v>0</v>
      </c>
      <c r="P169" s="41">
        <f t="shared" si="4"/>
        <v>0</v>
      </c>
      <c r="Q169" s="41">
        <f t="shared" si="5"/>
        <v>0</v>
      </c>
    </row>
    <row r="170" spans="1:17" s="7" customFormat="1" ht="15" customHeight="1" x14ac:dyDescent="0.25">
      <c r="A170" s="2">
        <f t="shared" si="6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3"/>
        <v>0</v>
      </c>
      <c r="P170" s="41">
        <f t="shared" si="4"/>
        <v>0</v>
      </c>
      <c r="Q170" s="41">
        <f t="shared" si="5"/>
        <v>0</v>
      </c>
    </row>
    <row r="171" spans="1:17" s="7" customFormat="1" ht="15" customHeight="1" x14ac:dyDescent="0.25">
      <c r="A171" s="2">
        <f t="shared" si="6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3"/>
        <v>0</v>
      </c>
      <c r="P171" s="41">
        <f t="shared" si="4"/>
        <v>0</v>
      </c>
      <c r="Q171" s="41">
        <f t="shared" si="5"/>
        <v>0</v>
      </c>
    </row>
    <row r="172" spans="1:17" s="7" customFormat="1" ht="15" customHeight="1" x14ac:dyDescent="0.25">
      <c r="A172" s="2">
        <f t="shared" si="6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3"/>
        <v>0</v>
      </c>
      <c r="P172" s="41">
        <f t="shared" si="4"/>
        <v>0</v>
      </c>
      <c r="Q172" s="41">
        <f t="shared" si="5"/>
        <v>0</v>
      </c>
    </row>
    <row r="173" spans="1:17" s="7" customFormat="1" ht="15" customHeight="1" x14ac:dyDescent="0.25">
      <c r="A173" s="2">
        <f t="shared" si="6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3"/>
        <v>0</v>
      </c>
      <c r="P173" s="41">
        <f t="shared" si="4"/>
        <v>0</v>
      </c>
      <c r="Q173" s="41">
        <f t="shared" si="5"/>
        <v>0</v>
      </c>
    </row>
    <row r="174" spans="1:17" s="7" customFormat="1" ht="15" customHeight="1" x14ac:dyDescent="0.25">
      <c r="A174" s="2">
        <f t="shared" si="6"/>
        <v>170</v>
      </c>
      <c r="B174" s="10"/>
      <c r="C174" s="11"/>
      <c r="D174" s="12"/>
      <c r="E174" s="13"/>
      <c r="F174" s="13"/>
      <c r="G174" s="10"/>
      <c r="H174" s="10"/>
      <c r="I174" s="10">
        <f t="shared" ref="I174" si="16">G174-H174</f>
        <v>0</v>
      </c>
      <c r="K174" s="2"/>
      <c r="L174" s="14"/>
      <c r="M174" s="14"/>
      <c r="N174" s="15">
        <f t="shared" si="2"/>
        <v>0</v>
      </c>
      <c r="O174" s="41">
        <f t="shared" ref="O174" si="17">G174-L174</f>
        <v>0</v>
      </c>
      <c r="P174" s="41">
        <f t="shared" ref="P174" si="18">H174-M174</f>
        <v>0</v>
      </c>
      <c r="Q174" s="41">
        <f t="shared" ref="Q174" si="19">I174-N174</f>
        <v>0</v>
      </c>
    </row>
    <row r="175" spans="1:17" s="7" customFormat="1" ht="15" customHeight="1" x14ac:dyDescent="0.25">
      <c r="A175" s="2">
        <f t="shared" si="6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3"/>
        <v>0</v>
      </c>
      <c r="P175" s="41">
        <f t="shared" si="4"/>
        <v>0</v>
      </c>
      <c r="Q175" s="41">
        <f t="shared" si="5"/>
        <v>0</v>
      </c>
    </row>
    <row r="176" spans="1:17" s="7" customFormat="1" ht="15" customHeight="1" x14ac:dyDescent="0.25">
      <c r="B176" s="29"/>
      <c r="C176" s="30"/>
      <c r="D176" s="31"/>
      <c r="E176" s="32"/>
      <c r="F176" s="32"/>
      <c r="G176" s="29"/>
      <c r="H176" s="33"/>
      <c r="I176" s="33"/>
      <c r="L176" s="34"/>
      <c r="M176" s="35"/>
      <c r="N176" s="36"/>
    </row>
    <row r="177" spans="1:17" s="7" customFormat="1" ht="15" customHeight="1" x14ac:dyDescent="0.25">
      <c r="G177" s="6" t="s">
        <v>9</v>
      </c>
      <c r="H177" s="6">
        <f>COUNTIF(I5:I175,"&gt;0")</f>
        <v>0</v>
      </c>
      <c r="I177" s="24">
        <f>SUM(I5:I175)/1000</f>
        <v>0</v>
      </c>
      <c r="M177" s="6" t="s">
        <v>9</v>
      </c>
      <c r="N177" s="24">
        <f>SUM(N5:N175)/1000</f>
        <v>0</v>
      </c>
      <c r="P177" s="17" t="s">
        <v>12</v>
      </c>
      <c r="Q177" s="25">
        <f>I177-N177</f>
        <v>0</v>
      </c>
    </row>
    <row r="178" spans="1:17" s="7" customFormat="1" ht="15" customHeight="1" x14ac:dyDescent="0.25">
      <c r="H178" s="27"/>
      <c r="I178" s="28"/>
      <c r="Q178" s="44" t="e">
        <f>Q177/N177</f>
        <v>#DIV/0!</v>
      </c>
    </row>
    <row r="179" spans="1:17" s="7" customFormat="1" ht="15" customHeight="1" x14ac:dyDescent="0.25"/>
    <row r="180" spans="1:17" s="7" customFormat="1" ht="15" customHeight="1" x14ac:dyDescent="0.25">
      <c r="A180" s="45" t="s">
        <v>11</v>
      </c>
      <c r="B180" s="45"/>
      <c r="C180" s="45"/>
      <c r="D180" s="38"/>
      <c r="E180" s="38"/>
      <c r="F180" s="38"/>
      <c r="G180" s="45" t="s">
        <v>10</v>
      </c>
      <c r="H180" s="45"/>
      <c r="I180" s="45"/>
    </row>
    <row r="181" spans="1:17" s="7" customFormat="1" ht="15" customHeight="1" x14ac:dyDescent="0.25">
      <c r="A181" s="45" t="s">
        <v>22</v>
      </c>
      <c r="B181" s="45"/>
      <c r="C181" s="45"/>
      <c r="D181" s="38"/>
      <c r="E181" s="38"/>
      <c r="F181" s="38"/>
      <c r="G181" s="45" t="s">
        <v>23</v>
      </c>
      <c r="H181" s="45"/>
      <c r="I181" s="45"/>
    </row>
    <row r="182" spans="1:17" s="7" customFormat="1" ht="15" customHeight="1" x14ac:dyDescent="0.25">
      <c r="A182" s="38"/>
      <c r="B182" s="38"/>
      <c r="C182" s="38"/>
      <c r="D182" s="38"/>
      <c r="E182" s="38"/>
      <c r="F182" s="38"/>
      <c r="G182" s="38"/>
      <c r="H182" s="38"/>
      <c r="I182" s="38"/>
    </row>
    <row r="183" spans="1:17" s="7" customFormat="1" ht="15" customHeight="1" x14ac:dyDescent="0.25">
      <c r="A183" s="8"/>
      <c r="B183" s="8"/>
      <c r="C183" s="38"/>
      <c r="D183" s="38"/>
      <c r="E183" s="38"/>
      <c r="F183" s="38"/>
      <c r="G183" s="38"/>
      <c r="H183" s="8"/>
      <c r="I183" s="8"/>
    </row>
    <row r="184" spans="1:17" ht="1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</row>
    <row r="185" spans="1:17" ht="1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</row>
    <row r="186" spans="1:17" ht="12.95" customHeight="1" x14ac:dyDescent="0.2">
      <c r="A186" s="46" t="s">
        <v>16</v>
      </c>
      <c r="B186" s="46"/>
      <c r="C186" s="46"/>
      <c r="D186" s="9"/>
      <c r="E186" s="9"/>
      <c r="F186" s="9"/>
      <c r="G186" s="39"/>
      <c r="H186" s="39" t="s">
        <v>19</v>
      </c>
      <c r="I186" s="26"/>
    </row>
    <row r="187" spans="1:17" ht="12.95" customHeight="1" x14ac:dyDescent="0.2">
      <c r="A187" s="47" t="s">
        <v>17</v>
      </c>
      <c r="B187" s="47"/>
      <c r="C187" s="47"/>
      <c r="D187" s="9"/>
      <c r="E187" s="9"/>
      <c r="F187" s="9"/>
      <c r="G187" s="40"/>
      <c r="H187" s="40" t="s">
        <v>20</v>
      </c>
      <c r="I187" s="26"/>
    </row>
    <row r="188" spans="1:17" ht="15" customHeight="1" x14ac:dyDescent="0.2"/>
    <row r="189" spans="1:17" ht="15" customHeight="1" x14ac:dyDescent="0.2"/>
    <row r="190" spans="1:17" ht="15" customHeight="1" x14ac:dyDescent="0.2"/>
    <row r="191" spans="1:17" ht="15" customHeight="1" x14ac:dyDescent="0.2"/>
    <row r="192" spans="1:17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11" ht="15" customHeight="1" x14ac:dyDescent="0.2"/>
    <row r="212" ht="15" customHeight="1" x14ac:dyDescent="0.2"/>
    <row r="218" ht="11.25" customHeight="1" x14ac:dyDescent="0.2"/>
    <row r="227" ht="11.25" customHeight="1" x14ac:dyDescent="0.2"/>
  </sheetData>
  <mergeCells count="10">
    <mergeCell ref="A181:C181"/>
    <mergeCell ref="G181:I181"/>
    <mergeCell ref="A186:C186"/>
    <mergeCell ref="A187:C187"/>
    <mergeCell ref="L1:N1"/>
    <mergeCell ref="A2:I2"/>
    <mergeCell ref="K2:N2"/>
    <mergeCell ref="L3:N3"/>
    <mergeCell ref="A180:C180"/>
    <mergeCell ref="G180:I180"/>
  </mergeCells>
  <conditionalFormatting sqref="B243">
    <cfRule type="expression" dxfId="531" priority="57" stopIfTrue="1">
      <formula>$A243="Visa"</formula>
    </cfRule>
  </conditionalFormatting>
  <conditionalFormatting sqref="B249">
    <cfRule type="expression" dxfId="530" priority="48" stopIfTrue="1">
      <formula>$A249="Visa"</formula>
    </cfRule>
  </conditionalFormatting>
  <conditionalFormatting sqref="B281">
    <cfRule type="expression" dxfId="529" priority="64" stopIfTrue="1">
      <formula>$A281="Visa"</formula>
    </cfRule>
  </conditionalFormatting>
  <conditionalFormatting sqref="C5:C149">
    <cfRule type="expression" dxfId="528" priority="73" stopIfTrue="1">
      <formula>$B5="Visa"</formula>
    </cfRule>
  </conditionalFormatting>
  <conditionalFormatting sqref="C5:C185">
    <cfRule type="expression" dxfId="527" priority="2" stopIfTrue="1">
      <formula>$B5="Visa"</formula>
    </cfRule>
    <cfRule type="expression" dxfId="526" priority="33" stopIfTrue="1">
      <formula>$B5="Visa"</formula>
    </cfRule>
    <cfRule type="expression" dxfId="525" priority="56" stopIfTrue="1">
      <formula>$B5="Visa"</formula>
    </cfRule>
    <cfRule type="expression" dxfId="524" priority="71" stopIfTrue="1">
      <formula>$B5="Visa"</formula>
    </cfRule>
  </conditionalFormatting>
  <conditionalFormatting sqref="C143:C145">
    <cfRule type="expression" dxfId="523" priority="70" stopIfTrue="1">
      <formula>$B142="Visa"</formula>
    </cfRule>
  </conditionalFormatting>
  <conditionalFormatting sqref="C143:C150">
    <cfRule type="expression" dxfId="522" priority="1" stopIfTrue="1">
      <formula>$B142="Visa"</formula>
    </cfRule>
    <cfRule type="expression" dxfId="521" priority="55" stopIfTrue="1">
      <formula>$B142="Visa"</formula>
    </cfRule>
  </conditionalFormatting>
  <conditionalFormatting sqref="C143:C173 C177:C185">
    <cfRule type="expression" dxfId="520" priority="72" stopIfTrue="1">
      <formula>$B142="Visa"</formula>
    </cfRule>
  </conditionalFormatting>
  <conditionalFormatting sqref="C147">
    <cfRule type="expression" dxfId="519" priority="29" stopIfTrue="1">
      <formula>$B145="Visa"</formula>
    </cfRule>
    <cfRule type="expression" dxfId="518" priority="69" stopIfTrue="1">
      <formula>$B145="Visa"</formula>
    </cfRule>
  </conditionalFormatting>
  <conditionalFormatting sqref="C151">
    <cfRule type="expression" dxfId="517" priority="7" stopIfTrue="1">
      <formula>#REF!="Visa"</formula>
    </cfRule>
  </conditionalFormatting>
  <conditionalFormatting sqref="C174:C175">
    <cfRule type="expression" dxfId="516" priority="270" stopIfTrue="1">
      <formula>$B172="Visa"</formula>
    </cfRule>
  </conditionalFormatting>
  <conditionalFormatting sqref="C176">
    <cfRule type="expression" dxfId="515" priority="268" stopIfTrue="1">
      <formula>#REF!="Visa"</formula>
    </cfRule>
  </conditionalFormatting>
  <conditionalFormatting sqref="C188:C189 C191:C192 C142:C150">
    <cfRule type="expression" dxfId="514" priority="9" stopIfTrue="1">
      <formula>$B141="Visa"</formula>
    </cfRule>
  </conditionalFormatting>
  <conditionalFormatting sqref="C188:C190">
    <cfRule type="expression" dxfId="513" priority="14" stopIfTrue="1">
      <formula>$B187="Visa"</formula>
    </cfRule>
    <cfRule type="expression" dxfId="512" priority="15" stopIfTrue="1">
      <formula>$B188="Visa"</formula>
    </cfRule>
  </conditionalFormatting>
  <conditionalFormatting sqref="C188:C191 C193:C194">
    <cfRule type="expression" dxfId="511" priority="5" stopIfTrue="1">
      <formula>$B187="Visa"</formula>
    </cfRule>
    <cfRule type="expression" dxfId="510" priority="12" stopIfTrue="1">
      <formula>$B187="Visa"</formula>
    </cfRule>
    <cfRule type="expression" dxfId="509" priority="18" stopIfTrue="1">
      <formula>$B187="Visa"</formula>
    </cfRule>
    <cfRule type="expression" dxfId="508" priority="35" stopIfTrue="1">
      <formula>$B187="Visa"</formula>
    </cfRule>
  </conditionalFormatting>
  <conditionalFormatting sqref="C188:C195">
    <cfRule type="expression" dxfId="507" priority="13" stopIfTrue="1">
      <formula>$B188="Visa"</formula>
    </cfRule>
  </conditionalFormatting>
  <conditionalFormatting sqref="C188:C196">
    <cfRule type="expression" dxfId="506" priority="40" stopIfTrue="1">
      <formula>$B187="Visa"</formula>
    </cfRule>
    <cfRule type="expression" dxfId="505" priority="41" stopIfTrue="1">
      <formula>$B188="Visa"</formula>
    </cfRule>
  </conditionalFormatting>
  <conditionalFormatting sqref="C188:C201 C203:C214">
    <cfRule type="expression" dxfId="504" priority="22" stopIfTrue="1">
      <formula>$B187="Visa"</formula>
    </cfRule>
  </conditionalFormatting>
  <conditionalFormatting sqref="C188:C203">
    <cfRule type="expression" dxfId="503" priority="36" stopIfTrue="1">
      <formula>$B188="Visa"</formula>
    </cfRule>
  </conditionalFormatting>
  <conditionalFormatting sqref="C188:C204 C206:C218 C220:C221">
    <cfRule type="expression" dxfId="502" priority="27" stopIfTrue="1">
      <formula>$B187="Visa"</formula>
    </cfRule>
  </conditionalFormatting>
  <conditionalFormatting sqref="C188:C204 C243:C244">
    <cfRule type="expression" dxfId="501" priority="52" stopIfTrue="1">
      <formula>$B187="Visa"</formula>
    </cfRule>
  </conditionalFormatting>
  <conditionalFormatting sqref="C188:C204">
    <cfRule type="expression" dxfId="500" priority="10" stopIfTrue="1">
      <formula>$B188="Visa"</formula>
    </cfRule>
    <cfRule type="expression" dxfId="499" priority="44" stopIfTrue="1">
      <formula>$B187="Visa"</formula>
    </cfRule>
    <cfRule type="expression" dxfId="498" priority="66" stopIfTrue="1">
      <formula>$B187="Visa"</formula>
    </cfRule>
  </conditionalFormatting>
  <conditionalFormatting sqref="C188:C205">
    <cfRule type="expression" dxfId="497" priority="60" stopIfTrue="1">
      <formula>$B187="Visa"</formula>
    </cfRule>
  </conditionalFormatting>
  <conditionalFormatting sqref="C188:C206">
    <cfRule type="expression" dxfId="496" priority="6" stopIfTrue="1">
      <formula>$B188="Visa"</formula>
    </cfRule>
  </conditionalFormatting>
  <conditionalFormatting sqref="C188:C215">
    <cfRule type="expression" dxfId="495" priority="23" stopIfTrue="1">
      <formula>$B188="Visa"</formula>
    </cfRule>
  </conditionalFormatting>
  <conditionalFormatting sqref="C188:C216">
    <cfRule type="expression" dxfId="494" priority="19" stopIfTrue="1">
      <formula>$B188="Visa"</formula>
    </cfRule>
  </conditionalFormatting>
  <conditionalFormatting sqref="C188:C228">
    <cfRule type="expression" dxfId="493" priority="38" stopIfTrue="1">
      <formula>$B187="Visa"</formula>
    </cfRule>
  </conditionalFormatting>
  <conditionalFormatting sqref="C188:C229">
    <cfRule type="expression" dxfId="492" priority="39" stopIfTrue="1">
      <formula>$B188="Visa"</formula>
    </cfRule>
  </conditionalFormatting>
  <conditionalFormatting sqref="C188:C230">
    <cfRule type="expression" dxfId="491" priority="46" stopIfTrue="1">
      <formula>$B187="Visa"</formula>
    </cfRule>
  </conditionalFormatting>
  <conditionalFormatting sqref="C188:C231">
    <cfRule type="expression" dxfId="490" priority="47" stopIfTrue="1">
      <formula>$B188="Visa"</formula>
    </cfRule>
  </conditionalFormatting>
  <conditionalFormatting sqref="C188:C233">
    <cfRule type="expression" dxfId="489" priority="28" stopIfTrue="1">
      <formula>$B188="Visa"</formula>
    </cfRule>
  </conditionalFormatting>
  <conditionalFormatting sqref="C188:C242">
    <cfRule type="expression" dxfId="488" priority="62" stopIfTrue="1">
      <formula>$B188="Visa"</formula>
    </cfRule>
  </conditionalFormatting>
  <conditionalFormatting sqref="C188:C248">
    <cfRule type="expression" dxfId="487" priority="54" stopIfTrue="1">
      <formula>$B188="Visa"</formula>
    </cfRule>
  </conditionalFormatting>
  <conditionalFormatting sqref="C188:C260">
    <cfRule type="expression" dxfId="486" priority="68" stopIfTrue="1">
      <formula>$B188="Visa"</formula>
    </cfRule>
  </conditionalFormatting>
  <conditionalFormatting sqref="C190">
    <cfRule type="expression" dxfId="485" priority="8" stopIfTrue="1">
      <formula>$B146="Visa"</formula>
    </cfRule>
  </conditionalFormatting>
  <conditionalFormatting sqref="C192">
    <cfRule type="expression" dxfId="484" priority="4" stopIfTrue="1">
      <formula>$B147="Visa"</formula>
    </cfRule>
    <cfRule type="expression" dxfId="483" priority="11" stopIfTrue="1">
      <formula>$B147="Visa"</formula>
    </cfRule>
    <cfRule type="expression" dxfId="482" priority="17" stopIfTrue="1">
      <formula>$B147="Visa"</formula>
    </cfRule>
    <cfRule type="expression" dxfId="481" priority="34" stopIfTrue="1">
      <formula>$B147="Visa"</formula>
    </cfRule>
  </conditionalFormatting>
  <conditionalFormatting sqref="C202">
    <cfRule type="expression" dxfId="480" priority="20" stopIfTrue="1">
      <formula>$B178="Visa"</formula>
    </cfRule>
  </conditionalFormatting>
  <conditionalFormatting sqref="C204:C220">
    <cfRule type="expression" dxfId="479" priority="31" stopIfTrue="1">
      <formula>$B204="Visa"</formula>
    </cfRule>
  </conditionalFormatting>
  <conditionalFormatting sqref="C205">
    <cfRule type="expression" dxfId="478" priority="25" stopIfTrue="1">
      <formula>$B177="Visa"</formula>
    </cfRule>
    <cfRule type="expression" dxfId="477" priority="43" stopIfTrue="1">
      <formula>$B177="Visa"</formula>
    </cfRule>
    <cfRule type="expression" dxfId="476" priority="50" stopIfTrue="1">
      <formula>$B177="Visa"</formula>
    </cfRule>
    <cfRule type="expression" dxfId="475" priority="65" stopIfTrue="1">
      <formula>$B177="Visa"</formula>
    </cfRule>
  </conditionalFormatting>
  <conditionalFormatting sqref="C205:C220">
    <cfRule type="expression" dxfId="474" priority="30" stopIfTrue="1">
      <formula>$B204="Visa"</formula>
    </cfRule>
  </conditionalFormatting>
  <conditionalFormatting sqref="C206">
    <cfRule type="expression" dxfId="473" priority="59" stopIfTrue="1">
      <formula>$B178="Visa"</formula>
    </cfRule>
  </conditionalFormatting>
  <conditionalFormatting sqref="C206:C229 C231:C241">
    <cfRule type="expression" dxfId="472" priority="53" stopIfTrue="1">
      <formula>$B205="Visa"</formula>
    </cfRule>
  </conditionalFormatting>
  <conditionalFormatting sqref="C206:C248 C250:C260">
    <cfRule type="expression" dxfId="471" priority="67" stopIfTrue="1">
      <formula>$B205="Visa"</formula>
    </cfRule>
  </conditionalFormatting>
  <conditionalFormatting sqref="C207">
    <cfRule type="expression" dxfId="470" priority="3" stopIfTrue="1">
      <formula>$B207="Visa"</formula>
    </cfRule>
  </conditionalFormatting>
  <conditionalFormatting sqref="C207:C230 C232:C242">
    <cfRule type="expression" dxfId="469" priority="61" stopIfTrue="1">
      <formula>$B206="Visa"</formula>
    </cfRule>
  </conditionalFormatting>
  <conditionalFormatting sqref="C212">
    <cfRule type="expression" dxfId="468" priority="45" stopIfTrue="1">
      <formula>$B183="Visa"</formula>
    </cfRule>
  </conditionalFormatting>
  <conditionalFormatting sqref="C215">
    <cfRule type="expression" dxfId="467" priority="21" stopIfTrue="1">
      <formula>$B147="Visa"</formula>
    </cfRule>
  </conditionalFormatting>
  <conditionalFormatting sqref="C216">
    <cfRule type="expression" dxfId="466" priority="16" stopIfTrue="1">
      <formula>$B216="Visa"</formula>
    </cfRule>
  </conditionalFormatting>
  <conditionalFormatting sqref="C219">
    <cfRule type="expression" dxfId="465" priority="26" stopIfTrue="1">
      <formula>$B147="Visa"</formula>
    </cfRule>
  </conditionalFormatting>
  <conditionalFormatting sqref="C229">
    <cfRule type="expression" dxfId="464" priority="37" stopIfTrue="1">
      <formula>$B151="Visa"</formula>
    </cfRule>
  </conditionalFormatting>
  <conditionalFormatting sqref="C230">
    <cfRule type="expression" dxfId="463" priority="49" stopIfTrue="1">
      <formula>$B206="Visa"</formula>
    </cfRule>
  </conditionalFormatting>
  <conditionalFormatting sqref="C231">
    <cfRule type="expression" dxfId="462" priority="42" stopIfTrue="1">
      <formula>$B230="Visa"</formula>
    </cfRule>
    <cfRule type="expression" dxfId="461" priority="58" stopIfTrue="1">
      <formula>$B207="Visa"</formula>
    </cfRule>
  </conditionalFormatting>
  <conditionalFormatting sqref="C234">
    <cfRule type="expression" dxfId="460" priority="24" stopIfTrue="1">
      <formula>$B234="Visa"</formula>
    </cfRule>
  </conditionalFormatting>
  <conditionalFormatting sqref="C242">
    <cfRule type="expression" dxfId="459" priority="51" stopIfTrue="1">
      <formula>$B147="Visa"</formula>
    </cfRule>
  </conditionalFormatting>
  <conditionalFormatting sqref="C249">
    <cfRule type="expression" dxfId="458" priority="63" stopIfTrue="1">
      <formula>$B216="Visa"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BA0D0-A81A-465A-9029-AC81749610A6}">
  <sheetPr codeName="Sheet5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'1'!B3+1</f>
        <v>46144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>
      <c r="H217" s="40"/>
    </row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457" priority="62" stopIfTrue="1">
      <formula>$A272="Visa"</formula>
    </cfRule>
  </conditionalFormatting>
  <conditionalFormatting sqref="B278">
    <cfRule type="expression" dxfId="456" priority="53" stopIfTrue="1">
      <formula>$A278="Visa"</formula>
    </cfRule>
  </conditionalFormatting>
  <conditionalFormatting sqref="B310">
    <cfRule type="expression" dxfId="455" priority="69" stopIfTrue="1">
      <formula>$A310="Visa"</formula>
    </cfRule>
  </conditionalFormatting>
  <conditionalFormatting sqref="C5:C15 C17:C208">
    <cfRule type="expression" dxfId="454" priority="76" stopIfTrue="1">
      <formula>$B5="Visa"</formula>
    </cfRule>
  </conditionalFormatting>
  <conditionalFormatting sqref="C5:C19">
    <cfRule type="expression" dxfId="453" priority="78" stopIfTrue="1">
      <formula>$B5="Visa"</formula>
    </cfRule>
  </conditionalFormatting>
  <conditionalFormatting sqref="C5:C208 C217:C233">
    <cfRule type="expression" dxfId="452" priority="15" stopIfTrue="1">
      <formula>$B5="Visa"</formula>
    </cfRule>
  </conditionalFormatting>
  <conditionalFormatting sqref="C5:C208">
    <cfRule type="expression" dxfId="451" priority="7" stopIfTrue="1">
      <formula>$B5="Visa"</formula>
    </cfRule>
    <cfRule type="expression" dxfId="450" priority="38" stopIfTrue="1">
      <formula>$B5="Visa"</formula>
    </cfRule>
    <cfRule type="expression" dxfId="449" priority="61" stopIfTrue="1">
      <formula>$B5="Visa"</formula>
    </cfRule>
  </conditionalFormatting>
  <conditionalFormatting sqref="C13:C15">
    <cfRule type="expression" dxfId="448" priority="37" stopIfTrue="1">
      <formula>$B12="Visa"</formula>
    </cfRule>
    <cfRule type="expression" dxfId="447" priority="75" stopIfTrue="1">
      <formula>$B12="Visa"</formula>
    </cfRule>
  </conditionalFormatting>
  <conditionalFormatting sqref="C13:C20">
    <cfRule type="expression" dxfId="446" priority="6" stopIfTrue="1">
      <formula>$B12="Visa"</formula>
    </cfRule>
    <cfRule type="expression" dxfId="445" priority="60" stopIfTrue="1">
      <formula>$B12="Visa"</formula>
    </cfRule>
  </conditionalFormatting>
  <conditionalFormatting sqref="C13:C201 C203:C208">
    <cfRule type="expression" dxfId="444" priority="77" stopIfTrue="1">
      <formula>$B12="Visa"</formula>
    </cfRule>
  </conditionalFormatting>
  <conditionalFormatting sqref="C17">
    <cfRule type="expression" dxfId="443" priority="34" stopIfTrue="1">
      <formula>$B15="Visa"</formula>
    </cfRule>
    <cfRule type="expression" dxfId="442" priority="74" stopIfTrue="1">
      <formula>$B15="Visa"</formula>
    </cfRule>
  </conditionalFormatting>
  <conditionalFormatting sqref="C21">
    <cfRule type="expression" dxfId="441" priority="12" stopIfTrue="1">
      <formula>#REF!="Visa"</formula>
    </cfRule>
  </conditionalFormatting>
  <conditionalFormatting sqref="C202">
    <cfRule type="expression" dxfId="440" priority="79" stopIfTrue="1">
      <formula>$B29="Visa"</formula>
    </cfRule>
  </conditionalFormatting>
  <conditionalFormatting sqref="C209:C214">
    <cfRule type="expression" dxfId="439" priority="1" stopIfTrue="1">
      <formula>$B209="Visa"</formula>
    </cfRule>
    <cfRule type="expression" dxfId="438" priority="5" stopIfTrue="1">
      <formula>$B208="Visa"</formula>
    </cfRule>
  </conditionalFormatting>
  <conditionalFormatting sqref="C217:C218 C220:C221 C12:C20">
    <cfRule type="expression" dxfId="437" priority="14" stopIfTrue="1">
      <formula>$B11="Visa"</formula>
    </cfRule>
  </conditionalFormatting>
  <conditionalFormatting sqref="C217:C219">
    <cfRule type="expression" dxfId="436" priority="19" stopIfTrue="1">
      <formula>$B216="Visa"</formula>
    </cfRule>
    <cfRule type="expression" dxfId="435" priority="20" stopIfTrue="1">
      <formula>$B217="Visa"</formula>
    </cfRule>
  </conditionalFormatting>
  <conditionalFormatting sqref="C217:C220 C222:C223">
    <cfRule type="expression" dxfId="434" priority="10" stopIfTrue="1">
      <formula>$B216="Visa"</formula>
    </cfRule>
    <cfRule type="expression" dxfId="433" priority="17" stopIfTrue="1">
      <formula>$B216="Visa"</formula>
    </cfRule>
    <cfRule type="expression" dxfId="432" priority="23" stopIfTrue="1">
      <formula>$B216="Visa"</formula>
    </cfRule>
    <cfRule type="expression" dxfId="431" priority="40" stopIfTrue="1">
      <formula>$B216="Visa"</formula>
    </cfRule>
  </conditionalFormatting>
  <conditionalFormatting sqref="C217:C224">
    <cfRule type="expression" dxfId="430" priority="18" stopIfTrue="1">
      <formula>$B217="Visa"</formula>
    </cfRule>
  </conditionalFormatting>
  <conditionalFormatting sqref="C217:C225">
    <cfRule type="expression" dxfId="429" priority="45" stopIfTrue="1">
      <formula>$B216="Visa"</formula>
    </cfRule>
    <cfRule type="expression" dxfId="428" priority="46" stopIfTrue="1">
      <formula>$B217="Visa"</formula>
    </cfRule>
  </conditionalFormatting>
  <conditionalFormatting sqref="C217:C230 C232:C243">
    <cfRule type="expression" dxfId="427" priority="27" stopIfTrue="1">
      <formula>$B216="Visa"</formula>
    </cfRule>
  </conditionalFormatting>
  <conditionalFormatting sqref="C217:C232">
    <cfRule type="expression" dxfId="426" priority="41" stopIfTrue="1">
      <formula>$B217="Visa"</formula>
    </cfRule>
  </conditionalFormatting>
  <conditionalFormatting sqref="C217:C233 C235:C247 C249:C250">
    <cfRule type="expression" dxfId="425" priority="32" stopIfTrue="1">
      <formula>$B216="Visa"</formula>
    </cfRule>
  </conditionalFormatting>
  <conditionalFormatting sqref="C217:C233 C272:C273">
    <cfRule type="expression" dxfId="424" priority="57" stopIfTrue="1">
      <formula>$B216="Visa"</formula>
    </cfRule>
  </conditionalFormatting>
  <conditionalFormatting sqref="C217:C233">
    <cfRule type="expression" dxfId="423" priority="49" stopIfTrue="1">
      <formula>$B216="Visa"</formula>
    </cfRule>
    <cfRule type="expression" dxfId="422" priority="71" stopIfTrue="1">
      <formula>$B216="Visa"</formula>
    </cfRule>
  </conditionalFormatting>
  <conditionalFormatting sqref="C217:C234">
    <cfRule type="expression" dxfId="421" priority="65" stopIfTrue="1">
      <formula>$B216="Visa"</formula>
    </cfRule>
  </conditionalFormatting>
  <conditionalFormatting sqref="C217:C235">
    <cfRule type="expression" dxfId="420" priority="11" stopIfTrue="1">
      <formula>$B217="Visa"</formula>
    </cfRule>
  </conditionalFormatting>
  <conditionalFormatting sqref="C217:C244">
    <cfRule type="expression" dxfId="419" priority="28" stopIfTrue="1">
      <formula>$B217="Visa"</formula>
    </cfRule>
  </conditionalFormatting>
  <conditionalFormatting sqref="C217:C245">
    <cfRule type="expression" dxfId="418" priority="24" stopIfTrue="1">
      <formula>$B217="Visa"</formula>
    </cfRule>
  </conditionalFormatting>
  <conditionalFormatting sqref="C217:C257">
    <cfRule type="expression" dxfId="417" priority="43" stopIfTrue="1">
      <formula>$B216="Visa"</formula>
    </cfRule>
  </conditionalFormatting>
  <conditionalFormatting sqref="C217:C258">
    <cfRule type="expression" dxfId="416" priority="44" stopIfTrue="1">
      <formula>$B217="Visa"</formula>
    </cfRule>
  </conditionalFormatting>
  <conditionalFormatting sqref="C217:C259">
    <cfRule type="expression" dxfId="415" priority="51" stopIfTrue="1">
      <formula>$B216="Visa"</formula>
    </cfRule>
  </conditionalFormatting>
  <conditionalFormatting sqref="C217:C260">
    <cfRule type="expression" dxfId="414" priority="52" stopIfTrue="1">
      <formula>$B217="Visa"</formula>
    </cfRule>
  </conditionalFormatting>
  <conditionalFormatting sqref="C217:C262">
    <cfRule type="expression" dxfId="413" priority="33" stopIfTrue="1">
      <formula>$B217="Visa"</formula>
    </cfRule>
  </conditionalFormatting>
  <conditionalFormatting sqref="C217:C271">
    <cfRule type="expression" dxfId="412" priority="67" stopIfTrue="1">
      <formula>$B217="Visa"</formula>
    </cfRule>
  </conditionalFormatting>
  <conditionalFormatting sqref="C217:C277">
    <cfRule type="expression" dxfId="411" priority="59" stopIfTrue="1">
      <formula>$B217="Visa"</formula>
    </cfRule>
  </conditionalFormatting>
  <conditionalFormatting sqref="C217:C289">
    <cfRule type="expression" dxfId="410" priority="73" stopIfTrue="1">
      <formula>$B217="Visa"</formula>
    </cfRule>
  </conditionalFormatting>
  <conditionalFormatting sqref="C219">
    <cfRule type="expression" dxfId="409" priority="13" stopIfTrue="1">
      <formula>$B16="Visa"</formula>
    </cfRule>
  </conditionalFormatting>
  <conditionalFormatting sqref="C221">
    <cfRule type="expression" dxfId="408" priority="9" stopIfTrue="1">
      <formula>$B17="Visa"</formula>
    </cfRule>
    <cfRule type="expression" dxfId="407" priority="16" stopIfTrue="1">
      <formula>$B17="Visa"</formula>
    </cfRule>
    <cfRule type="expression" dxfId="406" priority="22" stopIfTrue="1">
      <formula>$B17="Visa"</formula>
    </cfRule>
    <cfRule type="expression" dxfId="405" priority="39" stopIfTrue="1">
      <formula>$B17="Visa"</formula>
    </cfRule>
  </conditionalFormatting>
  <conditionalFormatting sqref="C231">
    <cfRule type="expression" dxfId="404" priority="25" stopIfTrue="1">
      <formula>$B207="Visa"</formula>
    </cfRule>
  </conditionalFormatting>
  <conditionalFormatting sqref="C233:C249">
    <cfRule type="expression" dxfId="403" priority="36" stopIfTrue="1">
      <formula>$B233="Visa"</formula>
    </cfRule>
  </conditionalFormatting>
  <conditionalFormatting sqref="C234">
    <cfRule type="expression" dxfId="402" priority="30" stopIfTrue="1">
      <formula>$B206="Visa"</formula>
    </cfRule>
    <cfRule type="expression" dxfId="401" priority="48" stopIfTrue="1">
      <formula>$B206="Visa"</formula>
    </cfRule>
    <cfRule type="expression" dxfId="400" priority="55" stopIfTrue="1">
      <formula>$B206="Visa"</formula>
    </cfRule>
    <cfRule type="expression" dxfId="399" priority="70" stopIfTrue="1">
      <formula>$B206="Visa"</formula>
    </cfRule>
  </conditionalFormatting>
  <conditionalFormatting sqref="C234:C249">
    <cfRule type="expression" dxfId="398" priority="35" stopIfTrue="1">
      <formula>$B233="Visa"</formula>
    </cfRule>
  </conditionalFormatting>
  <conditionalFormatting sqref="C235">
    <cfRule type="expression" dxfId="397" priority="64" stopIfTrue="1">
      <formula>$B207="Visa"</formula>
    </cfRule>
  </conditionalFormatting>
  <conditionalFormatting sqref="C235:C258 C260:C270">
    <cfRule type="expression" dxfId="396" priority="58" stopIfTrue="1">
      <formula>$B234="Visa"</formula>
    </cfRule>
  </conditionalFormatting>
  <conditionalFormatting sqref="C235:C277 C279:C289">
    <cfRule type="expression" dxfId="395" priority="72" stopIfTrue="1">
      <formula>$B234="Visa"</formula>
    </cfRule>
  </conditionalFormatting>
  <conditionalFormatting sqref="C236">
    <cfRule type="expression" dxfId="394" priority="8" stopIfTrue="1">
      <formula>$B236="Visa"</formula>
    </cfRule>
  </conditionalFormatting>
  <conditionalFormatting sqref="C236:C259 C261:C271">
    <cfRule type="expression" dxfId="393" priority="66" stopIfTrue="1">
      <formula>$B235="Visa"</formula>
    </cfRule>
  </conditionalFormatting>
  <conditionalFormatting sqref="C241">
    <cfRule type="expression" dxfId="392" priority="50" stopIfTrue="1">
      <formula>$B212="Visa"</formula>
    </cfRule>
  </conditionalFormatting>
  <conditionalFormatting sqref="C244">
    <cfRule type="expression" dxfId="391" priority="26" stopIfTrue="1">
      <formula>$B17="Visa"</formula>
    </cfRule>
  </conditionalFormatting>
  <conditionalFormatting sqref="C245">
    <cfRule type="expression" dxfId="390" priority="21" stopIfTrue="1">
      <formula>$B245="Visa"</formula>
    </cfRule>
  </conditionalFormatting>
  <conditionalFormatting sqref="C248">
    <cfRule type="expression" dxfId="389" priority="31" stopIfTrue="1">
      <formula>$B17="Visa"</formula>
    </cfRule>
  </conditionalFormatting>
  <conditionalFormatting sqref="C258">
    <cfRule type="expression" dxfId="388" priority="42" stopIfTrue="1">
      <formula>$B21="Visa"</formula>
    </cfRule>
  </conditionalFormatting>
  <conditionalFormatting sqref="C259">
    <cfRule type="expression" dxfId="387" priority="54" stopIfTrue="1">
      <formula>$B235="Visa"</formula>
    </cfRule>
  </conditionalFormatting>
  <conditionalFormatting sqref="C260">
    <cfRule type="expression" dxfId="386" priority="47" stopIfTrue="1">
      <formula>$B259="Visa"</formula>
    </cfRule>
    <cfRule type="expression" dxfId="385" priority="63" stopIfTrue="1">
      <formula>$B236="Visa"</formula>
    </cfRule>
  </conditionalFormatting>
  <conditionalFormatting sqref="C263">
    <cfRule type="expression" dxfId="384" priority="29" stopIfTrue="1">
      <formula>$B263="Visa"</formula>
    </cfRule>
  </conditionalFormatting>
  <conditionalFormatting sqref="C271">
    <cfRule type="expression" dxfId="383" priority="56" stopIfTrue="1">
      <formula>$B17="Visa"</formula>
    </cfRule>
  </conditionalFormatting>
  <conditionalFormatting sqref="C278">
    <cfRule type="expression" dxfId="382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C95E4-1B8A-421A-A44A-7DDDB12E1F10}">
  <sheetPr codeName="Sheet6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'2'!B3+1</f>
        <v>46145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81" priority="62" stopIfTrue="1">
      <formula>$A272="Visa"</formula>
    </cfRule>
  </conditionalFormatting>
  <conditionalFormatting sqref="B278">
    <cfRule type="expression" dxfId="380" priority="53" stopIfTrue="1">
      <formula>$A278="Visa"</formula>
    </cfRule>
  </conditionalFormatting>
  <conditionalFormatting sqref="B310">
    <cfRule type="expression" dxfId="379" priority="69" stopIfTrue="1">
      <formula>$A310="Visa"</formula>
    </cfRule>
  </conditionalFormatting>
  <conditionalFormatting sqref="C5:C15 C17:C208">
    <cfRule type="expression" dxfId="378" priority="76" stopIfTrue="1">
      <formula>$B5="Visa"</formula>
    </cfRule>
  </conditionalFormatting>
  <conditionalFormatting sqref="C5:C19">
    <cfRule type="expression" dxfId="377" priority="78" stopIfTrue="1">
      <formula>$B5="Visa"</formula>
    </cfRule>
  </conditionalFormatting>
  <conditionalFormatting sqref="C5:C208 C217:C233">
    <cfRule type="expression" dxfId="376" priority="15" stopIfTrue="1">
      <formula>$B5="Visa"</formula>
    </cfRule>
  </conditionalFormatting>
  <conditionalFormatting sqref="C5:C208">
    <cfRule type="expression" dxfId="375" priority="7" stopIfTrue="1">
      <formula>$B5="Visa"</formula>
    </cfRule>
    <cfRule type="expression" dxfId="374" priority="38" stopIfTrue="1">
      <formula>$B5="Visa"</formula>
    </cfRule>
    <cfRule type="expression" dxfId="373" priority="61" stopIfTrue="1">
      <formula>$B5="Visa"</formula>
    </cfRule>
  </conditionalFormatting>
  <conditionalFormatting sqref="C13:C15">
    <cfRule type="expression" dxfId="372" priority="37" stopIfTrue="1">
      <formula>$B12="Visa"</formula>
    </cfRule>
    <cfRule type="expression" dxfId="371" priority="75" stopIfTrue="1">
      <formula>$B12="Visa"</formula>
    </cfRule>
  </conditionalFormatting>
  <conditionalFormatting sqref="C13:C20">
    <cfRule type="expression" dxfId="370" priority="6" stopIfTrue="1">
      <formula>$B12="Visa"</formula>
    </cfRule>
    <cfRule type="expression" dxfId="369" priority="60" stopIfTrue="1">
      <formula>$B12="Visa"</formula>
    </cfRule>
  </conditionalFormatting>
  <conditionalFormatting sqref="C13:C201 C203:C208">
    <cfRule type="expression" dxfId="368" priority="77" stopIfTrue="1">
      <formula>$B12="Visa"</formula>
    </cfRule>
  </conditionalFormatting>
  <conditionalFormatting sqref="C17">
    <cfRule type="expression" dxfId="367" priority="34" stopIfTrue="1">
      <formula>$B15="Visa"</formula>
    </cfRule>
    <cfRule type="expression" dxfId="366" priority="74" stopIfTrue="1">
      <formula>$B15="Visa"</formula>
    </cfRule>
  </conditionalFormatting>
  <conditionalFormatting sqref="C21">
    <cfRule type="expression" dxfId="365" priority="12" stopIfTrue="1">
      <formula>#REF!="Visa"</formula>
    </cfRule>
  </conditionalFormatting>
  <conditionalFormatting sqref="C202">
    <cfRule type="expression" dxfId="364" priority="79" stopIfTrue="1">
      <formula>$B29="Visa"</formula>
    </cfRule>
  </conditionalFormatting>
  <conditionalFormatting sqref="C209:C214">
    <cfRule type="expression" dxfId="363" priority="1" stopIfTrue="1">
      <formula>$B209="Visa"</formula>
    </cfRule>
    <cfRule type="expression" dxfId="362" priority="5" stopIfTrue="1">
      <formula>$B208="Visa"</formula>
    </cfRule>
  </conditionalFormatting>
  <conditionalFormatting sqref="C217:C218 C220:C221 C12:C20">
    <cfRule type="expression" dxfId="361" priority="14" stopIfTrue="1">
      <formula>$B11="Visa"</formula>
    </cfRule>
  </conditionalFormatting>
  <conditionalFormatting sqref="C217:C219">
    <cfRule type="expression" dxfId="360" priority="19" stopIfTrue="1">
      <formula>$B216="Visa"</formula>
    </cfRule>
    <cfRule type="expression" dxfId="359" priority="20" stopIfTrue="1">
      <formula>$B217="Visa"</formula>
    </cfRule>
  </conditionalFormatting>
  <conditionalFormatting sqref="C217:C220 C222:C223">
    <cfRule type="expression" dxfId="358" priority="10" stopIfTrue="1">
      <formula>$B216="Visa"</formula>
    </cfRule>
    <cfRule type="expression" dxfId="357" priority="17" stopIfTrue="1">
      <formula>$B216="Visa"</formula>
    </cfRule>
    <cfRule type="expression" dxfId="356" priority="23" stopIfTrue="1">
      <formula>$B216="Visa"</formula>
    </cfRule>
    <cfRule type="expression" dxfId="355" priority="40" stopIfTrue="1">
      <formula>$B216="Visa"</formula>
    </cfRule>
  </conditionalFormatting>
  <conditionalFormatting sqref="C217:C224">
    <cfRule type="expression" dxfId="354" priority="18" stopIfTrue="1">
      <formula>$B217="Visa"</formula>
    </cfRule>
  </conditionalFormatting>
  <conditionalFormatting sqref="C217:C225">
    <cfRule type="expression" dxfId="353" priority="45" stopIfTrue="1">
      <formula>$B216="Visa"</formula>
    </cfRule>
    <cfRule type="expression" dxfId="352" priority="46" stopIfTrue="1">
      <formula>$B217="Visa"</formula>
    </cfRule>
  </conditionalFormatting>
  <conditionalFormatting sqref="C217:C230 C232:C243">
    <cfRule type="expression" dxfId="351" priority="27" stopIfTrue="1">
      <formula>$B216="Visa"</formula>
    </cfRule>
  </conditionalFormatting>
  <conditionalFormatting sqref="C217:C232">
    <cfRule type="expression" dxfId="350" priority="41" stopIfTrue="1">
      <formula>$B217="Visa"</formula>
    </cfRule>
  </conditionalFormatting>
  <conditionalFormatting sqref="C217:C233 C235:C247 C249:C250">
    <cfRule type="expression" dxfId="349" priority="32" stopIfTrue="1">
      <formula>$B216="Visa"</formula>
    </cfRule>
  </conditionalFormatting>
  <conditionalFormatting sqref="C217:C233 C272:C273">
    <cfRule type="expression" dxfId="348" priority="57" stopIfTrue="1">
      <formula>$B216="Visa"</formula>
    </cfRule>
  </conditionalFormatting>
  <conditionalFormatting sqref="C217:C233">
    <cfRule type="expression" dxfId="347" priority="49" stopIfTrue="1">
      <formula>$B216="Visa"</formula>
    </cfRule>
    <cfRule type="expression" dxfId="346" priority="71" stopIfTrue="1">
      <formula>$B216="Visa"</formula>
    </cfRule>
  </conditionalFormatting>
  <conditionalFormatting sqref="C217:C234">
    <cfRule type="expression" dxfId="345" priority="65" stopIfTrue="1">
      <formula>$B216="Visa"</formula>
    </cfRule>
  </conditionalFormatting>
  <conditionalFormatting sqref="C217:C235">
    <cfRule type="expression" dxfId="344" priority="11" stopIfTrue="1">
      <formula>$B217="Visa"</formula>
    </cfRule>
  </conditionalFormatting>
  <conditionalFormatting sqref="C217:C244">
    <cfRule type="expression" dxfId="343" priority="28" stopIfTrue="1">
      <formula>$B217="Visa"</formula>
    </cfRule>
  </conditionalFormatting>
  <conditionalFormatting sqref="C217:C245">
    <cfRule type="expression" dxfId="342" priority="24" stopIfTrue="1">
      <formula>$B217="Visa"</formula>
    </cfRule>
  </conditionalFormatting>
  <conditionalFormatting sqref="C217:C257">
    <cfRule type="expression" dxfId="341" priority="43" stopIfTrue="1">
      <formula>$B216="Visa"</formula>
    </cfRule>
  </conditionalFormatting>
  <conditionalFormatting sqref="C217:C258">
    <cfRule type="expression" dxfId="340" priority="44" stopIfTrue="1">
      <formula>$B217="Visa"</formula>
    </cfRule>
  </conditionalFormatting>
  <conditionalFormatting sqref="C217:C259">
    <cfRule type="expression" dxfId="339" priority="51" stopIfTrue="1">
      <formula>$B216="Visa"</formula>
    </cfRule>
  </conditionalFormatting>
  <conditionalFormatting sqref="C217:C260">
    <cfRule type="expression" dxfId="338" priority="52" stopIfTrue="1">
      <formula>$B217="Visa"</formula>
    </cfRule>
  </conditionalFormatting>
  <conditionalFormatting sqref="C217:C262">
    <cfRule type="expression" dxfId="337" priority="33" stopIfTrue="1">
      <formula>$B217="Visa"</formula>
    </cfRule>
  </conditionalFormatting>
  <conditionalFormatting sqref="C217:C271">
    <cfRule type="expression" dxfId="336" priority="67" stopIfTrue="1">
      <formula>$B217="Visa"</formula>
    </cfRule>
  </conditionalFormatting>
  <conditionalFormatting sqref="C217:C277">
    <cfRule type="expression" dxfId="335" priority="59" stopIfTrue="1">
      <formula>$B217="Visa"</formula>
    </cfRule>
  </conditionalFormatting>
  <conditionalFormatting sqref="C217:C289">
    <cfRule type="expression" dxfId="334" priority="73" stopIfTrue="1">
      <formula>$B217="Visa"</formula>
    </cfRule>
  </conditionalFormatting>
  <conditionalFormatting sqref="C219">
    <cfRule type="expression" dxfId="333" priority="13" stopIfTrue="1">
      <formula>$B16="Visa"</formula>
    </cfRule>
  </conditionalFormatting>
  <conditionalFormatting sqref="C221">
    <cfRule type="expression" dxfId="332" priority="9" stopIfTrue="1">
      <formula>$B17="Visa"</formula>
    </cfRule>
    <cfRule type="expression" dxfId="331" priority="16" stopIfTrue="1">
      <formula>$B17="Visa"</formula>
    </cfRule>
    <cfRule type="expression" dxfId="330" priority="22" stopIfTrue="1">
      <formula>$B17="Visa"</formula>
    </cfRule>
    <cfRule type="expression" dxfId="329" priority="39" stopIfTrue="1">
      <formula>$B17="Visa"</formula>
    </cfRule>
  </conditionalFormatting>
  <conditionalFormatting sqref="C231">
    <cfRule type="expression" dxfId="328" priority="25" stopIfTrue="1">
      <formula>$B207="Visa"</formula>
    </cfRule>
  </conditionalFormatting>
  <conditionalFormatting sqref="C233:C249">
    <cfRule type="expression" dxfId="327" priority="36" stopIfTrue="1">
      <formula>$B233="Visa"</formula>
    </cfRule>
  </conditionalFormatting>
  <conditionalFormatting sqref="C234">
    <cfRule type="expression" dxfId="326" priority="30" stopIfTrue="1">
      <formula>$B206="Visa"</formula>
    </cfRule>
    <cfRule type="expression" dxfId="325" priority="48" stopIfTrue="1">
      <formula>$B206="Visa"</formula>
    </cfRule>
    <cfRule type="expression" dxfId="324" priority="55" stopIfTrue="1">
      <formula>$B206="Visa"</formula>
    </cfRule>
    <cfRule type="expression" dxfId="323" priority="70" stopIfTrue="1">
      <formula>$B206="Visa"</formula>
    </cfRule>
  </conditionalFormatting>
  <conditionalFormatting sqref="C234:C249">
    <cfRule type="expression" dxfId="322" priority="35" stopIfTrue="1">
      <formula>$B233="Visa"</formula>
    </cfRule>
  </conditionalFormatting>
  <conditionalFormatting sqref="C235">
    <cfRule type="expression" dxfId="321" priority="64" stopIfTrue="1">
      <formula>$B207="Visa"</formula>
    </cfRule>
  </conditionalFormatting>
  <conditionalFormatting sqref="C235:C258 C260:C270">
    <cfRule type="expression" dxfId="320" priority="58" stopIfTrue="1">
      <formula>$B234="Visa"</formula>
    </cfRule>
  </conditionalFormatting>
  <conditionalFormatting sqref="C235:C277 C279:C289">
    <cfRule type="expression" dxfId="319" priority="72" stopIfTrue="1">
      <formula>$B234="Visa"</formula>
    </cfRule>
  </conditionalFormatting>
  <conditionalFormatting sqref="C236">
    <cfRule type="expression" dxfId="318" priority="8" stopIfTrue="1">
      <formula>$B236="Visa"</formula>
    </cfRule>
  </conditionalFormatting>
  <conditionalFormatting sqref="C236:C259 C261:C271">
    <cfRule type="expression" dxfId="317" priority="66" stopIfTrue="1">
      <formula>$B235="Visa"</formula>
    </cfRule>
  </conditionalFormatting>
  <conditionalFormatting sqref="C241">
    <cfRule type="expression" dxfId="316" priority="50" stopIfTrue="1">
      <formula>$B212="Visa"</formula>
    </cfRule>
  </conditionalFormatting>
  <conditionalFormatting sqref="C244">
    <cfRule type="expression" dxfId="315" priority="26" stopIfTrue="1">
      <formula>$B17="Visa"</formula>
    </cfRule>
  </conditionalFormatting>
  <conditionalFormatting sqref="C245">
    <cfRule type="expression" dxfId="314" priority="21" stopIfTrue="1">
      <formula>$B245="Visa"</formula>
    </cfRule>
  </conditionalFormatting>
  <conditionalFormatting sqref="C248">
    <cfRule type="expression" dxfId="313" priority="31" stopIfTrue="1">
      <formula>$B17="Visa"</formula>
    </cfRule>
  </conditionalFormatting>
  <conditionalFormatting sqref="C258">
    <cfRule type="expression" dxfId="312" priority="42" stopIfTrue="1">
      <formula>$B21="Visa"</formula>
    </cfRule>
  </conditionalFormatting>
  <conditionalFormatting sqref="C259">
    <cfRule type="expression" dxfId="311" priority="54" stopIfTrue="1">
      <formula>$B235="Visa"</formula>
    </cfRule>
  </conditionalFormatting>
  <conditionalFormatting sqref="C260">
    <cfRule type="expression" dxfId="310" priority="47" stopIfTrue="1">
      <formula>$B259="Visa"</formula>
    </cfRule>
    <cfRule type="expression" dxfId="309" priority="63" stopIfTrue="1">
      <formula>$B236="Visa"</formula>
    </cfRule>
  </conditionalFormatting>
  <conditionalFormatting sqref="C263">
    <cfRule type="expression" dxfId="308" priority="29" stopIfTrue="1">
      <formula>$B263="Visa"</formula>
    </cfRule>
  </conditionalFormatting>
  <conditionalFormatting sqref="C271">
    <cfRule type="expression" dxfId="307" priority="56" stopIfTrue="1">
      <formula>$B17="Visa"</formula>
    </cfRule>
  </conditionalFormatting>
  <conditionalFormatting sqref="C278">
    <cfRule type="expression" dxfId="306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F563E-15C0-4F89-AB2C-6AC3D444473D}">
  <sheetPr codeName="Sheet7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'3'!B3+1</f>
        <v>46146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305" priority="62" stopIfTrue="1">
      <formula>$A272="Visa"</formula>
    </cfRule>
  </conditionalFormatting>
  <conditionalFormatting sqref="B278">
    <cfRule type="expression" dxfId="304" priority="53" stopIfTrue="1">
      <formula>$A278="Visa"</formula>
    </cfRule>
  </conditionalFormatting>
  <conditionalFormatting sqref="B310">
    <cfRule type="expression" dxfId="303" priority="69" stopIfTrue="1">
      <formula>$A310="Visa"</formula>
    </cfRule>
  </conditionalFormatting>
  <conditionalFormatting sqref="C5:C15 C17:C208">
    <cfRule type="expression" dxfId="302" priority="76" stopIfTrue="1">
      <formula>$B5="Visa"</formula>
    </cfRule>
  </conditionalFormatting>
  <conditionalFormatting sqref="C5:C19">
    <cfRule type="expression" dxfId="301" priority="78" stopIfTrue="1">
      <formula>$B5="Visa"</formula>
    </cfRule>
  </conditionalFormatting>
  <conditionalFormatting sqref="C5:C208 C217:C233">
    <cfRule type="expression" dxfId="300" priority="15" stopIfTrue="1">
      <formula>$B5="Visa"</formula>
    </cfRule>
  </conditionalFormatting>
  <conditionalFormatting sqref="C5:C208">
    <cfRule type="expression" dxfId="299" priority="7" stopIfTrue="1">
      <formula>$B5="Visa"</formula>
    </cfRule>
    <cfRule type="expression" dxfId="298" priority="38" stopIfTrue="1">
      <formula>$B5="Visa"</formula>
    </cfRule>
    <cfRule type="expression" dxfId="297" priority="61" stopIfTrue="1">
      <formula>$B5="Visa"</formula>
    </cfRule>
  </conditionalFormatting>
  <conditionalFormatting sqref="C13:C15">
    <cfRule type="expression" dxfId="296" priority="37" stopIfTrue="1">
      <formula>$B12="Visa"</formula>
    </cfRule>
    <cfRule type="expression" dxfId="295" priority="75" stopIfTrue="1">
      <formula>$B12="Visa"</formula>
    </cfRule>
  </conditionalFormatting>
  <conditionalFormatting sqref="C13:C20">
    <cfRule type="expression" dxfId="294" priority="6" stopIfTrue="1">
      <formula>$B12="Visa"</formula>
    </cfRule>
    <cfRule type="expression" dxfId="293" priority="60" stopIfTrue="1">
      <formula>$B12="Visa"</formula>
    </cfRule>
  </conditionalFormatting>
  <conditionalFormatting sqref="C13:C201 C203:C208">
    <cfRule type="expression" dxfId="292" priority="77" stopIfTrue="1">
      <formula>$B12="Visa"</formula>
    </cfRule>
  </conditionalFormatting>
  <conditionalFormatting sqref="C17">
    <cfRule type="expression" dxfId="291" priority="34" stopIfTrue="1">
      <formula>$B15="Visa"</formula>
    </cfRule>
    <cfRule type="expression" dxfId="290" priority="74" stopIfTrue="1">
      <formula>$B15="Visa"</formula>
    </cfRule>
  </conditionalFormatting>
  <conditionalFormatting sqref="C21">
    <cfRule type="expression" dxfId="289" priority="12" stopIfTrue="1">
      <formula>#REF!="Visa"</formula>
    </cfRule>
  </conditionalFormatting>
  <conditionalFormatting sqref="C202">
    <cfRule type="expression" dxfId="288" priority="79" stopIfTrue="1">
      <formula>$B29="Visa"</formula>
    </cfRule>
  </conditionalFormatting>
  <conditionalFormatting sqref="C209:C214">
    <cfRule type="expression" dxfId="287" priority="1" stopIfTrue="1">
      <formula>$B209="Visa"</formula>
    </cfRule>
    <cfRule type="expression" dxfId="286" priority="5" stopIfTrue="1">
      <formula>$B208="Visa"</formula>
    </cfRule>
  </conditionalFormatting>
  <conditionalFormatting sqref="C217:C218 C220:C221 C12:C20">
    <cfRule type="expression" dxfId="285" priority="14" stopIfTrue="1">
      <formula>$B11="Visa"</formula>
    </cfRule>
  </conditionalFormatting>
  <conditionalFormatting sqref="C217:C219">
    <cfRule type="expression" dxfId="284" priority="19" stopIfTrue="1">
      <formula>$B216="Visa"</formula>
    </cfRule>
    <cfRule type="expression" dxfId="283" priority="20" stopIfTrue="1">
      <formula>$B217="Visa"</formula>
    </cfRule>
  </conditionalFormatting>
  <conditionalFormatting sqref="C217:C220 C222:C223">
    <cfRule type="expression" dxfId="282" priority="10" stopIfTrue="1">
      <formula>$B216="Visa"</formula>
    </cfRule>
    <cfRule type="expression" dxfId="281" priority="17" stopIfTrue="1">
      <formula>$B216="Visa"</formula>
    </cfRule>
    <cfRule type="expression" dxfId="280" priority="23" stopIfTrue="1">
      <formula>$B216="Visa"</formula>
    </cfRule>
    <cfRule type="expression" dxfId="279" priority="40" stopIfTrue="1">
      <formula>$B216="Visa"</formula>
    </cfRule>
  </conditionalFormatting>
  <conditionalFormatting sqref="C217:C224">
    <cfRule type="expression" dxfId="278" priority="18" stopIfTrue="1">
      <formula>$B217="Visa"</formula>
    </cfRule>
  </conditionalFormatting>
  <conditionalFormatting sqref="C217:C225">
    <cfRule type="expression" dxfId="277" priority="45" stopIfTrue="1">
      <formula>$B216="Visa"</formula>
    </cfRule>
    <cfRule type="expression" dxfId="276" priority="46" stopIfTrue="1">
      <formula>$B217="Visa"</formula>
    </cfRule>
  </conditionalFormatting>
  <conditionalFormatting sqref="C217:C230 C232:C243">
    <cfRule type="expression" dxfId="275" priority="27" stopIfTrue="1">
      <formula>$B216="Visa"</formula>
    </cfRule>
  </conditionalFormatting>
  <conditionalFormatting sqref="C217:C232">
    <cfRule type="expression" dxfId="274" priority="41" stopIfTrue="1">
      <formula>$B217="Visa"</formula>
    </cfRule>
  </conditionalFormatting>
  <conditionalFormatting sqref="C217:C233 C235:C247 C249:C250">
    <cfRule type="expression" dxfId="273" priority="32" stopIfTrue="1">
      <formula>$B216="Visa"</formula>
    </cfRule>
  </conditionalFormatting>
  <conditionalFormatting sqref="C217:C233 C272:C273">
    <cfRule type="expression" dxfId="272" priority="57" stopIfTrue="1">
      <formula>$B216="Visa"</formula>
    </cfRule>
  </conditionalFormatting>
  <conditionalFormatting sqref="C217:C233">
    <cfRule type="expression" dxfId="271" priority="49" stopIfTrue="1">
      <formula>$B216="Visa"</formula>
    </cfRule>
    <cfRule type="expression" dxfId="270" priority="71" stopIfTrue="1">
      <formula>$B216="Visa"</formula>
    </cfRule>
  </conditionalFormatting>
  <conditionalFormatting sqref="C217:C234">
    <cfRule type="expression" dxfId="269" priority="65" stopIfTrue="1">
      <formula>$B216="Visa"</formula>
    </cfRule>
  </conditionalFormatting>
  <conditionalFormatting sqref="C217:C235">
    <cfRule type="expression" dxfId="268" priority="11" stopIfTrue="1">
      <formula>$B217="Visa"</formula>
    </cfRule>
  </conditionalFormatting>
  <conditionalFormatting sqref="C217:C244">
    <cfRule type="expression" dxfId="267" priority="28" stopIfTrue="1">
      <formula>$B217="Visa"</formula>
    </cfRule>
  </conditionalFormatting>
  <conditionalFormatting sqref="C217:C245">
    <cfRule type="expression" dxfId="266" priority="24" stopIfTrue="1">
      <formula>$B217="Visa"</formula>
    </cfRule>
  </conditionalFormatting>
  <conditionalFormatting sqref="C217:C257">
    <cfRule type="expression" dxfId="265" priority="43" stopIfTrue="1">
      <formula>$B216="Visa"</formula>
    </cfRule>
  </conditionalFormatting>
  <conditionalFormatting sqref="C217:C258">
    <cfRule type="expression" dxfId="264" priority="44" stopIfTrue="1">
      <formula>$B217="Visa"</formula>
    </cfRule>
  </conditionalFormatting>
  <conditionalFormatting sqref="C217:C259">
    <cfRule type="expression" dxfId="263" priority="51" stopIfTrue="1">
      <formula>$B216="Visa"</formula>
    </cfRule>
  </conditionalFormatting>
  <conditionalFormatting sqref="C217:C260">
    <cfRule type="expression" dxfId="262" priority="52" stopIfTrue="1">
      <formula>$B217="Visa"</formula>
    </cfRule>
  </conditionalFormatting>
  <conditionalFormatting sqref="C217:C262">
    <cfRule type="expression" dxfId="261" priority="33" stopIfTrue="1">
      <formula>$B217="Visa"</formula>
    </cfRule>
  </conditionalFormatting>
  <conditionalFormatting sqref="C217:C271">
    <cfRule type="expression" dxfId="260" priority="67" stopIfTrue="1">
      <formula>$B217="Visa"</formula>
    </cfRule>
  </conditionalFormatting>
  <conditionalFormatting sqref="C217:C277">
    <cfRule type="expression" dxfId="259" priority="59" stopIfTrue="1">
      <formula>$B217="Visa"</formula>
    </cfRule>
  </conditionalFormatting>
  <conditionalFormatting sqref="C217:C289">
    <cfRule type="expression" dxfId="258" priority="73" stopIfTrue="1">
      <formula>$B217="Visa"</formula>
    </cfRule>
  </conditionalFormatting>
  <conditionalFormatting sqref="C219">
    <cfRule type="expression" dxfId="257" priority="13" stopIfTrue="1">
      <formula>$B16="Visa"</formula>
    </cfRule>
  </conditionalFormatting>
  <conditionalFormatting sqref="C221">
    <cfRule type="expression" dxfId="256" priority="9" stopIfTrue="1">
      <formula>$B17="Visa"</formula>
    </cfRule>
    <cfRule type="expression" dxfId="255" priority="16" stopIfTrue="1">
      <formula>$B17="Visa"</formula>
    </cfRule>
    <cfRule type="expression" dxfId="254" priority="22" stopIfTrue="1">
      <formula>$B17="Visa"</formula>
    </cfRule>
    <cfRule type="expression" dxfId="253" priority="39" stopIfTrue="1">
      <formula>$B17="Visa"</formula>
    </cfRule>
  </conditionalFormatting>
  <conditionalFormatting sqref="C231">
    <cfRule type="expression" dxfId="252" priority="25" stopIfTrue="1">
      <formula>$B207="Visa"</formula>
    </cfRule>
  </conditionalFormatting>
  <conditionalFormatting sqref="C233:C249">
    <cfRule type="expression" dxfId="251" priority="36" stopIfTrue="1">
      <formula>$B233="Visa"</formula>
    </cfRule>
  </conditionalFormatting>
  <conditionalFormatting sqref="C234">
    <cfRule type="expression" dxfId="250" priority="30" stopIfTrue="1">
      <formula>$B206="Visa"</formula>
    </cfRule>
    <cfRule type="expression" dxfId="249" priority="48" stopIfTrue="1">
      <formula>$B206="Visa"</formula>
    </cfRule>
    <cfRule type="expression" dxfId="248" priority="55" stopIfTrue="1">
      <formula>$B206="Visa"</formula>
    </cfRule>
    <cfRule type="expression" dxfId="247" priority="70" stopIfTrue="1">
      <formula>$B206="Visa"</formula>
    </cfRule>
  </conditionalFormatting>
  <conditionalFormatting sqref="C234:C249">
    <cfRule type="expression" dxfId="246" priority="35" stopIfTrue="1">
      <formula>$B233="Visa"</formula>
    </cfRule>
  </conditionalFormatting>
  <conditionalFormatting sqref="C235">
    <cfRule type="expression" dxfId="245" priority="64" stopIfTrue="1">
      <formula>$B207="Visa"</formula>
    </cfRule>
  </conditionalFormatting>
  <conditionalFormatting sqref="C235:C258 C260:C270">
    <cfRule type="expression" dxfId="244" priority="58" stopIfTrue="1">
      <formula>$B234="Visa"</formula>
    </cfRule>
  </conditionalFormatting>
  <conditionalFormatting sqref="C235:C277 C279:C289">
    <cfRule type="expression" dxfId="243" priority="72" stopIfTrue="1">
      <formula>$B234="Visa"</formula>
    </cfRule>
  </conditionalFormatting>
  <conditionalFormatting sqref="C236">
    <cfRule type="expression" dxfId="242" priority="8" stopIfTrue="1">
      <formula>$B236="Visa"</formula>
    </cfRule>
  </conditionalFormatting>
  <conditionalFormatting sqref="C236:C259 C261:C271">
    <cfRule type="expression" dxfId="241" priority="66" stopIfTrue="1">
      <formula>$B235="Visa"</formula>
    </cfRule>
  </conditionalFormatting>
  <conditionalFormatting sqref="C241">
    <cfRule type="expression" dxfId="240" priority="50" stopIfTrue="1">
      <formula>$B212="Visa"</formula>
    </cfRule>
  </conditionalFormatting>
  <conditionalFormatting sqref="C244">
    <cfRule type="expression" dxfId="239" priority="26" stopIfTrue="1">
      <formula>$B17="Visa"</formula>
    </cfRule>
  </conditionalFormatting>
  <conditionalFormatting sqref="C245">
    <cfRule type="expression" dxfId="238" priority="21" stopIfTrue="1">
      <formula>$B245="Visa"</formula>
    </cfRule>
  </conditionalFormatting>
  <conditionalFormatting sqref="C248">
    <cfRule type="expression" dxfId="237" priority="31" stopIfTrue="1">
      <formula>$B17="Visa"</formula>
    </cfRule>
  </conditionalFormatting>
  <conditionalFormatting sqref="C258">
    <cfRule type="expression" dxfId="236" priority="42" stopIfTrue="1">
      <formula>$B21="Visa"</formula>
    </cfRule>
  </conditionalFormatting>
  <conditionalFormatting sqref="C259">
    <cfRule type="expression" dxfId="235" priority="54" stopIfTrue="1">
      <formula>$B235="Visa"</formula>
    </cfRule>
  </conditionalFormatting>
  <conditionalFormatting sqref="C260">
    <cfRule type="expression" dxfId="234" priority="47" stopIfTrue="1">
      <formula>$B259="Visa"</formula>
    </cfRule>
    <cfRule type="expression" dxfId="233" priority="63" stopIfTrue="1">
      <formula>$B236="Visa"</formula>
    </cfRule>
  </conditionalFormatting>
  <conditionalFormatting sqref="C263">
    <cfRule type="expression" dxfId="232" priority="29" stopIfTrue="1">
      <formula>$B263="Visa"</formula>
    </cfRule>
  </conditionalFormatting>
  <conditionalFormatting sqref="C271">
    <cfRule type="expression" dxfId="231" priority="56" stopIfTrue="1">
      <formula>$B17="Visa"</formula>
    </cfRule>
  </conditionalFormatting>
  <conditionalFormatting sqref="C278">
    <cfRule type="expression" dxfId="230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840C1-C23F-4FBA-9E0F-EC8201C70844}">
  <sheetPr codeName="Sheet8"/>
  <dimension ref="A1:Q256"/>
  <sheetViews>
    <sheetView topLeftCell="A199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'4'!B3+1</f>
        <v>46147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229" priority="62" stopIfTrue="1">
      <formula>$A272="Visa"</formula>
    </cfRule>
  </conditionalFormatting>
  <conditionalFormatting sqref="B278">
    <cfRule type="expression" dxfId="228" priority="53" stopIfTrue="1">
      <formula>$A278="Visa"</formula>
    </cfRule>
  </conditionalFormatting>
  <conditionalFormatting sqref="B310">
    <cfRule type="expression" dxfId="227" priority="69" stopIfTrue="1">
      <formula>$A310="Visa"</formula>
    </cfRule>
  </conditionalFormatting>
  <conditionalFormatting sqref="C5:C15 C17:C208">
    <cfRule type="expression" dxfId="226" priority="76" stopIfTrue="1">
      <formula>$B5="Visa"</formula>
    </cfRule>
  </conditionalFormatting>
  <conditionalFormatting sqref="C5:C19">
    <cfRule type="expression" dxfId="225" priority="78" stopIfTrue="1">
      <formula>$B5="Visa"</formula>
    </cfRule>
  </conditionalFormatting>
  <conditionalFormatting sqref="C5:C208 C217:C233">
    <cfRule type="expression" dxfId="224" priority="15" stopIfTrue="1">
      <formula>$B5="Visa"</formula>
    </cfRule>
  </conditionalFormatting>
  <conditionalFormatting sqref="C5:C208">
    <cfRule type="expression" dxfId="223" priority="7" stopIfTrue="1">
      <formula>$B5="Visa"</formula>
    </cfRule>
    <cfRule type="expression" dxfId="222" priority="38" stopIfTrue="1">
      <formula>$B5="Visa"</formula>
    </cfRule>
    <cfRule type="expression" dxfId="221" priority="61" stopIfTrue="1">
      <formula>$B5="Visa"</formula>
    </cfRule>
  </conditionalFormatting>
  <conditionalFormatting sqref="C13:C15">
    <cfRule type="expression" dxfId="220" priority="37" stopIfTrue="1">
      <formula>$B12="Visa"</formula>
    </cfRule>
    <cfRule type="expression" dxfId="219" priority="75" stopIfTrue="1">
      <formula>$B12="Visa"</formula>
    </cfRule>
  </conditionalFormatting>
  <conditionalFormatting sqref="C13:C20">
    <cfRule type="expression" dxfId="218" priority="6" stopIfTrue="1">
      <formula>$B12="Visa"</formula>
    </cfRule>
    <cfRule type="expression" dxfId="217" priority="60" stopIfTrue="1">
      <formula>$B12="Visa"</formula>
    </cfRule>
  </conditionalFormatting>
  <conditionalFormatting sqref="C13:C201 C203:C208">
    <cfRule type="expression" dxfId="216" priority="77" stopIfTrue="1">
      <formula>$B12="Visa"</formula>
    </cfRule>
  </conditionalFormatting>
  <conditionalFormatting sqref="C17">
    <cfRule type="expression" dxfId="215" priority="34" stopIfTrue="1">
      <formula>$B15="Visa"</formula>
    </cfRule>
    <cfRule type="expression" dxfId="214" priority="74" stopIfTrue="1">
      <formula>$B15="Visa"</formula>
    </cfRule>
  </conditionalFormatting>
  <conditionalFormatting sqref="C21">
    <cfRule type="expression" dxfId="213" priority="12" stopIfTrue="1">
      <formula>#REF!="Visa"</formula>
    </cfRule>
  </conditionalFormatting>
  <conditionalFormatting sqref="C202">
    <cfRule type="expression" dxfId="212" priority="79" stopIfTrue="1">
      <formula>$B29="Visa"</formula>
    </cfRule>
  </conditionalFormatting>
  <conditionalFormatting sqref="C209:C214">
    <cfRule type="expression" dxfId="211" priority="1" stopIfTrue="1">
      <formula>$B209="Visa"</formula>
    </cfRule>
    <cfRule type="expression" dxfId="210" priority="5" stopIfTrue="1">
      <formula>$B208="Visa"</formula>
    </cfRule>
  </conditionalFormatting>
  <conditionalFormatting sqref="C217:C218 C220:C221 C12:C20">
    <cfRule type="expression" dxfId="209" priority="14" stopIfTrue="1">
      <formula>$B11="Visa"</formula>
    </cfRule>
  </conditionalFormatting>
  <conditionalFormatting sqref="C217:C219">
    <cfRule type="expression" dxfId="208" priority="19" stopIfTrue="1">
      <formula>$B216="Visa"</formula>
    </cfRule>
    <cfRule type="expression" dxfId="207" priority="20" stopIfTrue="1">
      <formula>$B217="Visa"</formula>
    </cfRule>
  </conditionalFormatting>
  <conditionalFormatting sqref="C217:C220 C222:C223">
    <cfRule type="expression" dxfId="206" priority="10" stopIfTrue="1">
      <formula>$B216="Visa"</formula>
    </cfRule>
    <cfRule type="expression" dxfId="205" priority="17" stopIfTrue="1">
      <formula>$B216="Visa"</formula>
    </cfRule>
    <cfRule type="expression" dxfId="204" priority="23" stopIfTrue="1">
      <formula>$B216="Visa"</formula>
    </cfRule>
    <cfRule type="expression" dxfId="203" priority="40" stopIfTrue="1">
      <formula>$B216="Visa"</formula>
    </cfRule>
  </conditionalFormatting>
  <conditionalFormatting sqref="C217:C224">
    <cfRule type="expression" dxfId="202" priority="18" stopIfTrue="1">
      <formula>$B217="Visa"</formula>
    </cfRule>
  </conditionalFormatting>
  <conditionalFormatting sqref="C217:C225">
    <cfRule type="expression" dxfId="201" priority="45" stopIfTrue="1">
      <formula>$B216="Visa"</formula>
    </cfRule>
    <cfRule type="expression" dxfId="200" priority="46" stopIfTrue="1">
      <formula>$B217="Visa"</formula>
    </cfRule>
  </conditionalFormatting>
  <conditionalFormatting sqref="C217:C230 C232:C243">
    <cfRule type="expression" dxfId="199" priority="27" stopIfTrue="1">
      <formula>$B216="Visa"</formula>
    </cfRule>
  </conditionalFormatting>
  <conditionalFormatting sqref="C217:C232">
    <cfRule type="expression" dxfId="198" priority="41" stopIfTrue="1">
      <formula>$B217="Visa"</formula>
    </cfRule>
  </conditionalFormatting>
  <conditionalFormatting sqref="C217:C233 C235:C247 C249:C250">
    <cfRule type="expression" dxfId="197" priority="32" stopIfTrue="1">
      <formula>$B216="Visa"</formula>
    </cfRule>
  </conditionalFormatting>
  <conditionalFormatting sqref="C217:C233 C272:C273">
    <cfRule type="expression" dxfId="196" priority="57" stopIfTrue="1">
      <formula>$B216="Visa"</formula>
    </cfRule>
  </conditionalFormatting>
  <conditionalFormatting sqref="C217:C233">
    <cfRule type="expression" dxfId="195" priority="49" stopIfTrue="1">
      <formula>$B216="Visa"</formula>
    </cfRule>
    <cfRule type="expression" dxfId="194" priority="71" stopIfTrue="1">
      <formula>$B216="Visa"</formula>
    </cfRule>
  </conditionalFormatting>
  <conditionalFormatting sqref="C217:C234">
    <cfRule type="expression" dxfId="193" priority="65" stopIfTrue="1">
      <formula>$B216="Visa"</formula>
    </cfRule>
  </conditionalFormatting>
  <conditionalFormatting sqref="C217:C235">
    <cfRule type="expression" dxfId="192" priority="11" stopIfTrue="1">
      <formula>$B217="Visa"</formula>
    </cfRule>
  </conditionalFormatting>
  <conditionalFormatting sqref="C217:C244">
    <cfRule type="expression" dxfId="191" priority="28" stopIfTrue="1">
      <formula>$B217="Visa"</formula>
    </cfRule>
  </conditionalFormatting>
  <conditionalFormatting sqref="C217:C245">
    <cfRule type="expression" dxfId="190" priority="24" stopIfTrue="1">
      <formula>$B217="Visa"</formula>
    </cfRule>
  </conditionalFormatting>
  <conditionalFormatting sqref="C217:C257">
    <cfRule type="expression" dxfId="189" priority="43" stopIfTrue="1">
      <formula>$B216="Visa"</formula>
    </cfRule>
  </conditionalFormatting>
  <conditionalFormatting sqref="C217:C258">
    <cfRule type="expression" dxfId="188" priority="44" stopIfTrue="1">
      <formula>$B217="Visa"</formula>
    </cfRule>
  </conditionalFormatting>
  <conditionalFormatting sqref="C217:C259">
    <cfRule type="expression" dxfId="187" priority="51" stopIfTrue="1">
      <formula>$B216="Visa"</formula>
    </cfRule>
  </conditionalFormatting>
  <conditionalFormatting sqref="C217:C260">
    <cfRule type="expression" dxfId="186" priority="52" stopIfTrue="1">
      <formula>$B217="Visa"</formula>
    </cfRule>
  </conditionalFormatting>
  <conditionalFormatting sqref="C217:C262">
    <cfRule type="expression" dxfId="185" priority="33" stopIfTrue="1">
      <formula>$B217="Visa"</formula>
    </cfRule>
  </conditionalFormatting>
  <conditionalFormatting sqref="C217:C271">
    <cfRule type="expression" dxfId="184" priority="67" stopIfTrue="1">
      <formula>$B217="Visa"</formula>
    </cfRule>
  </conditionalFormatting>
  <conditionalFormatting sqref="C217:C277">
    <cfRule type="expression" dxfId="183" priority="59" stopIfTrue="1">
      <formula>$B217="Visa"</formula>
    </cfRule>
  </conditionalFormatting>
  <conditionalFormatting sqref="C217:C289">
    <cfRule type="expression" dxfId="182" priority="73" stopIfTrue="1">
      <formula>$B217="Visa"</formula>
    </cfRule>
  </conditionalFormatting>
  <conditionalFormatting sqref="C219">
    <cfRule type="expression" dxfId="181" priority="13" stopIfTrue="1">
      <formula>$B16="Visa"</formula>
    </cfRule>
  </conditionalFormatting>
  <conditionalFormatting sqref="C221">
    <cfRule type="expression" dxfId="180" priority="9" stopIfTrue="1">
      <formula>$B17="Visa"</formula>
    </cfRule>
    <cfRule type="expression" dxfId="179" priority="16" stopIfTrue="1">
      <formula>$B17="Visa"</formula>
    </cfRule>
    <cfRule type="expression" dxfId="178" priority="22" stopIfTrue="1">
      <formula>$B17="Visa"</formula>
    </cfRule>
    <cfRule type="expression" dxfId="177" priority="39" stopIfTrue="1">
      <formula>$B17="Visa"</formula>
    </cfRule>
  </conditionalFormatting>
  <conditionalFormatting sqref="C231">
    <cfRule type="expression" dxfId="176" priority="25" stopIfTrue="1">
      <formula>$B207="Visa"</formula>
    </cfRule>
  </conditionalFormatting>
  <conditionalFormatting sqref="C233:C249">
    <cfRule type="expression" dxfId="175" priority="36" stopIfTrue="1">
      <formula>$B233="Visa"</formula>
    </cfRule>
  </conditionalFormatting>
  <conditionalFormatting sqref="C234">
    <cfRule type="expression" dxfId="174" priority="30" stopIfTrue="1">
      <formula>$B206="Visa"</formula>
    </cfRule>
    <cfRule type="expression" dxfId="173" priority="48" stopIfTrue="1">
      <formula>$B206="Visa"</formula>
    </cfRule>
    <cfRule type="expression" dxfId="172" priority="55" stopIfTrue="1">
      <formula>$B206="Visa"</formula>
    </cfRule>
    <cfRule type="expression" dxfId="171" priority="70" stopIfTrue="1">
      <formula>$B206="Visa"</formula>
    </cfRule>
  </conditionalFormatting>
  <conditionalFormatting sqref="C234:C249">
    <cfRule type="expression" dxfId="170" priority="35" stopIfTrue="1">
      <formula>$B233="Visa"</formula>
    </cfRule>
  </conditionalFormatting>
  <conditionalFormatting sqref="C235">
    <cfRule type="expression" dxfId="169" priority="64" stopIfTrue="1">
      <formula>$B207="Visa"</formula>
    </cfRule>
  </conditionalFormatting>
  <conditionalFormatting sqref="C235:C258 C260:C270">
    <cfRule type="expression" dxfId="168" priority="58" stopIfTrue="1">
      <formula>$B234="Visa"</formula>
    </cfRule>
  </conditionalFormatting>
  <conditionalFormatting sqref="C235:C277 C279:C289">
    <cfRule type="expression" dxfId="167" priority="72" stopIfTrue="1">
      <formula>$B234="Visa"</formula>
    </cfRule>
  </conditionalFormatting>
  <conditionalFormatting sqref="C236">
    <cfRule type="expression" dxfId="166" priority="8" stopIfTrue="1">
      <formula>$B236="Visa"</formula>
    </cfRule>
  </conditionalFormatting>
  <conditionalFormatting sqref="C236:C259 C261:C271">
    <cfRule type="expression" dxfId="165" priority="66" stopIfTrue="1">
      <formula>$B235="Visa"</formula>
    </cfRule>
  </conditionalFormatting>
  <conditionalFormatting sqref="C241">
    <cfRule type="expression" dxfId="164" priority="50" stopIfTrue="1">
      <formula>$B212="Visa"</formula>
    </cfRule>
  </conditionalFormatting>
  <conditionalFormatting sqref="C244">
    <cfRule type="expression" dxfId="163" priority="26" stopIfTrue="1">
      <formula>$B17="Visa"</formula>
    </cfRule>
  </conditionalFormatting>
  <conditionalFormatting sqref="C245">
    <cfRule type="expression" dxfId="162" priority="21" stopIfTrue="1">
      <formula>$B245="Visa"</formula>
    </cfRule>
  </conditionalFormatting>
  <conditionalFormatting sqref="C248">
    <cfRule type="expression" dxfId="161" priority="31" stopIfTrue="1">
      <formula>$B17="Visa"</formula>
    </cfRule>
  </conditionalFormatting>
  <conditionalFormatting sqref="C258">
    <cfRule type="expression" dxfId="160" priority="42" stopIfTrue="1">
      <formula>$B21="Visa"</formula>
    </cfRule>
  </conditionalFormatting>
  <conditionalFormatting sqref="C259">
    <cfRule type="expression" dxfId="159" priority="54" stopIfTrue="1">
      <formula>$B235="Visa"</formula>
    </cfRule>
  </conditionalFormatting>
  <conditionalFormatting sqref="C260">
    <cfRule type="expression" dxfId="158" priority="47" stopIfTrue="1">
      <formula>$B259="Visa"</formula>
    </cfRule>
    <cfRule type="expression" dxfId="157" priority="63" stopIfTrue="1">
      <formula>$B236="Visa"</formula>
    </cfRule>
  </conditionalFormatting>
  <conditionalFormatting sqref="C263">
    <cfRule type="expression" dxfId="156" priority="29" stopIfTrue="1">
      <formula>$B263="Visa"</formula>
    </cfRule>
  </conditionalFormatting>
  <conditionalFormatting sqref="C271">
    <cfRule type="expression" dxfId="155" priority="56" stopIfTrue="1">
      <formula>$B17="Visa"</formula>
    </cfRule>
  </conditionalFormatting>
  <conditionalFormatting sqref="C278">
    <cfRule type="expression" dxfId="154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E539-2B6F-4F5A-BDE4-C24D7628198D}">
  <sheetPr codeName="Sheet9"/>
  <dimension ref="A1:Q256"/>
  <sheetViews>
    <sheetView topLeftCell="A196" workbookViewId="0">
      <selection activeCell="A209" sqref="A209:I216"/>
    </sheetView>
  </sheetViews>
  <sheetFormatPr defaultColWidth="9.140625" defaultRowHeight="11.25" x14ac:dyDescent="0.2"/>
  <cols>
    <col min="1" max="1" width="4.7109375" style="1" customWidth="1"/>
    <col min="2" max="2" width="12.7109375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10" width="9.140625" style="1"/>
    <col min="11" max="11" width="12.42578125" style="1" customWidth="1"/>
    <col min="12" max="13" width="9.140625" style="1" customWidth="1"/>
    <col min="14" max="14" width="12.7109375" style="1" customWidth="1"/>
    <col min="15" max="15" width="9.140625" style="1" customWidth="1"/>
    <col min="16" max="234" width="9.140625" style="1"/>
    <col min="235" max="235" width="0.85546875" style="1" customWidth="1"/>
    <col min="236" max="236" width="3.42578125" style="1" customWidth="1"/>
    <col min="237" max="237" width="9.5703125" style="1" bestFit="1" customWidth="1"/>
    <col min="238" max="238" width="9.140625" style="1"/>
    <col min="239" max="239" width="8.7109375" style="1" bestFit="1" customWidth="1"/>
    <col min="240" max="16384" width="9.140625" style="1"/>
  </cols>
  <sheetData>
    <row r="1" spans="1:17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  <c r="L1" s="48"/>
      <c r="M1" s="48"/>
      <c r="N1" s="48"/>
    </row>
    <row r="2" spans="1:17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  <c r="K2" s="48" t="s">
        <v>13</v>
      </c>
      <c r="L2" s="48"/>
      <c r="M2" s="48"/>
      <c r="N2" s="48"/>
    </row>
    <row r="3" spans="1:17" ht="16.5" customHeight="1" x14ac:dyDescent="0.2">
      <c r="A3" s="23" t="s">
        <v>18</v>
      </c>
      <c r="B3" s="43">
        <f>'5'!B3+1</f>
        <v>46148</v>
      </c>
      <c r="C3" s="21"/>
      <c r="D3" s="21"/>
      <c r="E3" s="21"/>
      <c r="F3" s="21"/>
      <c r="G3" s="21"/>
      <c r="H3" s="21"/>
      <c r="I3" s="22"/>
      <c r="L3" s="52"/>
      <c r="M3" s="52"/>
      <c r="N3" s="52"/>
    </row>
    <row r="4" spans="1:17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  <c r="K4" s="37" t="s">
        <v>14</v>
      </c>
      <c r="L4" s="16" t="s">
        <v>6</v>
      </c>
      <c r="M4" s="16" t="s">
        <v>7</v>
      </c>
      <c r="N4" s="16" t="s">
        <v>8</v>
      </c>
    </row>
    <row r="5" spans="1:17" s="7" customFormat="1" ht="15" customHeight="1" x14ac:dyDescent="0.25">
      <c r="A5" s="2">
        <v>1</v>
      </c>
      <c r="B5" s="10"/>
      <c r="C5" s="11"/>
      <c r="D5" s="12"/>
      <c r="E5" s="13"/>
      <c r="F5" s="13"/>
      <c r="G5" s="10"/>
      <c r="H5" s="10"/>
      <c r="I5" s="10">
        <f>G5-H5</f>
        <v>0</v>
      </c>
      <c r="K5" s="2"/>
      <c r="L5" s="14"/>
      <c r="M5" s="14"/>
      <c r="N5" s="15">
        <f>L5-M5</f>
        <v>0</v>
      </c>
      <c r="O5" s="41">
        <f t="shared" ref="O5:Q5" si="0">G5-L5</f>
        <v>0</v>
      </c>
      <c r="P5" s="41">
        <f t="shared" si="0"/>
        <v>0</v>
      </c>
      <c r="Q5" s="41">
        <f t="shared" si="0"/>
        <v>0</v>
      </c>
    </row>
    <row r="6" spans="1:17" s="7" customFormat="1" ht="15" customHeight="1" x14ac:dyDescent="0.25">
      <c r="A6" s="2">
        <f>A5+1</f>
        <v>2</v>
      </c>
      <c r="B6" s="10"/>
      <c r="C6" s="11"/>
      <c r="D6" s="12"/>
      <c r="E6" s="13"/>
      <c r="F6" s="13"/>
      <c r="G6" s="10"/>
      <c r="H6" s="10"/>
      <c r="I6" s="10">
        <f t="shared" ref="I6:I204" si="1">G6-H6</f>
        <v>0</v>
      </c>
      <c r="K6" s="2"/>
      <c r="L6" s="14"/>
      <c r="M6" s="14"/>
      <c r="N6" s="15">
        <f t="shared" ref="N6:N204" si="2">L6-M6</f>
        <v>0</v>
      </c>
      <c r="O6" s="41">
        <f t="shared" ref="O6:O69" si="3">G6-L6</f>
        <v>0</v>
      </c>
      <c r="P6" s="41">
        <f t="shared" ref="P6:P69" si="4">H6-M6</f>
        <v>0</v>
      </c>
      <c r="Q6" s="41">
        <f t="shared" ref="Q6:Q69" si="5">I6-N6</f>
        <v>0</v>
      </c>
    </row>
    <row r="7" spans="1:17" s="7" customFormat="1" ht="15" customHeight="1" x14ac:dyDescent="0.25">
      <c r="A7" s="2">
        <f t="shared" ref="A7:A70" si="6">A6+1</f>
        <v>3</v>
      </c>
      <c r="B7" s="10"/>
      <c r="C7" s="11"/>
      <c r="D7" s="12"/>
      <c r="E7" s="13"/>
      <c r="F7" s="13"/>
      <c r="G7" s="10"/>
      <c r="H7" s="10"/>
      <c r="I7" s="10">
        <f t="shared" si="1"/>
        <v>0</v>
      </c>
      <c r="K7" s="2"/>
      <c r="L7" s="14"/>
      <c r="M7" s="14"/>
      <c r="N7" s="15">
        <f t="shared" si="2"/>
        <v>0</v>
      </c>
      <c r="O7" s="41">
        <f t="shared" si="3"/>
        <v>0</v>
      </c>
      <c r="P7" s="41">
        <f t="shared" si="4"/>
        <v>0</v>
      </c>
      <c r="Q7" s="41">
        <f t="shared" si="5"/>
        <v>0</v>
      </c>
    </row>
    <row r="8" spans="1:17" s="7" customFormat="1" ht="15" customHeight="1" x14ac:dyDescent="0.25">
      <c r="A8" s="2">
        <f t="shared" si="6"/>
        <v>4</v>
      </c>
      <c r="B8" s="10"/>
      <c r="C8" s="11"/>
      <c r="D8" s="12"/>
      <c r="E8" s="13"/>
      <c r="F8" s="13"/>
      <c r="G8" s="10"/>
      <c r="H8" s="10"/>
      <c r="I8" s="10">
        <f t="shared" si="1"/>
        <v>0</v>
      </c>
      <c r="K8" s="2"/>
      <c r="L8" s="14"/>
      <c r="M8" s="14"/>
      <c r="N8" s="15">
        <f t="shared" si="2"/>
        <v>0</v>
      </c>
      <c r="O8" s="41">
        <f t="shared" si="3"/>
        <v>0</v>
      </c>
      <c r="P8" s="41">
        <f t="shared" si="4"/>
        <v>0</v>
      </c>
      <c r="Q8" s="41">
        <f t="shared" si="5"/>
        <v>0</v>
      </c>
    </row>
    <row r="9" spans="1:17" s="7" customFormat="1" ht="15" customHeight="1" x14ac:dyDescent="0.25">
      <c r="A9" s="2">
        <f t="shared" si="6"/>
        <v>5</v>
      </c>
      <c r="B9" s="10"/>
      <c r="C9" s="11"/>
      <c r="D9" s="12"/>
      <c r="E9" s="13"/>
      <c r="F9" s="13"/>
      <c r="G9" s="10"/>
      <c r="H9" s="10"/>
      <c r="I9" s="10">
        <f t="shared" si="1"/>
        <v>0</v>
      </c>
      <c r="K9" s="2"/>
      <c r="L9" s="14"/>
      <c r="M9" s="14"/>
      <c r="N9" s="15">
        <f t="shared" si="2"/>
        <v>0</v>
      </c>
      <c r="O9" s="41">
        <f t="shared" si="3"/>
        <v>0</v>
      </c>
      <c r="P9" s="41">
        <f t="shared" si="4"/>
        <v>0</v>
      </c>
      <c r="Q9" s="41">
        <f t="shared" si="5"/>
        <v>0</v>
      </c>
    </row>
    <row r="10" spans="1:17" s="7" customFormat="1" ht="15" customHeight="1" x14ac:dyDescent="0.25">
      <c r="A10" s="2">
        <f t="shared" si="6"/>
        <v>6</v>
      </c>
      <c r="B10" s="10"/>
      <c r="C10" s="11"/>
      <c r="D10" s="12"/>
      <c r="E10" s="13"/>
      <c r="F10" s="13"/>
      <c r="G10" s="10"/>
      <c r="H10" s="10"/>
      <c r="I10" s="10">
        <f t="shared" si="1"/>
        <v>0</v>
      </c>
      <c r="K10" s="2"/>
      <c r="L10" s="14"/>
      <c r="M10" s="14"/>
      <c r="N10" s="15">
        <f t="shared" si="2"/>
        <v>0</v>
      </c>
      <c r="O10" s="41">
        <f t="shared" si="3"/>
        <v>0</v>
      </c>
      <c r="P10" s="41">
        <f t="shared" si="4"/>
        <v>0</v>
      </c>
      <c r="Q10" s="41">
        <f t="shared" si="5"/>
        <v>0</v>
      </c>
    </row>
    <row r="11" spans="1:17" s="7" customFormat="1" ht="15" customHeight="1" x14ac:dyDescent="0.25">
      <c r="A11" s="2">
        <f t="shared" si="6"/>
        <v>7</v>
      </c>
      <c r="B11" s="10"/>
      <c r="C11" s="11"/>
      <c r="D11" s="12"/>
      <c r="E11" s="13"/>
      <c r="F11" s="13"/>
      <c r="G11" s="10"/>
      <c r="H11" s="10"/>
      <c r="I11" s="10">
        <f t="shared" si="1"/>
        <v>0</v>
      </c>
      <c r="K11" s="2"/>
      <c r="L11" s="14"/>
      <c r="M11" s="14"/>
      <c r="N11" s="15">
        <f t="shared" si="2"/>
        <v>0</v>
      </c>
      <c r="O11" s="41">
        <f t="shared" si="3"/>
        <v>0</v>
      </c>
      <c r="P11" s="41">
        <f t="shared" si="4"/>
        <v>0</v>
      </c>
      <c r="Q11" s="41">
        <f t="shared" si="5"/>
        <v>0</v>
      </c>
    </row>
    <row r="12" spans="1:17" s="7" customFormat="1" ht="15" customHeight="1" x14ac:dyDescent="0.25">
      <c r="A12" s="2">
        <f t="shared" si="6"/>
        <v>8</v>
      </c>
      <c r="B12" s="10"/>
      <c r="C12" s="11"/>
      <c r="D12" s="12"/>
      <c r="E12" s="13"/>
      <c r="F12" s="13"/>
      <c r="G12" s="10"/>
      <c r="H12" s="10"/>
      <c r="I12" s="10">
        <f t="shared" si="1"/>
        <v>0</v>
      </c>
      <c r="K12" s="2"/>
      <c r="L12" s="14"/>
      <c r="M12" s="14"/>
      <c r="N12" s="15">
        <f t="shared" si="2"/>
        <v>0</v>
      </c>
      <c r="O12" s="41">
        <f t="shared" si="3"/>
        <v>0</v>
      </c>
      <c r="P12" s="41">
        <f t="shared" si="4"/>
        <v>0</v>
      </c>
      <c r="Q12" s="41">
        <f t="shared" si="5"/>
        <v>0</v>
      </c>
    </row>
    <row r="13" spans="1:17" s="7" customFormat="1" ht="15" customHeight="1" x14ac:dyDescent="0.25">
      <c r="A13" s="2">
        <f t="shared" si="6"/>
        <v>9</v>
      </c>
      <c r="B13" s="10"/>
      <c r="C13" s="11"/>
      <c r="D13" s="12"/>
      <c r="E13" s="13"/>
      <c r="F13" s="13"/>
      <c r="G13" s="10"/>
      <c r="H13" s="10"/>
      <c r="I13" s="10">
        <f t="shared" si="1"/>
        <v>0</v>
      </c>
      <c r="K13" s="2"/>
      <c r="L13" s="14"/>
      <c r="M13" s="14"/>
      <c r="N13" s="15">
        <f t="shared" si="2"/>
        <v>0</v>
      </c>
      <c r="O13" s="41">
        <f t="shared" si="3"/>
        <v>0</v>
      </c>
      <c r="P13" s="41">
        <f t="shared" si="4"/>
        <v>0</v>
      </c>
      <c r="Q13" s="41">
        <f t="shared" si="5"/>
        <v>0</v>
      </c>
    </row>
    <row r="14" spans="1:17" s="7" customFormat="1" ht="15" customHeight="1" x14ac:dyDescent="0.25">
      <c r="A14" s="2">
        <f t="shared" si="6"/>
        <v>10</v>
      </c>
      <c r="B14" s="10"/>
      <c r="C14" s="11"/>
      <c r="D14" s="12"/>
      <c r="E14" s="13"/>
      <c r="F14" s="13"/>
      <c r="G14" s="10"/>
      <c r="H14" s="10"/>
      <c r="I14" s="10">
        <f t="shared" si="1"/>
        <v>0</v>
      </c>
      <c r="K14" s="2"/>
      <c r="L14" s="14"/>
      <c r="M14" s="14"/>
      <c r="N14" s="15">
        <f t="shared" si="2"/>
        <v>0</v>
      </c>
      <c r="O14" s="41">
        <f t="shared" si="3"/>
        <v>0</v>
      </c>
      <c r="P14" s="41">
        <f t="shared" si="4"/>
        <v>0</v>
      </c>
      <c r="Q14" s="41">
        <f t="shared" si="5"/>
        <v>0</v>
      </c>
    </row>
    <row r="15" spans="1:17" s="7" customFormat="1" ht="15" customHeight="1" x14ac:dyDescent="0.25">
      <c r="A15" s="2">
        <f t="shared" si="6"/>
        <v>11</v>
      </c>
      <c r="B15" s="10"/>
      <c r="C15" s="11"/>
      <c r="D15" s="12"/>
      <c r="E15" s="13"/>
      <c r="F15" s="13"/>
      <c r="G15" s="10"/>
      <c r="H15" s="10"/>
      <c r="I15" s="10">
        <f t="shared" si="1"/>
        <v>0</v>
      </c>
      <c r="K15" s="2"/>
      <c r="L15" s="14"/>
      <c r="M15" s="14"/>
      <c r="N15" s="15">
        <f t="shared" si="2"/>
        <v>0</v>
      </c>
      <c r="O15" s="41">
        <f t="shared" si="3"/>
        <v>0</v>
      </c>
      <c r="P15" s="41">
        <f t="shared" si="4"/>
        <v>0</v>
      </c>
      <c r="Q15" s="41">
        <f t="shared" si="5"/>
        <v>0</v>
      </c>
    </row>
    <row r="16" spans="1:17" s="7" customFormat="1" ht="15" customHeight="1" x14ac:dyDescent="0.25">
      <c r="A16" s="2">
        <f t="shared" si="6"/>
        <v>12</v>
      </c>
      <c r="B16" s="10"/>
      <c r="C16" s="11"/>
      <c r="D16" s="12"/>
      <c r="E16" s="13"/>
      <c r="F16" s="13"/>
      <c r="G16" s="10"/>
      <c r="H16" s="10"/>
      <c r="I16" s="10">
        <f t="shared" si="1"/>
        <v>0</v>
      </c>
      <c r="K16" s="2"/>
      <c r="L16" s="14"/>
      <c r="M16" s="14"/>
      <c r="N16" s="15">
        <f t="shared" si="2"/>
        <v>0</v>
      </c>
      <c r="O16" s="41">
        <f t="shared" si="3"/>
        <v>0</v>
      </c>
      <c r="P16" s="41">
        <f t="shared" si="4"/>
        <v>0</v>
      </c>
      <c r="Q16" s="41">
        <f t="shared" si="5"/>
        <v>0</v>
      </c>
    </row>
    <row r="17" spans="1:17" s="7" customFormat="1" ht="15" customHeight="1" x14ac:dyDescent="0.25">
      <c r="A17" s="2">
        <f t="shared" si="6"/>
        <v>13</v>
      </c>
      <c r="B17" s="10"/>
      <c r="C17" s="11"/>
      <c r="D17" s="12"/>
      <c r="E17" s="13"/>
      <c r="F17" s="13"/>
      <c r="G17" s="10"/>
      <c r="H17" s="10"/>
      <c r="I17" s="10">
        <f t="shared" si="1"/>
        <v>0</v>
      </c>
      <c r="K17" s="2"/>
      <c r="L17" s="14"/>
      <c r="M17" s="14"/>
      <c r="N17" s="15">
        <f t="shared" si="2"/>
        <v>0</v>
      </c>
      <c r="O17" s="41">
        <f t="shared" si="3"/>
        <v>0</v>
      </c>
      <c r="P17" s="41">
        <f t="shared" si="4"/>
        <v>0</v>
      </c>
      <c r="Q17" s="41">
        <f t="shared" si="5"/>
        <v>0</v>
      </c>
    </row>
    <row r="18" spans="1:17" s="7" customFormat="1" ht="15" customHeight="1" x14ac:dyDescent="0.25">
      <c r="A18" s="2">
        <f t="shared" si="6"/>
        <v>14</v>
      </c>
      <c r="B18" s="10"/>
      <c r="C18" s="11"/>
      <c r="D18" s="12"/>
      <c r="E18" s="13"/>
      <c r="F18" s="13"/>
      <c r="G18" s="10"/>
      <c r="H18" s="10"/>
      <c r="I18" s="10">
        <f t="shared" si="1"/>
        <v>0</v>
      </c>
      <c r="K18" s="2"/>
      <c r="L18" s="14"/>
      <c r="M18" s="14"/>
      <c r="N18" s="15">
        <f t="shared" si="2"/>
        <v>0</v>
      </c>
      <c r="O18" s="41">
        <f t="shared" si="3"/>
        <v>0</v>
      </c>
      <c r="P18" s="41">
        <f t="shared" si="4"/>
        <v>0</v>
      </c>
      <c r="Q18" s="41">
        <f t="shared" si="5"/>
        <v>0</v>
      </c>
    </row>
    <row r="19" spans="1:17" s="7" customFormat="1" ht="15" customHeight="1" x14ac:dyDescent="0.25">
      <c r="A19" s="2">
        <f t="shared" si="6"/>
        <v>15</v>
      </c>
      <c r="B19" s="10"/>
      <c r="C19" s="11"/>
      <c r="D19" s="12"/>
      <c r="E19" s="13"/>
      <c r="F19" s="13"/>
      <c r="G19" s="10"/>
      <c r="H19" s="10"/>
      <c r="I19" s="10">
        <f t="shared" si="1"/>
        <v>0</v>
      </c>
      <c r="K19" s="2"/>
      <c r="L19" s="14"/>
      <c r="M19" s="14"/>
      <c r="N19" s="15">
        <f t="shared" si="2"/>
        <v>0</v>
      </c>
      <c r="O19" s="41">
        <f t="shared" si="3"/>
        <v>0</v>
      </c>
      <c r="P19" s="41">
        <f t="shared" si="4"/>
        <v>0</v>
      </c>
      <c r="Q19" s="41">
        <f t="shared" si="5"/>
        <v>0</v>
      </c>
    </row>
    <row r="20" spans="1:17" s="7" customFormat="1" ht="15" customHeight="1" x14ac:dyDescent="0.25">
      <c r="A20" s="2">
        <f t="shared" si="6"/>
        <v>16</v>
      </c>
      <c r="B20" s="10"/>
      <c r="C20" s="11"/>
      <c r="D20" s="12"/>
      <c r="E20" s="13"/>
      <c r="F20" s="13"/>
      <c r="G20" s="10"/>
      <c r="H20" s="10"/>
      <c r="I20" s="10">
        <f t="shared" si="1"/>
        <v>0</v>
      </c>
      <c r="K20" s="2"/>
      <c r="L20" s="14"/>
      <c r="M20" s="14"/>
      <c r="N20" s="15">
        <f t="shared" si="2"/>
        <v>0</v>
      </c>
      <c r="O20" s="41">
        <f t="shared" si="3"/>
        <v>0</v>
      </c>
      <c r="P20" s="41">
        <f t="shared" si="4"/>
        <v>0</v>
      </c>
      <c r="Q20" s="41">
        <f t="shared" si="5"/>
        <v>0</v>
      </c>
    </row>
    <row r="21" spans="1:17" s="7" customFormat="1" ht="15" customHeight="1" x14ac:dyDescent="0.25">
      <c r="A21" s="2">
        <f t="shared" si="6"/>
        <v>17</v>
      </c>
      <c r="B21" s="10"/>
      <c r="C21" s="11"/>
      <c r="D21" s="12"/>
      <c r="E21" s="13"/>
      <c r="F21" s="13"/>
      <c r="G21" s="10"/>
      <c r="H21" s="10"/>
      <c r="I21" s="10">
        <f t="shared" si="1"/>
        <v>0</v>
      </c>
      <c r="K21" s="2"/>
      <c r="L21" s="14"/>
      <c r="M21" s="14"/>
      <c r="N21" s="15">
        <f t="shared" si="2"/>
        <v>0</v>
      </c>
      <c r="O21" s="41">
        <f t="shared" si="3"/>
        <v>0</v>
      </c>
      <c r="P21" s="41">
        <f t="shared" si="4"/>
        <v>0</v>
      </c>
      <c r="Q21" s="41">
        <f t="shared" si="5"/>
        <v>0</v>
      </c>
    </row>
    <row r="22" spans="1:17" s="7" customFormat="1" ht="15" customHeight="1" x14ac:dyDescent="0.25">
      <c r="A22" s="2">
        <f t="shared" si="6"/>
        <v>18</v>
      </c>
      <c r="B22" s="10"/>
      <c r="C22" s="11"/>
      <c r="D22" s="12"/>
      <c r="E22" s="13"/>
      <c r="F22" s="13"/>
      <c r="G22" s="10"/>
      <c r="H22" s="10"/>
      <c r="I22" s="10">
        <f t="shared" si="1"/>
        <v>0</v>
      </c>
      <c r="K22" s="2"/>
      <c r="L22" s="14"/>
      <c r="M22" s="14"/>
      <c r="N22" s="15">
        <f t="shared" si="2"/>
        <v>0</v>
      </c>
      <c r="O22" s="41">
        <f t="shared" si="3"/>
        <v>0</v>
      </c>
      <c r="P22" s="41">
        <f t="shared" si="4"/>
        <v>0</v>
      </c>
      <c r="Q22" s="41">
        <f t="shared" si="5"/>
        <v>0</v>
      </c>
    </row>
    <row r="23" spans="1:17" s="7" customFormat="1" ht="15" customHeight="1" x14ac:dyDescent="0.25">
      <c r="A23" s="2">
        <f t="shared" si="6"/>
        <v>19</v>
      </c>
      <c r="B23" s="10"/>
      <c r="C23" s="11"/>
      <c r="D23" s="12"/>
      <c r="E23" s="13"/>
      <c r="F23" s="13"/>
      <c r="G23" s="10"/>
      <c r="H23" s="10"/>
      <c r="I23" s="10">
        <f t="shared" si="1"/>
        <v>0</v>
      </c>
      <c r="K23" s="2"/>
      <c r="L23" s="14"/>
      <c r="M23" s="14"/>
      <c r="N23" s="15">
        <f t="shared" si="2"/>
        <v>0</v>
      </c>
      <c r="O23" s="41">
        <f t="shared" si="3"/>
        <v>0</v>
      </c>
      <c r="P23" s="41">
        <f t="shared" si="4"/>
        <v>0</v>
      </c>
      <c r="Q23" s="41">
        <f t="shared" si="5"/>
        <v>0</v>
      </c>
    </row>
    <row r="24" spans="1:17" s="7" customFormat="1" ht="15" customHeight="1" x14ac:dyDescent="0.25">
      <c r="A24" s="2">
        <f t="shared" si="6"/>
        <v>20</v>
      </c>
      <c r="B24" s="10"/>
      <c r="C24" s="11"/>
      <c r="D24" s="12"/>
      <c r="E24" s="13"/>
      <c r="F24" s="13"/>
      <c r="G24" s="10"/>
      <c r="H24" s="10"/>
      <c r="I24" s="10">
        <f t="shared" si="1"/>
        <v>0</v>
      </c>
      <c r="K24" s="2"/>
      <c r="L24" s="14"/>
      <c r="M24" s="14"/>
      <c r="N24" s="15">
        <f t="shared" si="2"/>
        <v>0</v>
      </c>
      <c r="O24" s="41">
        <f t="shared" si="3"/>
        <v>0</v>
      </c>
      <c r="P24" s="41">
        <f t="shared" si="4"/>
        <v>0</v>
      </c>
      <c r="Q24" s="41">
        <f t="shared" si="5"/>
        <v>0</v>
      </c>
    </row>
    <row r="25" spans="1:17" s="7" customFormat="1" ht="15" customHeight="1" x14ac:dyDescent="0.25">
      <c r="A25" s="2">
        <f t="shared" si="6"/>
        <v>21</v>
      </c>
      <c r="B25" s="10"/>
      <c r="C25" s="11"/>
      <c r="D25" s="12"/>
      <c r="E25" s="13"/>
      <c r="F25" s="13"/>
      <c r="G25" s="10"/>
      <c r="H25" s="10"/>
      <c r="I25" s="10">
        <f t="shared" si="1"/>
        <v>0</v>
      </c>
      <c r="K25" s="2"/>
      <c r="L25" s="14"/>
      <c r="M25" s="14"/>
      <c r="N25" s="15">
        <f t="shared" si="2"/>
        <v>0</v>
      </c>
      <c r="O25" s="41">
        <f t="shared" si="3"/>
        <v>0</v>
      </c>
      <c r="P25" s="41">
        <f t="shared" si="4"/>
        <v>0</v>
      </c>
      <c r="Q25" s="41">
        <f t="shared" si="5"/>
        <v>0</v>
      </c>
    </row>
    <row r="26" spans="1:17" s="7" customFormat="1" ht="15" customHeight="1" x14ac:dyDescent="0.25">
      <c r="A26" s="2">
        <f t="shared" si="6"/>
        <v>22</v>
      </c>
      <c r="B26" s="10"/>
      <c r="C26" s="11"/>
      <c r="D26" s="12"/>
      <c r="E26" s="13"/>
      <c r="F26" s="13"/>
      <c r="G26" s="10"/>
      <c r="H26" s="10"/>
      <c r="I26" s="10">
        <f t="shared" si="1"/>
        <v>0</v>
      </c>
      <c r="K26" s="2"/>
      <c r="L26" s="14"/>
      <c r="M26" s="14"/>
      <c r="N26" s="15">
        <f t="shared" si="2"/>
        <v>0</v>
      </c>
      <c r="O26" s="41">
        <f t="shared" si="3"/>
        <v>0</v>
      </c>
      <c r="P26" s="41">
        <f t="shared" si="4"/>
        <v>0</v>
      </c>
      <c r="Q26" s="41">
        <f t="shared" si="5"/>
        <v>0</v>
      </c>
    </row>
    <row r="27" spans="1:17" s="7" customFormat="1" ht="15" customHeight="1" x14ac:dyDescent="0.25">
      <c r="A27" s="2">
        <f t="shared" si="6"/>
        <v>23</v>
      </c>
      <c r="B27" s="10"/>
      <c r="C27" s="11"/>
      <c r="D27" s="12"/>
      <c r="E27" s="13"/>
      <c r="F27" s="13"/>
      <c r="G27" s="10"/>
      <c r="H27" s="10"/>
      <c r="I27" s="10">
        <f t="shared" si="1"/>
        <v>0</v>
      </c>
      <c r="K27" s="2"/>
      <c r="L27" s="14"/>
      <c r="M27" s="14"/>
      <c r="N27" s="15">
        <f t="shared" si="2"/>
        <v>0</v>
      </c>
      <c r="O27" s="41">
        <f t="shared" si="3"/>
        <v>0</v>
      </c>
      <c r="P27" s="41">
        <f t="shared" si="4"/>
        <v>0</v>
      </c>
      <c r="Q27" s="41">
        <f t="shared" si="5"/>
        <v>0</v>
      </c>
    </row>
    <row r="28" spans="1:17" s="7" customFormat="1" ht="15" customHeight="1" x14ac:dyDescent="0.25">
      <c r="A28" s="2">
        <f t="shared" si="6"/>
        <v>24</v>
      </c>
      <c r="B28" s="10"/>
      <c r="C28" s="11"/>
      <c r="D28" s="12"/>
      <c r="E28" s="13"/>
      <c r="F28" s="13"/>
      <c r="G28" s="10"/>
      <c r="H28" s="10"/>
      <c r="I28" s="10">
        <f t="shared" si="1"/>
        <v>0</v>
      </c>
      <c r="K28" s="2"/>
      <c r="L28" s="14"/>
      <c r="M28" s="14"/>
      <c r="N28" s="15">
        <f t="shared" si="2"/>
        <v>0</v>
      </c>
      <c r="O28" s="41">
        <f t="shared" si="3"/>
        <v>0</v>
      </c>
      <c r="P28" s="41">
        <f t="shared" si="4"/>
        <v>0</v>
      </c>
      <c r="Q28" s="41">
        <f t="shared" si="5"/>
        <v>0</v>
      </c>
    </row>
    <row r="29" spans="1:17" s="7" customFormat="1" ht="15" customHeight="1" x14ac:dyDescent="0.25">
      <c r="A29" s="2">
        <f t="shared" si="6"/>
        <v>25</v>
      </c>
      <c r="B29" s="10"/>
      <c r="C29" s="11"/>
      <c r="D29" s="12"/>
      <c r="E29" s="13"/>
      <c r="F29" s="13"/>
      <c r="G29" s="10"/>
      <c r="H29" s="10"/>
      <c r="I29" s="10">
        <f t="shared" si="1"/>
        <v>0</v>
      </c>
      <c r="K29" s="2"/>
      <c r="L29" s="14"/>
      <c r="M29" s="14"/>
      <c r="N29" s="15">
        <f t="shared" si="2"/>
        <v>0</v>
      </c>
      <c r="O29" s="41">
        <f t="shared" si="3"/>
        <v>0</v>
      </c>
      <c r="P29" s="41">
        <f t="shared" si="4"/>
        <v>0</v>
      </c>
      <c r="Q29" s="41">
        <f t="shared" si="5"/>
        <v>0</v>
      </c>
    </row>
    <row r="30" spans="1:17" s="7" customFormat="1" ht="15" customHeight="1" x14ac:dyDescent="0.25">
      <c r="A30" s="2">
        <f t="shared" si="6"/>
        <v>26</v>
      </c>
      <c r="B30" s="10"/>
      <c r="C30" s="11"/>
      <c r="D30" s="12"/>
      <c r="E30" s="13"/>
      <c r="F30" s="13"/>
      <c r="G30" s="10"/>
      <c r="H30" s="10"/>
      <c r="I30" s="10">
        <f t="shared" si="1"/>
        <v>0</v>
      </c>
      <c r="K30" s="2"/>
      <c r="L30" s="14"/>
      <c r="M30" s="14"/>
      <c r="N30" s="15">
        <f t="shared" si="2"/>
        <v>0</v>
      </c>
      <c r="O30" s="41">
        <f t="shared" si="3"/>
        <v>0</v>
      </c>
      <c r="P30" s="41">
        <f t="shared" si="4"/>
        <v>0</v>
      </c>
      <c r="Q30" s="41">
        <f t="shared" si="5"/>
        <v>0</v>
      </c>
    </row>
    <row r="31" spans="1:17" s="7" customFormat="1" ht="15" customHeight="1" x14ac:dyDescent="0.25">
      <c r="A31" s="2">
        <f t="shared" si="6"/>
        <v>27</v>
      </c>
      <c r="B31" s="10"/>
      <c r="C31" s="11"/>
      <c r="D31" s="12"/>
      <c r="E31" s="13"/>
      <c r="F31" s="13"/>
      <c r="G31" s="10"/>
      <c r="H31" s="10"/>
      <c r="I31" s="10">
        <f t="shared" si="1"/>
        <v>0</v>
      </c>
      <c r="K31" s="2"/>
      <c r="L31" s="14"/>
      <c r="M31" s="14"/>
      <c r="N31" s="15">
        <f t="shared" si="2"/>
        <v>0</v>
      </c>
      <c r="O31" s="41">
        <f t="shared" si="3"/>
        <v>0</v>
      </c>
      <c r="P31" s="41">
        <f t="shared" si="4"/>
        <v>0</v>
      </c>
      <c r="Q31" s="41">
        <f t="shared" si="5"/>
        <v>0</v>
      </c>
    </row>
    <row r="32" spans="1:17" s="7" customFormat="1" ht="15" customHeight="1" x14ac:dyDescent="0.25">
      <c r="A32" s="2">
        <f t="shared" si="6"/>
        <v>28</v>
      </c>
      <c r="B32" s="10"/>
      <c r="C32" s="11"/>
      <c r="D32" s="12"/>
      <c r="E32" s="13"/>
      <c r="F32" s="13"/>
      <c r="G32" s="10"/>
      <c r="H32" s="10"/>
      <c r="I32" s="10">
        <f t="shared" si="1"/>
        <v>0</v>
      </c>
      <c r="K32" s="2"/>
      <c r="L32" s="14"/>
      <c r="M32" s="14"/>
      <c r="N32" s="15">
        <f t="shared" si="2"/>
        <v>0</v>
      </c>
      <c r="O32" s="41">
        <f t="shared" si="3"/>
        <v>0</v>
      </c>
      <c r="P32" s="41">
        <f t="shared" si="4"/>
        <v>0</v>
      </c>
      <c r="Q32" s="41">
        <f t="shared" si="5"/>
        <v>0</v>
      </c>
    </row>
    <row r="33" spans="1:17" s="7" customFormat="1" ht="15" customHeight="1" x14ac:dyDescent="0.25">
      <c r="A33" s="2">
        <f t="shared" si="6"/>
        <v>29</v>
      </c>
      <c r="B33" s="10"/>
      <c r="C33" s="11"/>
      <c r="D33" s="12"/>
      <c r="E33" s="13"/>
      <c r="F33" s="13"/>
      <c r="G33" s="10"/>
      <c r="H33" s="10"/>
      <c r="I33" s="10">
        <f t="shared" si="1"/>
        <v>0</v>
      </c>
      <c r="K33" s="2"/>
      <c r="L33" s="14"/>
      <c r="M33" s="14"/>
      <c r="N33" s="15">
        <f t="shared" si="2"/>
        <v>0</v>
      </c>
      <c r="O33" s="41">
        <f t="shared" si="3"/>
        <v>0</v>
      </c>
      <c r="P33" s="41">
        <f t="shared" si="4"/>
        <v>0</v>
      </c>
      <c r="Q33" s="41">
        <f t="shared" si="5"/>
        <v>0</v>
      </c>
    </row>
    <row r="34" spans="1:17" s="7" customFormat="1" ht="15" customHeight="1" x14ac:dyDescent="0.25">
      <c r="A34" s="2">
        <f t="shared" si="6"/>
        <v>30</v>
      </c>
      <c r="B34" s="10"/>
      <c r="C34" s="11"/>
      <c r="D34" s="12"/>
      <c r="E34" s="13"/>
      <c r="F34" s="13"/>
      <c r="G34" s="10"/>
      <c r="H34" s="10"/>
      <c r="I34" s="10">
        <f t="shared" si="1"/>
        <v>0</v>
      </c>
      <c r="K34" s="2"/>
      <c r="L34" s="14"/>
      <c r="M34" s="14"/>
      <c r="N34" s="15">
        <f t="shared" si="2"/>
        <v>0</v>
      </c>
      <c r="O34" s="41">
        <f t="shared" si="3"/>
        <v>0</v>
      </c>
      <c r="P34" s="41">
        <f t="shared" si="4"/>
        <v>0</v>
      </c>
      <c r="Q34" s="41">
        <f t="shared" si="5"/>
        <v>0</v>
      </c>
    </row>
    <row r="35" spans="1:17" s="7" customFormat="1" ht="15" customHeight="1" x14ac:dyDescent="0.25">
      <c r="A35" s="2">
        <f t="shared" si="6"/>
        <v>31</v>
      </c>
      <c r="B35" s="10"/>
      <c r="C35" s="11"/>
      <c r="D35" s="12"/>
      <c r="E35" s="13"/>
      <c r="F35" s="13"/>
      <c r="G35" s="10"/>
      <c r="H35" s="10"/>
      <c r="I35" s="10">
        <f t="shared" si="1"/>
        <v>0</v>
      </c>
      <c r="K35" s="2"/>
      <c r="L35" s="14"/>
      <c r="M35" s="14"/>
      <c r="N35" s="15">
        <f t="shared" si="2"/>
        <v>0</v>
      </c>
      <c r="O35" s="41">
        <f t="shared" si="3"/>
        <v>0</v>
      </c>
      <c r="P35" s="41">
        <f t="shared" si="4"/>
        <v>0</v>
      </c>
      <c r="Q35" s="41">
        <f t="shared" si="5"/>
        <v>0</v>
      </c>
    </row>
    <row r="36" spans="1:17" s="7" customFormat="1" ht="15" customHeight="1" x14ac:dyDescent="0.25">
      <c r="A36" s="2">
        <f t="shared" si="6"/>
        <v>32</v>
      </c>
      <c r="B36" s="10"/>
      <c r="C36" s="11"/>
      <c r="D36" s="12"/>
      <c r="E36" s="13"/>
      <c r="F36" s="13"/>
      <c r="G36" s="10"/>
      <c r="H36" s="10"/>
      <c r="I36" s="10">
        <f t="shared" si="1"/>
        <v>0</v>
      </c>
      <c r="K36" s="2"/>
      <c r="L36" s="14"/>
      <c r="M36" s="14"/>
      <c r="N36" s="15">
        <f t="shared" si="2"/>
        <v>0</v>
      </c>
      <c r="O36" s="41">
        <f t="shared" si="3"/>
        <v>0</v>
      </c>
      <c r="P36" s="41">
        <f t="shared" si="4"/>
        <v>0</v>
      </c>
      <c r="Q36" s="41">
        <f t="shared" si="5"/>
        <v>0</v>
      </c>
    </row>
    <row r="37" spans="1:17" s="7" customFormat="1" ht="15" customHeight="1" x14ac:dyDescent="0.25">
      <c r="A37" s="2">
        <f t="shared" si="6"/>
        <v>33</v>
      </c>
      <c r="B37" s="10"/>
      <c r="C37" s="11"/>
      <c r="D37" s="12"/>
      <c r="E37" s="13"/>
      <c r="F37" s="13"/>
      <c r="G37" s="10"/>
      <c r="H37" s="10"/>
      <c r="I37" s="10">
        <f t="shared" si="1"/>
        <v>0</v>
      </c>
      <c r="K37" s="2"/>
      <c r="L37" s="14"/>
      <c r="M37" s="14"/>
      <c r="N37" s="15">
        <f t="shared" si="2"/>
        <v>0</v>
      </c>
      <c r="O37" s="41">
        <f t="shared" si="3"/>
        <v>0</v>
      </c>
      <c r="P37" s="41">
        <f t="shared" si="4"/>
        <v>0</v>
      </c>
      <c r="Q37" s="41">
        <f t="shared" si="5"/>
        <v>0</v>
      </c>
    </row>
    <row r="38" spans="1:17" s="7" customFormat="1" ht="15" customHeight="1" x14ac:dyDescent="0.25">
      <c r="A38" s="2">
        <f t="shared" si="6"/>
        <v>34</v>
      </c>
      <c r="B38" s="10"/>
      <c r="C38" s="11"/>
      <c r="D38" s="12"/>
      <c r="E38" s="13"/>
      <c r="F38" s="13"/>
      <c r="G38" s="10"/>
      <c r="H38" s="10"/>
      <c r="I38" s="10">
        <f t="shared" si="1"/>
        <v>0</v>
      </c>
      <c r="K38" s="2"/>
      <c r="L38" s="14"/>
      <c r="M38" s="14"/>
      <c r="N38" s="15">
        <f t="shared" si="2"/>
        <v>0</v>
      </c>
      <c r="O38" s="41">
        <f t="shared" si="3"/>
        <v>0</v>
      </c>
      <c r="P38" s="41">
        <f t="shared" si="4"/>
        <v>0</v>
      </c>
      <c r="Q38" s="41">
        <f t="shared" si="5"/>
        <v>0</v>
      </c>
    </row>
    <row r="39" spans="1:17" s="7" customFormat="1" ht="15" customHeight="1" x14ac:dyDescent="0.25">
      <c r="A39" s="2">
        <f t="shared" si="6"/>
        <v>35</v>
      </c>
      <c r="B39" s="10"/>
      <c r="C39" s="11"/>
      <c r="D39" s="12"/>
      <c r="E39" s="13"/>
      <c r="F39" s="13"/>
      <c r="G39" s="10"/>
      <c r="H39" s="10"/>
      <c r="I39" s="10">
        <f t="shared" si="1"/>
        <v>0</v>
      </c>
      <c r="K39" s="2"/>
      <c r="L39" s="14"/>
      <c r="M39" s="14"/>
      <c r="N39" s="15">
        <f t="shared" si="2"/>
        <v>0</v>
      </c>
      <c r="O39" s="41">
        <f t="shared" si="3"/>
        <v>0</v>
      </c>
      <c r="P39" s="41">
        <f t="shared" si="4"/>
        <v>0</v>
      </c>
      <c r="Q39" s="41">
        <f t="shared" si="5"/>
        <v>0</v>
      </c>
    </row>
    <row r="40" spans="1:17" s="7" customFormat="1" ht="15" customHeight="1" x14ac:dyDescent="0.25">
      <c r="A40" s="2">
        <f t="shared" si="6"/>
        <v>36</v>
      </c>
      <c r="B40" s="10"/>
      <c r="C40" s="11"/>
      <c r="D40" s="12"/>
      <c r="E40" s="13"/>
      <c r="F40" s="13"/>
      <c r="G40" s="10"/>
      <c r="H40" s="10"/>
      <c r="I40" s="10">
        <f t="shared" si="1"/>
        <v>0</v>
      </c>
      <c r="K40" s="2"/>
      <c r="L40" s="14"/>
      <c r="M40" s="14"/>
      <c r="N40" s="15">
        <f t="shared" si="2"/>
        <v>0</v>
      </c>
      <c r="O40" s="41">
        <f t="shared" si="3"/>
        <v>0</v>
      </c>
      <c r="P40" s="41">
        <f t="shared" si="4"/>
        <v>0</v>
      </c>
      <c r="Q40" s="41">
        <f t="shared" si="5"/>
        <v>0</v>
      </c>
    </row>
    <row r="41" spans="1:17" s="7" customFormat="1" ht="15" customHeight="1" x14ac:dyDescent="0.25">
      <c r="A41" s="2">
        <f t="shared" si="6"/>
        <v>37</v>
      </c>
      <c r="B41" s="10"/>
      <c r="C41" s="11"/>
      <c r="D41" s="12"/>
      <c r="E41" s="13"/>
      <c r="F41" s="13"/>
      <c r="G41" s="10"/>
      <c r="H41" s="10"/>
      <c r="I41" s="10">
        <f t="shared" si="1"/>
        <v>0</v>
      </c>
      <c r="K41" s="2"/>
      <c r="L41" s="14"/>
      <c r="M41" s="14"/>
      <c r="N41" s="15">
        <f t="shared" si="2"/>
        <v>0</v>
      </c>
      <c r="O41" s="41">
        <f t="shared" si="3"/>
        <v>0</v>
      </c>
      <c r="P41" s="41">
        <f t="shared" si="4"/>
        <v>0</v>
      </c>
      <c r="Q41" s="41">
        <f t="shared" si="5"/>
        <v>0</v>
      </c>
    </row>
    <row r="42" spans="1:17" s="7" customFormat="1" ht="15" customHeight="1" x14ac:dyDescent="0.25">
      <c r="A42" s="2">
        <f t="shared" si="6"/>
        <v>38</v>
      </c>
      <c r="B42" s="10"/>
      <c r="C42" s="11"/>
      <c r="D42" s="12"/>
      <c r="E42" s="13"/>
      <c r="F42" s="13"/>
      <c r="G42" s="10"/>
      <c r="H42" s="10"/>
      <c r="I42" s="10">
        <f t="shared" si="1"/>
        <v>0</v>
      </c>
      <c r="K42" s="2"/>
      <c r="L42" s="14"/>
      <c r="M42" s="14"/>
      <c r="N42" s="15">
        <f t="shared" si="2"/>
        <v>0</v>
      </c>
      <c r="O42" s="41">
        <f t="shared" si="3"/>
        <v>0</v>
      </c>
      <c r="P42" s="41">
        <f t="shared" si="4"/>
        <v>0</v>
      </c>
      <c r="Q42" s="41">
        <f t="shared" si="5"/>
        <v>0</v>
      </c>
    </row>
    <row r="43" spans="1:17" s="7" customFormat="1" ht="15" customHeight="1" x14ac:dyDescent="0.25">
      <c r="A43" s="2">
        <f t="shared" si="6"/>
        <v>39</v>
      </c>
      <c r="B43" s="10"/>
      <c r="C43" s="11"/>
      <c r="D43" s="12"/>
      <c r="E43" s="13"/>
      <c r="F43" s="13"/>
      <c r="G43" s="10"/>
      <c r="H43" s="10"/>
      <c r="I43" s="10">
        <f t="shared" si="1"/>
        <v>0</v>
      </c>
      <c r="K43" s="2"/>
      <c r="L43" s="14"/>
      <c r="M43" s="14"/>
      <c r="N43" s="15">
        <f t="shared" si="2"/>
        <v>0</v>
      </c>
      <c r="O43" s="41">
        <f t="shared" si="3"/>
        <v>0</v>
      </c>
      <c r="P43" s="41">
        <f t="shared" si="4"/>
        <v>0</v>
      </c>
      <c r="Q43" s="41">
        <f t="shared" si="5"/>
        <v>0</v>
      </c>
    </row>
    <row r="44" spans="1:17" s="7" customFormat="1" ht="15" customHeight="1" x14ac:dyDescent="0.25">
      <c r="A44" s="2">
        <f t="shared" si="6"/>
        <v>40</v>
      </c>
      <c r="B44" s="10"/>
      <c r="C44" s="11"/>
      <c r="D44" s="12"/>
      <c r="E44" s="13"/>
      <c r="F44" s="13"/>
      <c r="G44" s="10"/>
      <c r="H44" s="10"/>
      <c r="I44" s="10">
        <f t="shared" si="1"/>
        <v>0</v>
      </c>
      <c r="K44" s="2"/>
      <c r="L44" s="14"/>
      <c r="M44" s="14"/>
      <c r="N44" s="15">
        <f t="shared" si="2"/>
        <v>0</v>
      </c>
      <c r="O44" s="41">
        <f t="shared" si="3"/>
        <v>0</v>
      </c>
      <c r="P44" s="41">
        <f t="shared" si="4"/>
        <v>0</v>
      </c>
      <c r="Q44" s="41">
        <f t="shared" si="5"/>
        <v>0</v>
      </c>
    </row>
    <row r="45" spans="1:17" s="7" customFormat="1" ht="15" customHeight="1" x14ac:dyDescent="0.25">
      <c r="A45" s="2">
        <f t="shared" si="6"/>
        <v>41</v>
      </c>
      <c r="B45" s="10"/>
      <c r="C45" s="11"/>
      <c r="D45" s="12"/>
      <c r="E45" s="13"/>
      <c r="F45" s="13"/>
      <c r="G45" s="10"/>
      <c r="H45" s="10"/>
      <c r="I45" s="10">
        <f t="shared" si="1"/>
        <v>0</v>
      </c>
      <c r="K45" s="2"/>
      <c r="L45" s="14"/>
      <c r="M45" s="14"/>
      <c r="N45" s="15">
        <f t="shared" si="2"/>
        <v>0</v>
      </c>
      <c r="O45" s="41">
        <f t="shared" si="3"/>
        <v>0</v>
      </c>
      <c r="P45" s="41">
        <f t="shared" si="4"/>
        <v>0</v>
      </c>
      <c r="Q45" s="41">
        <f t="shared" si="5"/>
        <v>0</v>
      </c>
    </row>
    <row r="46" spans="1:17" s="7" customFormat="1" ht="15" customHeight="1" x14ac:dyDescent="0.25">
      <c r="A46" s="2">
        <f t="shared" si="6"/>
        <v>42</v>
      </c>
      <c r="B46" s="10"/>
      <c r="C46" s="11"/>
      <c r="D46" s="12"/>
      <c r="E46" s="13"/>
      <c r="F46" s="13"/>
      <c r="G46" s="10"/>
      <c r="H46" s="10"/>
      <c r="I46" s="10">
        <f t="shared" si="1"/>
        <v>0</v>
      </c>
      <c r="K46" s="2"/>
      <c r="L46" s="14"/>
      <c r="M46" s="14"/>
      <c r="N46" s="15">
        <f t="shared" si="2"/>
        <v>0</v>
      </c>
      <c r="O46" s="41">
        <f t="shared" si="3"/>
        <v>0</v>
      </c>
      <c r="P46" s="41">
        <f t="shared" si="4"/>
        <v>0</v>
      </c>
      <c r="Q46" s="41">
        <f t="shared" si="5"/>
        <v>0</v>
      </c>
    </row>
    <row r="47" spans="1:17" s="7" customFormat="1" ht="15" customHeight="1" x14ac:dyDescent="0.25">
      <c r="A47" s="2">
        <f t="shared" si="6"/>
        <v>43</v>
      </c>
      <c r="B47" s="10"/>
      <c r="C47" s="11"/>
      <c r="D47" s="12"/>
      <c r="E47" s="13"/>
      <c r="F47" s="13"/>
      <c r="G47" s="10"/>
      <c r="H47" s="10"/>
      <c r="I47" s="10">
        <f t="shared" si="1"/>
        <v>0</v>
      </c>
      <c r="K47" s="2"/>
      <c r="L47" s="14"/>
      <c r="M47" s="14"/>
      <c r="N47" s="15">
        <f t="shared" si="2"/>
        <v>0</v>
      </c>
      <c r="O47" s="41">
        <f t="shared" si="3"/>
        <v>0</v>
      </c>
      <c r="P47" s="41">
        <f t="shared" si="4"/>
        <v>0</v>
      </c>
      <c r="Q47" s="41">
        <f t="shared" si="5"/>
        <v>0</v>
      </c>
    </row>
    <row r="48" spans="1:17" s="7" customFormat="1" ht="15" customHeight="1" x14ac:dyDescent="0.25">
      <c r="A48" s="2">
        <f t="shared" si="6"/>
        <v>44</v>
      </c>
      <c r="B48" s="10"/>
      <c r="C48" s="11"/>
      <c r="D48" s="12"/>
      <c r="E48" s="13"/>
      <c r="F48" s="13"/>
      <c r="G48" s="10"/>
      <c r="H48" s="10"/>
      <c r="I48" s="10">
        <f t="shared" si="1"/>
        <v>0</v>
      </c>
      <c r="K48" s="2"/>
      <c r="L48" s="14"/>
      <c r="M48" s="14"/>
      <c r="N48" s="15">
        <f t="shared" si="2"/>
        <v>0</v>
      </c>
      <c r="O48" s="41">
        <f t="shared" si="3"/>
        <v>0</v>
      </c>
      <c r="P48" s="41">
        <f t="shared" si="4"/>
        <v>0</v>
      </c>
      <c r="Q48" s="41">
        <f t="shared" si="5"/>
        <v>0</v>
      </c>
    </row>
    <row r="49" spans="1:17" s="7" customFormat="1" ht="15" customHeight="1" x14ac:dyDescent="0.25">
      <c r="A49" s="2">
        <f t="shared" si="6"/>
        <v>45</v>
      </c>
      <c r="B49" s="10"/>
      <c r="C49" s="11"/>
      <c r="D49" s="12"/>
      <c r="E49" s="13"/>
      <c r="F49" s="13"/>
      <c r="G49" s="10"/>
      <c r="H49" s="10"/>
      <c r="I49" s="10">
        <f t="shared" si="1"/>
        <v>0</v>
      </c>
      <c r="K49" s="2"/>
      <c r="L49" s="14"/>
      <c r="M49" s="14"/>
      <c r="N49" s="15">
        <f t="shared" si="2"/>
        <v>0</v>
      </c>
      <c r="O49" s="41">
        <f t="shared" si="3"/>
        <v>0</v>
      </c>
      <c r="P49" s="41">
        <f t="shared" si="4"/>
        <v>0</v>
      </c>
      <c r="Q49" s="41">
        <f t="shared" si="5"/>
        <v>0</v>
      </c>
    </row>
    <row r="50" spans="1:17" s="7" customFormat="1" ht="15" customHeight="1" x14ac:dyDescent="0.25">
      <c r="A50" s="2">
        <f t="shared" si="6"/>
        <v>46</v>
      </c>
      <c r="B50" s="10"/>
      <c r="C50" s="11"/>
      <c r="D50" s="12"/>
      <c r="E50" s="13"/>
      <c r="F50" s="13"/>
      <c r="G50" s="10"/>
      <c r="H50" s="10"/>
      <c r="I50" s="10">
        <f t="shared" si="1"/>
        <v>0</v>
      </c>
      <c r="K50" s="2"/>
      <c r="L50" s="14"/>
      <c r="M50" s="14"/>
      <c r="N50" s="15">
        <f t="shared" si="2"/>
        <v>0</v>
      </c>
      <c r="O50" s="41">
        <f t="shared" si="3"/>
        <v>0</v>
      </c>
      <c r="P50" s="41">
        <f t="shared" si="4"/>
        <v>0</v>
      </c>
      <c r="Q50" s="41">
        <f t="shared" si="5"/>
        <v>0</v>
      </c>
    </row>
    <row r="51" spans="1:17" s="7" customFormat="1" ht="15" customHeight="1" x14ac:dyDescent="0.25">
      <c r="A51" s="2">
        <f t="shared" si="6"/>
        <v>47</v>
      </c>
      <c r="B51" s="10"/>
      <c r="C51" s="11"/>
      <c r="D51" s="12"/>
      <c r="E51" s="13"/>
      <c r="F51" s="13"/>
      <c r="G51" s="10"/>
      <c r="H51" s="10"/>
      <c r="I51" s="10">
        <f t="shared" si="1"/>
        <v>0</v>
      </c>
      <c r="K51" s="2"/>
      <c r="L51" s="14"/>
      <c r="M51" s="14"/>
      <c r="N51" s="15">
        <f t="shared" si="2"/>
        <v>0</v>
      </c>
      <c r="O51" s="41">
        <f t="shared" si="3"/>
        <v>0</v>
      </c>
      <c r="P51" s="41">
        <f t="shared" si="4"/>
        <v>0</v>
      </c>
      <c r="Q51" s="41">
        <f t="shared" si="5"/>
        <v>0</v>
      </c>
    </row>
    <row r="52" spans="1:17" s="7" customFormat="1" ht="15" customHeight="1" x14ac:dyDescent="0.25">
      <c r="A52" s="2">
        <f t="shared" si="6"/>
        <v>48</v>
      </c>
      <c r="B52" s="10"/>
      <c r="C52" s="11"/>
      <c r="D52" s="12"/>
      <c r="E52" s="13"/>
      <c r="F52" s="13"/>
      <c r="G52" s="10"/>
      <c r="H52" s="10"/>
      <c r="I52" s="10">
        <f t="shared" si="1"/>
        <v>0</v>
      </c>
      <c r="K52" s="2"/>
      <c r="L52" s="14"/>
      <c r="M52" s="14"/>
      <c r="N52" s="15">
        <f t="shared" si="2"/>
        <v>0</v>
      </c>
      <c r="O52" s="41">
        <f t="shared" si="3"/>
        <v>0</v>
      </c>
      <c r="P52" s="41">
        <f t="shared" si="4"/>
        <v>0</v>
      </c>
      <c r="Q52" s="41">
        <f t="shared" si="5"/>
        <v>0</v>
      </c>
    </row>
    <row r="53" spans="1:17" s="7" customFormat="1" ht="15" customHeight="1" x14ac:dyDescent="0.25">
      <c r="A53" s="2">
        <f t="shared" si="6"/>
        <v>49</v>
      </c>
      <c r="B53" s="10"/>
      <c r="C53" s="11"/>
      <c r="D53" s="12"/>
      <c r="E53" s="13"/>
      <c r="F53" s="13"/>
      <c r="G53" s="10"/>
      <c r="H53" s="10"/>
      <c r="I53" s="10">
        <f t="shared" si="1"/>
        <v>0</v>
      </c>
      <c r="K53" s="2"/>
      <c r="L53" s="14"/>
      <c r="M53" s="14"/>
      <c r="N53" s="15">
        <f t="shared" si="2"/>
        <v>0</v>
      </c>
      <c r="O53" s="41">
        <f t="shared" si="3"/>
        <v>0</v>
      </c>
      <c r="P53" s="41">
        <f t="shared" si="4"/>
        <v>0</v>
      </c>
      <c r="Q53" s="41">
        <f t="shared" si="5"/>
        <v>0</v>
      </c>
    </row>
    <row r="54" spans="1:17" s="7" customFormat="1" ht="15" customHeight="1" x14ac:dyDescent="0.25">
      <c r="A54" s="2">
        <f t="shared" si="6"/>
        <v>50</v>
      </c>
      <c r="B54" s="10"/>
      <c r="C54" s="11"/>
      <c r="D54" s="12"/>
      <c r="E54" s="13"/>
      <c r="F54" s="13"/>
      <c r="G54" s="10"/>
      <c r="H54" s="10"/>
      <c r="I54" s="10">
        <f t="shared" si="1"/>
        <v>0</v>
      </c>
      <c r="K54" s="2"/>
      <c r="L54" s="14"/>
      <c r="M54" s="14"/>
      <c r="N54" s="15">
        <f t="shared" si="2"/>
        <v>0</v>
      </c>
      <c r="O54" s="41">
        <f t="shared" si="3"/>
        <v>0</v>
      </c>
      <c r="P54" s="41">
        <f t="shared" si="4"/>
        <v>0</v>
      </c>
      <c r="Q54" s="41">
        <f t="shared" si="5"/>
        <v>0</v>
      </c>
    </row>
    <row r="55" spans="1:17" s="7" customFormat="1" ht="15" customHeight="1" x14ac:dyDescent="0.25">
      <c r="A55" s="2">
        <f t="shared" si="6"/>
        <v>51</v>
      </c>
      <c r="B55" s="10"/>
      <c r="C55" s="11"/>
      <c r="D55" s="12"/>
      <c r="E55" s="13"/>
      <c r="F55" s="13"/>
      <c r="G55" s="10"/>
      <c r="H55" s="10"/>
      <c r="I55" s="10">
        <f t="shared" si="1"/>
        <v>0</v>
      </c>
      <c r="K55" s="2"/>
      <c r="L55" s="14"/>
      <c r="M55" s="14"/>
      <c r="N55" s="15">
        <f t="shared" si="2"/>
        <v>0</v>
      </c>
      <c r="O55" s="41">
        <f t="shared" si="3"/>
        <v>0</v>
      </c>
      <c r="P55" s="41">
        <f t="shared" si="4"/>
        <v>0</v>
      </c>
      <c r="Q55" s="41">
        <f t="shared" si="5"/>
        <v>0</v>
      </c>
    </row>
    <row r="56" spans="1:17" s="7" customFormat="1" ht="15" customHeight="1" x14ac:dyDescent="0.25">
      <c r="A56" s="2">
        <f t="shared" si="6"/>
        <v>52</v>
      </c>
      <c r="B56" s="10"/>
      <c r="C56" s="11"/>
      <c r="D56" s="12"/>
      <c r="E56" s="13"/>
      <c r="F56" s="13"/>
      <c r="G56" s="10"/>
      <c r="H56" s="10"/>
      <c r="I56" s="10">
        <f t="shared" si="1"/>
        <v>0</v>
      </c>
      <c r="K56" s="2"/>
      <c r="L56" s="14"/>
      <c r="M56" s="14"/>
      <c r="N56" s="15">
        <f t="shared" si="2"/>
        <v>0</v>
      </c>
      <c r="O56" s="41">
        <f t="shared" si="3"/>
        <v>0</v>
      </c>
      <c r="P56" s="41">
        <f t="shared" si="4"/>
        <v>0</v>
      </c>
      <c r="Q56" s="41">
        <f t="shared" si="5"/>
        <v>0</v>
      </c>
    </row>
    <row r="57" spans="1:17" s="7" customFormat="1" ht="15" customHeight="1" x14ac:dyDescent="0.25">
      <c r="A57" s="2">
        <f t="shared" si="6"/>
        <v>53</v>
      </c>
      <c r="B57" s="10"/>
      <c r="C57" s="11"/>
      <c r="D57" s="12"/>
      <c r="E57" s="13"/>
      <c r="F57" s="13"/>
      <c r="G57" s="10"/>
      <c r="H57" s="10"/>
      <c r="I57" s="10">
        <f t="shared" si="1"/>
        <v>0</v>
      </c>
      <c r="K57" s="2"/>
      <c r="L57" s="14"/>
      <c r="M57" s="14"/>
      <c r="N57" s="15">
        <f t="shared" si="2"/>
        <v>0</v>
      </c>
      <c r="O57" s="41">
        <f t="shared" si="3"/>
        <v>0</v>
      </c>
      <c r="P57" s="41">
        <f t="shared" si="4"/>
        <v>0</v>
      </c>
      <c r="Q57" s="41">
        <f t="shared" si="5"/>
        <v>0</v>
      </c>
    </row>
    <row r="58" spans="1:17" s="7" customFormat="1" ht="15" customHeight="1" x14ac:dyDescent="0.25">
      <c r="A58" s="2">
        <f t="shared" si="6"/>
        <v>54</v>
      </c>
      <c r="B58" s="10"/>
      <c r="C58" s="11"/>
      <c r="D58" s="12"/>
      <c r="E58" s="13"/>
      <c r="F58" s="13"/>
      <c r="G58" s="10"/>
      <c r="H58" s="10"/>
      <c r="I58" s="10">
        <f t="shared" si="1"/>
        <v>0</v>
      </c>
      <c r="K58" s="2"/>
      <c r="L58" s="14"/>
      <c r="M58" s="14"/>
      <c r="N58" s="15">
        <f t="shared" si="2"/>
        <v>0</v>
      </c>
      <c r="O58" s="41">
        <f t="shared" si="3"/>
        <v>0</v>
      </c>
      <c r="P58" s="41">
        <f t="shared" si="4"/>
        <v>0</v>
      </c>
      <c r="Q58" s="41">
        <f t="shared" si="5"/>
        <v>0</v>
      </c>
    </row>
    <row r="59" spans="1:17" s="7" customFormat="1" ht="15" customHeight="1" x14ac:dyDescent="0.25">
      <c r="A59" s="2">
        <f t="shared" si="6"/>
        <v>55</v>
      </c>
      <c r="B59" s="10"/>
      <c r="C59" s="11"/>
      <c r="D59" s="12"/>
      <c r="E59" s="13"/>
      <c r="F59" s="13"/>
      <c r="G59" s="10"/>
      <c r="H59" s="10"/>
      <c r="I59" s="10">
        <f t="shared" si="1"/>
        <v>0</v>
      </c>
      <c r="K59" s="2"/>
      <c r="L59" s="14"/>
      <c r="M59" s="14"/>
      <c r="N59" s="15">
        <f t="shared" si="2"/>
        <v>0</v>
      </c>
      <c r="O59" s="41">
        <f t="shared" si="3"/>
        <v>0</v>
      </c>
      <c r="P59" s="41">
        <f t="shared" si="4"/>
        <v>0</v>
      </c>
      <c r="Q59" s="41">
        <f t="shared" si="5"/>
        <v>0</v>
      </c>
    </row>
    <row r="60" spans="1:17" s="7" customFormat="1" ht="15" customHeight="1" x14ac:dyDescent="0.25">
      <c r="A60" s="2">
        <f t="shared" si="6"/>
        <v>56</v>
      </c>
      <c r="B60" s="10"/>
      <c r="C60" s="11"/>
      <c r="D60" s="12"/>
      <c r="E60" s="13"/>
      <c r="F60" s="13"/>
      <c r="G60" s="10"/>
      <c r="H60" s="10"/>
      <c r="I60" s="10">
        <f t="shared" si="1"/>
        <v>0</v>
      </c>
      <c r="K60" s="2"/>
      <c r="L60" s="14"/>
      <c r="M60" s="14"/>
      <c r="N60" s="15">
        <f t="shared" si="2"/>
        <v>0</v>
      </c>
      <c r="O60" s="41">
        <f t="shared" si="3"/>
        <v>0</v>
      </c>
      <c r="P60" s="41">
        <f t="shared" si="4"/>
        <v>0</v>
      </c>
      <c r="Q60" s="41">
        <f t="shared" si="5"/>
        <v>0</v>
      </c>
    </row>
    <row r="61" spans="1:17" s="7" customFormat="1" ht="15" customHeight="1" x14ac:dyDescent="0.25">
      <c r="A61" s="2">
        <f t="shared" si="6"/>
        <v>57</v>
      </c>
      <c r="B61" s="10"/>
      <c r="C61" s="11"/>
      <c r="D61" s="12"/>
      <c r="E61" s="13"/>
      <c r="F61" s="13"/>
      <c r="G61" s="10"/>
      <c r="H61" s="10"/>
      <c r="I61" s="10">
        <f t="shared" si="1"/>
        <v>0</v>
      </c>
      <c r="K61" s="2"/>
      <c r="L61" s="14"/>
      <c r="M61" s="14"/>
      <c r="N61" s="15">
        <f t="shared" si="2"/>
        <v>0</v>
      </c>
      <c r="O61" s="41">
        <f t="shared" si="3"/>
        <v>0</v>
      </c>
      <c r="P61" s="41">
        <f t="shared" si="4"/>
        <v>0</v>
      </c>
      <c r="Q61" s="41">
        <f t="shared" si="5"/>
        <v>0</v>
      </c>
    </row>
    <row r="62" spans="1:17" s="7" customFormat="1" ht="15" customHeight="1" x14ac:dyDescent="0.25">
      <c r="A62" s="2">
        <f t="shared" si="6"/>
        <v>58</v>
      </c>
      <c r="B62" s="10"/>
      <c r="C62" s="11"/>
      <c r="D62" s="12"/>
      <c r="E62" s="13"/>
      <c r="F62" s="13"/>
      <c r="G62" s="10"/>
      <c r="H62" s="10"/>
      <c r="I62" s="10">
        <f t="shared" si="1"/>
        <v>0</v>
      </c>
      <c r="K62" s="2"/>
      <c r="L62" s="14"/>
      <c r="M62" s="14"/>
      <c r="N62" s="15">
        <f t="shared" si="2"/>
        <v>0</v>
      </c>
      <c r="O62" s="41">
        <f t="shared" si="3"/>
        <v>0</v>
      </c>
      <c r="P62" s="41">
        <f t="shared" si="4"/>
        <v>0</v>
      </c>
      <c r="Q62" s="41">
        <f t="shared" si="5"/>
        <v>0</v>
      </c>
    </row>
    <row r="63" spans="1:17" s="7" customFormat="1" ht="15" customHeight="1" x14ac:dyDescent="0.25">
      <c r="A63" s="2">
        <f t="shared" si="6"/>
        <v>59</v>
      </c>
      <c r="B63" s="10"/>
      <c r="C63" s="11"/>
      <c r="D63" s="12"/>
      <c r="E63" s="13"/>
      <c r="F63" s="13"/>
      <c r="G63" s="10"/>
      <c r="H63" s="10"/>
      <c r="I63" s="10">
        <f t="shared" si="1"/>
        <v>0</v>
      </c>
      <c r="K63" s="2"/>
      <c r="L63" s="14"/>
      <c r="M63" s="14"/>
      <c r="N63" s="15">
        <f t="shared" si="2"/>
        <v>0</v>
      </c>
      <c r="O63" s="41">
        <f t="shared" si="3"/>
        <v>0</v>
      </c>
      <c r="P63" s="41">
        <f t="shared" si="4"/>
        <v>0</v>
      </c>
      <c r="Q63" s="41">
        <f t="shared" si="5"/>
        <v>0</v>
      </c>
    </row>
    <row r="64" spans="1:17" s="7" customFormat="1" ht="15" customHeight="1" x14ac:dyDescent="0.25">
      <c r="A64" s="2">
        <f t="shared" si="6"/>
        <v>60</v>
      </c>
      <c r="B64" s="10"/>
      <c r="C64" s="11"/>
      <c r="D64" s="12"/>
      <c r="E64" s="13"/>
      <c r="F64" s="13"/>
      <c r="G64" s="10"/>
      <c r="H64" s="10"/>
      <c r="I64" s="10">
        <f t="shared" si="1"/>
        <v>0</v>
      </c>
      <c r="K64" s="2"/>
      <c r="L64" s="14"/>
      <c r="M64" s="14"/>
      <c r="N64" s="15">
        <f t="shared" si="2"/>
        <v>0</v>
      </c>
      <c r="O64" s="41">
        <f t="shared" si="3"/>
        <v>0</v>
      </c>
      <c r="P64" s="41">
        <f t="shared" si="4"/>
        <v>0</v>
      </c>
      <c r="Q64" s="41">
        <f t="shared" si="5"/>
        <v>0</v>
      </c>
    </row>
    <row r="65" spans="1:17" s="7" customFormat="1" ht="15" customHeight="1" x14ac:dyDescent="0.25">
      <c r="A65" s="2">
        <f t="shared" si="6"/>
        <v>61</v>
      </c>
      <c r="B65" s="10"/>
      <c r="C65" s="11"/>
      <c r="D65" s="12"/>
      <c r="E65" s="13"/>
      <c r="F65" s="13"/>
      <c r="G65" s="10"/>
      <c r="H65" s="10"/>
      <c r="I65" s="10">
        <f t="shared" si="1"/>
        <v>0</v>
      </c>
      <c r="K65" s="2"/>
      <c r="L65" s="14"/>
      <c r="M65" s="14"/>
      <c r="N65" s="15">
        <f t="shared" si="2"/>
        <v>0</v>
      </c>
      <c r="O65" s="41">
        <f t="shared" si="3"/>
        <v>0</v>
      </c>
      <c r="P65" s="41">
        <f t="shared" si="4"/>
        <v>0</v>
      </c>
      <c r="Q65" s="41">
        <f t="shared" si="5"/>
        <v>0</v>
      </c>
    </row>
    <row r="66" spans="1:17" s="7" customFormat="1" ht="15" customHeight="1" x14ac:dyDescent="0.25">
      <c r="A66" s="2">
        <f t="shared" si="6"/>
        <v>62</v>
      </c>
      <c r="B66" s="10"/>
      <c r="C66" s="11"/>
      <c r="D66" s="12"/>
      <c r="E66" s="13"/>
      <c r="F66" s="13"/>
      <c r="G66" s="10"/>
      <c r="H66" s="10"/>
      <c r="I66" s="10">
        <f t="shared" si="1"/>
        <v>0</v>
      </c>
      <c r="K66" s="2"/>
      <c r="L66" s="14"/>
      <c r="M66" s="14"/>
      <c r="N66" s="15">
        <f t="shared" si="2"/>
        <v>0</v>
      </c>
      <c r="O66" s="41">
        <f t="shared" si="3"/>
        <v>0</v>
      </c>
      <c r="P66" s="41">
        <f t="shared" si="4"/>
        <v>0</v>
      </c>
      <c r="Q66" s="41">
        <f t="shared" si="5"/>
        <v>0</v>
      </c>
    </row>
    <row r="67" spans="1:17" s="7" customFormat="1" ht="15" customHeight="1" x14ac:dyDescent="0.25">
      <c r="A67" s="2">
        <f t="shared" si="6"/>
        <v>63</v>
      </c>
      <c r="B67" s="10"/>
      <c r="C67" s="11"/>
      <c r="D67" s="12"/>
      <c r="E67" s="13"/>
      <c r="F67" s="13"/>
      <c r="G67" s="10"/>
      <c r="H67" s="10"/>
      <c r="I67" s="10">
        <f t="shared" si="1"/>
        <v>0</v>
      </c>
      <c r="K67" s="2"/>
      <c r="L67" s="14"/>
      <c r="M67" s="14"/>
      <c r="N67" s="15">
        <f t="shared" si="2"/>
        <v>0</v>
      </c>
      <c r="O67" s="41">
        <f t="shared" si="3"/>
        <v>0</v>
      </c>
      <c r="P67" s="41">
        <f t="shared" si="4"/>
        <v>0</v>
      </c>
      <c r="Q67" s="41">
        <f t="shared" si="5"/>
        <v>0</v>
      </c>
    </row>
    <row r="68" spans="1:17" s="7" customFormat="1" ht="15" customHeight="1" x14ac:dyDescent="0.25">
      <c r="A68" s="2">
        <f t="shared" si="6"/>
        <v>64</v>
      </c>
      <c r="B68" s="10"/>
      <c r="C68" s="11"/>
      <c r="D68" s="12"/>
      <c r="E68" s="13"/>
      <c r="F68" s="13"/>
      <c r="G68" s="10"/>
      <c r="H68" s="10"/>
      <c r="I68" s="10">
        <f t="shared" si="1"/>
        <v>0</v>
      </c>
      <c r="K68" s="2"/>
      <c r="L68" s="14"/>
      <c r="M68" s="14"/>
      <c r="N68" s="15">
        <f t="shared" si="2"/>
        <v>0</v>
      </c>
      <c r="O68" s="41">
        <f t="shared" si="3"/>
        <v>0</v>
      </c>
      <c r="P68" s="41">
        <f t="shared" si="4"/>
        <v>0</v>
      </c>
      <c r="Q68" s="41">
        <f t="shared" si="5"/>
        <v>0</v>
      </c>
    </row>
    <row r="69" spans="1:17" s="7" customFormat="1" ht="15" customHeight="1" x14ac:dyDescent="0.25">
      <c r="A69" s="2">
        <f t="shared" si="6"/>
        <v>65</v>
      </c>
      <c r="B69" s="10"/>
      <c r="C69" s="11"/>
      <c r="D69" s="12"/>
      <c r="E69" s="13"/>
      <c r="F69" s="13"/>
      <c r="G69" s="10"/>
      <c r="H69" s="10"/>
      <c r="I69" s="10">
        <f t="shared" si="1"/>
        <v>0</v>
      </c>
      <c r="K69" s="2"/>
      <c r="L69" s="14"/>
      <c r="M69" s="14"/>
      <c r="N69" s="15">
        <f t="shared" si="2"/>
        <v>0</v>
      </c>
      <c r="O69" s="41">
        <f t="shared" si="3"/>
        <v>0</v>
      </c>
      <c r="P69" s="41">
        <f t="shared" si="4"/>
        <v>0</v>
      </c>
      <c r="Q69" s="41">
        <f t="shared" si="5"/>
        <v>0</v>
      </c>
    </row>
    <row r="70" spans="1:17" s="7" customFormat="1" ht="15" customHeight="1" x14ac:dyDescent="0.25">
      <c r="A70" s="2">
        <f t="shared" si="6"/>
        <v>66</v>
      </c>
      <c r="B70" s="10"/>
      <c r="C70" s="11"/>
      <c r="D70" s="12"/>
      <c r="E70" s="13"/>
      <c r="F70" s="13"/>
      <c r="G70" s="10"/>
      <c r="H70" s="10"/>
      <c r="I70" s="10">
        <f t="shared" si="1"/>
        <v>0</v>
      </c>
      <c r="K70" s="2"/>
      <c r="L70" s="14"/>
      <c r="M70" s="14"/>
      <c r="N70" s="15">
        <f t="shared" si="2"/>
        <v>0</v>
      </c>
      <c r="O70" s="41">
        <f t="shared" ref="O70:O133" si="7">G70-L70</f>
        <v>0</v>
      </c>
      <c r="P70" s="41">
        <f t="shared" ref="P70:P133" si="8">H70-M70</f>
        <v>0</v>
      </c>
      <c r="Q70" s="41">
        <f t="shared" ref="Q70:Q133" si="9">I70-N70</f>
        <v>0</v>
      </c>
    </row>
    <row r="71" spans="1:17" s="7" customFormat="1" ht="15" customHeight="1" x14ac:dyDescent="0.25">
      <c r="A71" s="2">
        <f t="shared" ref="A71:A134" si="10">A70+1</f>
        <v>67</v>
      </c>
      <c r="B71" s="10"/>
      <c r="C71" s="11"/>
      <c r="D71" s="12"/>
      <c r="E71" s="13"/>
      <c r="F71" s="13"/>
      <c r="G71" s="10"/>
      <c r="H71" s="10"/>
      <c r="I71" s="10">
        <f t="shared" si="1"/>
        <v>0</v>
      </c>
      <c r="K71" s="2"/>
      <c r="L71" s="14"/>
      <c r="M71" s="14"/>
      <c r="N71" s="15">
        <f t="shared" si="2"/>
        <v>0</v>
      </c>
      <c r="O71" s="41">
        <f t="shared" si="7"/>
        <v>0</v>
      </c>
      <c r="P71" s="41">
        <f t="shared" si="8"/>
        <v>0</v>
      </c>
      <c r="Q71" s="41">
        <f t="shared" si="9"/>
        <v>0</v>
      </c>
    </row>
    <row r="72" spans="1:17" s="7" customFormat="1" ht="15" customHeight="1" x14ac:dyDescent="0.25">
      <c r="A72" s="2">
        <f t="shared" si="10"/>
        <v>68</v>
      </c>
      <c r="B72" s="10"/>
      <c r="C72" s="11"/>
      <c r="D72" s="12"/>
      <c r="E72" s="13"/>
      <c r="F72" s="13"/>
      <c r="G72" s="10"/>
      <c r="H72" s="10"/>
      <c r="I72" s="10">
        <f t="shared" si="1"/>
        <v>0</v>
      </c>
      <c r="K72" s="2"/>
      <c r="L72" s="14"/>
      <c r="M72" s="14"/>
      <c r="N72" s="15">
        <f t="shared" si="2"/>
        <v>0</v>
      </c>
      <c r="O72" s="41">
        <f t="shared" si="7"/>
        <v>0</v>
      </c>
      <c r="P72" s="41">
        <f t="shared" si="8"/>
        <v>0</v>
      </c>
      <c r="Q72" s="41">
        <f t="shared" si="9"/>
        <v>0</v>
      </c>
    </row>
    <row r="73" spans="1:17" s="7" customFormat="1" ht="15" customHeight="1" x14ac:dyDescent="0.25">
      <c r="A73" s="2">
        <f t="shared" si="10"/>
        <v>69</v>
      </c>
      <c r="B73" s="10"/>
      <c r="C73" s="11"/>
      <c r="D73" s="12"/>
      <c r="E73" s="13"/>
      <c r="F73" s="13"/>
      <c r="G73" s="10"/>
      <c r="H73" s="10"/>
      <c r="I73" s="10">
        <f t="shared" si="1"/>
        <v>0</v>
      </c>
      <c r="K73" s="2"/>
      <c r="L73" s="14"/>
      <c r="M73" s="14"/>
      <c r="N73" s="15">
        <f t="shared" si="2"/>
        <v>0</v>
      </c>
      <c r="O73" s="41">
        <f t="shared" si="7"/>
        <v>0</v>
      </c>
      <c r="P73" s="41">
        <f t="shared" si="8"/>
        <v>0</v>
      </c>
      <c r="Q73" s="41">
        <f t="shared" si="9"/>
        <v>0</v>
      </c>
    </row>
    <row r="74" spans="1:17" s="7" customFormat="1" ht="15" customHeight="1" x14ac:dyDescent="0.25">
      <c r="A74" s="2">
        <f t="shared" si="10"/>
        <v>70</v>
      </c>
      <c r="B74" s="10"/>
      <c r="C74" s="11"/>
      <c r="D74" s="12"/>
      <c r="E74" s="13"/>
      <c r="F74" s="13"/>
      <c r="G74" s="10"/>
      <c r="H74" s="10"/>
      <c r="I74" s="10">
        <f t="shared" si="1"/>
        <v>0</v>
      </c>
      <c r="K74" s="2"/>
      <c r="L74" s="14"/>
      <c r="M74" s="14"/>
      <c r="N74" s="15">
        <f t="shared" si="2"/>
        <v>0</v>
      </c>
      <c r="O74" s="41">
        <f t="shared" si="7"/>
        <v>0</v>
      </c>
      <c r="P74" s="41">
        <f t="shared" si="8"/>
        <v>0</v>
      </c>
      <c r="Q74" s="41">
        <f t="shared" si="9"/>
        <v>0</v>
      </c>
    </row>
    <row r="75" spans="1:17" s="7" customFormat="1" ht="15" customHeight="1" x14ac:dyDescent="0.25">
      <c r="A75" s="2">
        <f t="shared" si="10"/>
        <v>71</v>
      </c>
      <c r="B75" s="10"/>
      <c r="C75" s="11"/>
      <c r="D75" s="12"/>
      <c r="E75" s="13"/>
      <c r="F75" s="13"/>
      <c r="G75" s="10"/>
      <c r="H75" s="10"/>
      <c r="I75" s="10">
        <f t="shared" si="1"/>
        <v>0</v>
      </c>
      <c r="K75" s="2"/>
      <c r="L75" s="14"/>
      <c r="M75" s="14"/>
      <c r="N75" s="15">
        <f t="shared" si="2"/>
        <v>0</v>
      </c>
      <c r="O75" s="41">
        <f t="shared" si="7"/>
        <v>0</v>
      </c>
      <c r="P75" s="41">
        <f t="shared" si="8"/>
        <v>0</v>
      </c>
      <c r="Q75" s="41">
        <f t="shared" si="9"/>
        <v>0</v>
      </c>
    </row>
    <row r="76" spans="1:17" s="7" customFormat="1" ht="15" customHeight="1" x14ac:dyDescent="0.25">
      <c r="A76" s="2">
        <f t="shared" si="10"/>
        <v>72</v>
      </c>
      <c r="B76" s="10"/>
      <c r="C76" s="11"/>
      <c r="D76" s="12"/>
      <c r="E76" s="13"/>
      <c r="F76" s="13"/>
      <c r="G76" s="10"/>
      <c r="H76" s="10"/>
      <c r="I76" s="10">
        <f t="shared" si="1"/>
        <v>0</v>
      </c>
      <c r="K76" s="2"/>
      <c r="L76" s="14"/>
      <c r="M76" s="14"/>
      <c r="N76" s="15">
        <f t="shared" si="2"/>
        <v>0</v>
      </c>
      <c r="O76" s="41">
        <f t="shared" si="7"/>
        <v>0</v>
      </c>
      <c r="P76" s="41">
        <f t="shared" si="8"/>
        <v>0</v>
      </c>
      <c r="Q76" s="41">
        <f t="shared" si="9"/>
        <v>0</v>
      </c>
    </row>
    <row r="77" spans="1:17" s="7" customFormat="1" ht="15" customHeight="1" x14ac:dyDescent="0.25">
      <c r="A77" s="2">
        <f t="shared" si="10"/>
        <v>73</v>
      </c>
      <c r="B77" s="10"/>
      <c r="C77" s="11"/>
      <c r="D77" s="12"/>
      <c r="E77" s="13"/>
      <c r="F77" s="13"/>
      <c r="G77" s="10"/>
      <c r="H77" s="10"/>
      <c r="I77" s="10">
        <f t="shared" si="1"/>
        <v>0</v>
      </c>
      <c r="K77" s="2"/>
      <c r="L77" s="14"/>
      <c r="M77" s="14"/>
      <c r="N77" s="15">
        <f t="shared" si="2"/>
        <v>0</v>
      </c>
      <c r="O77" s="41">
        <f t="shared" si="7"/>
        <v>0</v>
      </c>
      <c r="P77" s="41">
        <f t="shared" si="8"/>
        <v>0</v>
      </c>
      <c r="Q77" s="41">
        <f t="shared" si="9"/>
        <v>0</v>
      </c>
    </row>
    <row r="78" spans="1:17" s="7" customFormat="1" ht="15" customHeight="1" x14ac:dyDescent="0.25">
      <c r="A78" s="2">
        <f t="shared" si="10"/>
        <v>74</v>
      </c>
      <c r="B78" s="10"/>
      <c r="C78" s="11"/>
      <c r="D78" s="12"/>
      <c r="E78" s="13"/>
      <c r="F78" s="13"/>
      <c r="G78" s="10"/>
      <c r="H78" s="10"/>
      <c r="I78" s="10">
        <f t="shared" si="1"/>
        <v>0</v>
      </c>
      <c r="K78" s="2"/>
      <c r="L78" s="14"/>
      <c r="M78" s="14"/>
      <c r="N78" s="15">
        <f t="shared" si="2"/>
        <v>0</v>
      </c>
      <c r="O78" s="41">
        <f t="shared" si="7"/>
        <v>0</v>
      </c>
      <c r="P78" s="41">
        <f t="shared" si="8"/>
        <v>0</v>
      </c>
      <c r="Q78" s="41">
        <f t="shared" si="9"/>
        <v>0</v>
      </c>
    </row>
    <row r="79" spans="1:17" s="7" customFormat="1" ht="15" customHeight="1" x14ac:dyDescent="0.25">
      <c r="A79" s="2">
        <f t="shared" si="10"/>
        <v>75</v>
      </c>
      <c r="B79" s="10"/>
      <c r="C79" s="11"/>
      <c r="D79" s="12"/>
      <c r="E79" s="13"/>
      <c r="F79" s="13"/>
      <c r="G79" s="10"/>
      <c r="H79" s="10"/>
      <c r="I79" s="10">
        <f t="shared" si="1"/>
        <v>0</v>
      </c>
      <c r="K79" s="2"/>
      <c r="L79" s="14"/>
      <c r="M79" s="14"/>
      <c r="N79" s="15">
        <f t="shared" si="2"/>
        <v>0</v>
      </c>
      <c r="O79" s="41">
        <f t="shared" si="7"/>
        <v>0</v>
      </c>
      <c r="P79" s="41">
        <f t="shared" si="8"/>
        <v>0</v>
      </c>
      <c r="Q79" s="41">
        <f t="shared" si="9"/>
        <v>0</v>
      </c>
    </row>
    <row r="80" spans="1:17" s="7" customFormat="1" ht="15" customHeight="1" x14ac:dyDescent="0.25">
      <c r="A80" s="2">
        <f t="shared" si="10"/>
        <v>76</v>
      </c>
      <c r="B80" s="10"/>
      <c r="C80" s="11"/>
      <c r="D80" s="12"/>
      <c r="E80" s="13"/>
      <c r="F80" s="13"/>
      <c r="G80" s="10"/>
      <c r="H80" s="10"/>
      <c r="I80" s="10">
        <f t="shared" si="1"/>
        <v>0</v>
      </c>
      <c r="K80" s="2"/>
      <c r="L80" s="14"/>
      <c r="M80" s="14"/>
      <c r="N80" s="15">
        <f t="shared" si="2"/>
        <v>0</v>
      </c>
      <c r="O80" s="41">
        <f t="shared" si="7"/>
        <v>0</v>
      </c>
      <c r="P80" s="41">
        <f t="shared" si="8"/>
        <v>0</v>
      </c>
      <c r="Q80" s="41">
        <f t="shared" si="9"/>
        <v>0</v>
      </c>
    </row>
    <row r="81" spans="1:17" s="7" customFormat="1" ht="15" customHeight="1" x14ac:dyDescent="0.25">
      <c r="A81" s="2">
        <f t="shared" si="10"/>
        <v>77</v>
      </c>
      <c r="B81" s="10"/>
      <c r="C81" s="11"/>
      <c r="D81" s="12"/>
      <c r="E81" s="13"/>
      <c r="F81" s="13"/>
      <c r="G81" s="10"/>
      <c r="H81" s="10"/>
      <c r="I81" s="10">
        <f t="shared" si="1"/>
        <v>0</v>
      </c>
      <c r="K81" s="2"/>
      <c r="L81" s="14"/>
      <c r="M81" s="14"/>
      <c r="N81" s="15">
        <f t="shared" si="2"/>
        <v>0</v>
      </c>
      <c r="O81" s="41">
        <f t="shared" si="7"/>
        <v>0</v>
      </c>
      <c r="P81" s="41">
        <f t="shared" si="8"/>
        <v>0</v>
      </c>
      <c r="Q81" s="41">
        <f t="shared" si="9"/>
        <v>0</v>
      </c>
    </row>
    <row r="82" spans="1:17" s="7" customFormat="1" ht="15" customHeight="1" x14ac:dyDescent="0.25">
      <c r="A82" s="2">
        <f t="shared" si="10"/>
        <v>78</v>
      </c>
      <c r="B82" s="10"/>
      <c r="C82" s="11"/>
      <c r="D82" s="12"/>
      <c r="E82" s="13"/>
      <c r="F82" s="13"/>
      <c r="G82" s="10"/>
      <c r="H82" s="10"/>
      <c r="I82" s="10">
        <f t="shared" si="1"/>
        <v>0</v>
      </c>
      <c r="K82" s="2"/>
      <c r="L82" s="14"/>
      <c r="M82" s="14"/>
      <c r="N82" s="15">
        <f t="shared" si="2"/>
        <v>0</v>
      </c>
      <c r="O82" s="41">
        <f t="shared" si="7"/>
        <v>0</v>
      </c>
      <c r="P82" s="41">
        <f t="shared" si="8"/>
        <v>0</v>
      </c>
      <c r="Q82" s="41">
        <f t="shared" si="9"/>
        <v>0</v>
      </c>
    </row>
    <row r="83" spans="1:17" s="7" customFormat="1" ht="15" customHeight="1" x14ac:dyDescent="0.25">
      <c r="A83" s="2">
        <f t="shared" si="10"/>
        <v>79</v>
      </c>
      <c r="B83" s="10"/>
      <c r="C83" s="11"/>
      <c r="D83" s="12"/>
      <c r="E83" s="13"/>
      <c r="F83" s="13"/>
      <c r="G83" s="10"/>
      <c r="H83" s="10"/>
      <c r="I83" s="10">
        <f t="shared" si="1"/>
        <v>0</v>
      </c>
      <c r="K83" s="2"/>
      <c r="L83" s="14"/>
      <c r="M83" s="14"/>
      <c r="N83" s="15">
        <f t="shared" si="2"/>
        <v>0</v>
      </c>
      <c r="O83" s="41">
        <f t="shared" si="7"/>
        <v>0</v>
      </c>
      <c r="P83" s="41">
        <f t="shared" si="8"/>
        <v>0</v>
      </c>
      <c r="Q83" s="41">
        <f t="shared" si="9"/>
        <v>0</v>
      </c>
    </row>
    <row r="84" spans="1:17" s="7" customFormat="1" ht="15" customHeight="1" x14ac:dyDescent="0.25">
      <c r="A84" s="2">
        <f t="shared" si="10"/>
        <v>80</v>
      </c>
      <c r="B84" s="10"/>
      <c r="C84" s="11"/>
      <c r="D84" s="12"/>
      <c r="E84" s="13"/>
      <c r="F84" s="13"/>
      <c r="G84" s="10"/>
      <c r="H84" s="10"/>
      <c r="I84" s="10">
        <f t="shared" si="1"/>
        <v>0</v>
      </c>
      <c r="K84" s="2"/>
      <c r="L84" s="14"/>
      <c r="M84" s="14"/>
      <c r="N84" s="15">
        <f t="shared" si="2"/>
        <v>0</v>
      </c>
      <c r="O84" s="41">
        <f t="shared" si="7"/>
        <v>0</v>
      </c>
      <c r="P84" s="41">
        <f t="shared" si="8"/>
        <v>0</v>
      </c>
      <c r="Q84" s="41">
        <f t="shared" si="9"/>
        <v>0</v>
      </c>
    </row>
    <row r="85" spans="1:17" s="7" customFormat="1" ht="15" customHeight="1" x14ac:dyDescent="0.25">
      <c r="A85" s="2">
        <f t="shared" si="10"/>
        <v>81</v>
      </c>
      <c r="B85" s="10"/>
      <c r="C85" s="11"/>
      <c r="D85" s="12"/>
      <c r="E85" s="13"/>
      <c r="F85" s="13"/>
      <c r="G85" s="10"/>
      <c r="H85" s="10"/>
      <c r="I85" s="10">
        <f t="shared" si="1"/>
        <v>0</v>
      </c>
      <c r="K85" s="2"/>
      <c r="L85" s="14"/>
      <c r="M85" s="14"/>
      <c r="N85" s="15">
        <f t="shared" si="2"/>
        <v>0</v>
      </c>
      <c r="O85" s="41">
        <f t="shared" si="7"/>
        <v>0</v>
      </c>
      <c r="P85" s="41">
        <f t="shared" si="8"/>
        <v>0</v>
      </c>
      <c r="Q85" s="41">
        <f t="shared" si="9"/>
        <v>0</v>
      </c>
    </row>
    <row r="86" spans="1:17" s="7" customFormat="1" ht="15" customHeight="1" x14ac:dyDescent="0.25">
      <c r="A86" s="2">
        <f t="shared" si="10"/>
        <v>82</v>
      </c>
      <c r="B86" s="10"/>
      <c r="C86" s="11"/>
      <c r="D86" s="12"/>
      <c r="E86" s="13"/>
      <c r="F86" s="13"/>
      <c r="G86" s="10"/>
      <c r="H86" s="10"/>
      <c r="I86" s="10">
        <f t="shared" si="1"/>
        <v>0</v>
      </c>
      <c r="K86" s="2"/>
      <c r="L86" s="14"/>
      <c r="M86" s="14"/>
      <c r="N86" s="15">
        <f t="shared" si="2"/>
        <v>0</v>
      </c>
      <c r="O86" s="41">
        <f t="shared" si="7"/>
        <v>0</v>
      </c>
      <c r="P86" s="41">
        <f t="shared" si="8"/>
        <v>0</v>
      </c>
      <c r="Q86" s="41">
        <f t="shared" si="9"/>
        <v>0</v>
      </c>
    </row>
    <row r="87" spans="1:17" s="7" customFormat="1" ht="15" customHeight="1" x14ac:dyDescent="0.25">
      <c r="A87" s="2">
        <f t="shared" si="10"/>
        <v>83</v>
      </c>
      <c r="B87" s="10"/>
      <c r="C87" s="11"/>
      <c r="D87" s="12"/>
      <c r="E87" s="13"/>
      <c r="F87" s="13"/>
      <c r="G87" s="10"/>
      <c r="H87" s="10"/>
      <c r="I87" s="10">
        <f t="shared" si="1"/>
        <v>0</v>
      </c>
      <c r="K87" s="2"/>
      <c r="L87" s="14"/>
      <c r="M87" s="14"/>
      <c r="N87" s="15">
        <f t="shared" si="2"/>
        <v>0</v>
      </c>
      <c r="O87" s="41">
        <f t="shared" si="7"/>
        <v>0</v>
      </c>
      <c r="P87" s="41">
        <f t="shared" si="8"/>
        <v>0</v>
      </c>
      <c r="Q87" s="41">
        <f t="shared" si="9"/>
        <v>0</v>
      </c>
    </row>
    <row r="88" spans="1:17" s="7" customFormat="1" ht="15" customHeight="1" x14ac:dyDescent="0.25">
      <c r="A88" s="2">
        <f t="shared" si="10"/>
        <v>84</v>
      </c>
      <c r="B88" s="10"/>
      <c r="C88" s="11"/>
      <c r="D88" s="12"/>
      <c r="E88" s="13"/>
      <c r="F88" s="13"/>
      <c r="G88" s="10"/>
      <c r="H88" s="10"/>
      <c r="I88" s="10">
        <f t="shared" si="1"/>
        <v>0</v>
      </c>
      <c r="K88" s="2"/>
      <c r="L88" s="14"/>
      <c r="M88" s="14"/>
      <c r="N88" s="15">
        <f t="shared" si="2"/>
        <v>0</v>
      </c>
      <c r="O88" s="41">
        <f t="shared" si="7"/>
        <v>0</v>
      </c>
      <c r="P88" s="41">
        <f t="shared" si="8"/>
        <v>0</v>
      </c>
      <c r="Q88" s="41">
        <f t="shared" si="9"/>
        <v>0</v>
      </c>
    </row>
    <row r="89" spans="1:17" s="7" customFormat="1" ht="15" customHeight="1" x14ac:dyDescent="0.25">
      <c r="A89" s="2">
        <f t="shared" si="10"/>
        <v>85</v>
      </c>
      <c r="B89" s="10"/>
      <c r="C89" s="11"/>
      <c r="D89" s="12"/>
      <c r="E89" s="13"/>
      <c r="F89" s="13"/>
      <c r="G89" s="10"/>
      <c r="H89" s="10"/>
      <c r="I89" s="10">
        <f t="shared" si="1"/>
        <v>0</v>
      </c>
      <c r="K89" s="2"/>
      <c r="L89" s="14"/>
      <c r="M89" s="14"/>
      <c r="N89" s="15">
        <f t="shared" si="2"/>
        <v>0</v>
      </c>
      <c r="O89" s="41">
        <f t="shared" si="7"/>
        <v>0</v>
      </c>
      <c r="P89" s="41">
        <f t="shared" si="8"/>
        <v>0</v>
      </c>
      <c r="Q89" s="41">
        <f t="shared" si="9"/>
        <v>0</v>
      </c>
    </row>
    <row r="90" spans="1:17" s="7" customFormat="1" ht="15" customHeight="1" x14ac:dyDescent="0.25">
      <c r="A90" s="2">
        <f t="shared" si="10"/>
        <v>86</v>
      </c>
      <c r="B90" s="10"/>
      <c r="C90" s="11"/>
      <c r="D90" s="12"/>
      <c r="E90" s="13"/>
      <c r="F90" s="13"/>
      <c r="G90" s="10"/>
      <c r="H90" s="10"/>
      <c r="I90" s="10">
        <f t="shared" si="1"/>
        <v>0</v>
      </c>
      <c r="K90" s="2"/>
      <c r="L90" s="14"/>
      <c r="M90" s="14"/>
      <c r="N90" s="15">
        <f t="shared" si="2"/>
        <v>0</v>
      </c>
      <c r="O90" s="41">
        <f t="shared" si="7"/>
        <v>0</v>
      </c>
      <c r="P90" s="41">
        <f t="shared" si="8"/>
        <v>0</v>
      </c>
      <c r="Q90" s="41">
        <f t="shared" si="9"/>
        <v>0</v>
      </c>
    </row>
    <row r="91" spans="1:17" s="7" customFormat="1" ht="15" customHeight="1" x14ac:dyDescent="0.25">
      <c r="A91" s="2">
        <f t="shared" si="10"/>
        <v>87</v>
      </c>
      <c r="B91" s="10"/>
      <c r="C91" s="11"/>
      <c r="D91" s="12"/>
      <c r="E91" s="13"/>
      <c r="F91" s="13"/>
      <c r="G91" s="10"/>
      <c r="H91" s="10"/>
      <c r="I91" s="10">
        <f t="shared" si="1"/>
        <v>0</v>
      </c>
      <c r="K91" s="2"/>
      <c r="L91" s="14"/>
      <c r="M91" s="14"/>
      <c r="N91" s="15">
        <f t="shared" si="2"/>
        <v>0</v>
      </c>
      <c r="O91" s="41">
        <f t="shared" si="7"/>
        <v>0</v>
      </c>
      <c r="P91" s="41">
        <f t="shared" si="8"/>
        <v>0</v>
      </c>
      <c r="Q91" s="41">
        <f t="shared" si="9"/>
        <v>0</v>
      </c>
    </row>
    <row r="92" spans="1:17" s="7" customFormat="1" ht="15" customHeight="1" x14ac:dyDescent="0.25">
      <c r="A92" s="2">
        <f t="shared" si="10"/>
        <v>88</v>
      </c>
      <c r="B92" s="10"/>
      <c r="C92" s="11"/>
      <c r="D92" s="12"/>
      <c r="E92" s="13"/>
      <c r="F92" s="13"/>
      <c r="G92" s="10"/>
      <c r="H92" s="10"/>
      <c r="I92" s="10">
        <f t="shared" si="1"/>
        <v>0</v>
      </c>
      <c r="K92" s="2"/>
      <c r="L92" s="14"/>
      <c r="M92" s="14"/>
      <c r="N92" s="15">
        <f t="shared" si="2"/>
        <v>0</v>
      </c>
      <c r="O92" s="41">
        <f t="shared" si="7"/>
        <v>0</v>
      </c>
      <c r="P92" s="41">
        <f t="shared" si="8"/>
        <v>0</v>
      </c>
      <c r="Q92" s="41">
        <f t="shared" si="9"/>
        <v>0</v>
      </c>
    </row>
    <row r="93" spans="1:17" s="7" customFormat="1" ht="15" customHeight="1" x14ac:dyDescent="0.25">
      <c r="A93" s="2">
        <f t="shared" si="10"/>
        <v>89</v>
      </c>
      <c r="B93" s="10"/>
      <c r="C93" s="11"/>
      <c r="D93" s="12"/>
      <c r="E93" s="13"/>
      <c r="F93" s="13"/>
      <c r="G93" s="10"/>
      <c r="H93" s="10"/>
      <c r="I93" s="10">
        <f t="shared" si="1"/>
        <v>0</v>
      </c>
      <c r="K93" s="2"/>
      <c r="L93" s="14"/>
      <c r="M93" s="14"/>
      <c r="N93" s="15">
        <f t="shared" si="2"/>
        <v>0</v>
      </c>
      <c r="O93" s="41">
        <f t="shared" si="7"/>
        <v>0</v>
      </c>
      <c r="P93" s="41">
        <f t="shared" si="8"/>
        <v>0</v>
      </c>
      <c r="Q93" s="41">
        <f t="shared" si="9"/>
        <v>0</v>
      </c>
    </row>
    <row r="94" spans="1:17" s="7" customFormat="1" ht="15" customHeight="1" x14ac:dyDescent="0.25">
      <c r="A94" s="2">
        <f t="shared" si="10"/>
        <v>90</v>
      </c>
      <c r="B94" s="10"/>
      <c r="C94" s="11"/>
      <c r="D94" s="12"/>
      <c r="E94" s="13"/>
      <c r="F94" s="13"/>
      <c r="G94" s="10"/>
      <c r="H94" s="10"/>
      <c r="I94" s="10">
        <f t="shared" si="1"/>
        <v>0</v>
      </c>
      <c r="K94" s="2"/>
      <c r="L94" s="14"/>
      <c r="M94" s="14"/>
      <c r="N94" s="15">
        <f t="shared" si="2"/>
        <v>0</v>
      </c>
      <c r="O94" s="41">
        <f t="shared" si="7"/>
        <v>0</v>
      </c>
      <c r="P94" s="41">
        <f t="shared" si="8"/>
        <v>0</v>
      </c>
      <c r="Q94" s="41">
        <f t="shared" si="9"/>
        <v>0</v>
      </c>
    </row>
    <row r="95" spans="1:17" s="7" customFormat="1" ht="15" customHeight="1" x14ac:dyDescent="0.25">
      <c r="A95" s="2">
        <f t="shared" si="10"/>
        <v>91</v>
      </c>
      <c r="B95" s="10"/>
      <c r="C95" s="11"/>
      <c r="D95" s="12"/>
      <c r="E95" s="13"/>
      <c r="F95" s="13"/>
      <c r="G95" s="10"/>
      <c r="H95" s="10"/>
      <c r="I95" s="10">
        <f t="shared" si="1"/>
        <v>0</v>
      </c>
      <c r="K95" s="2"/>
      <c r="L95" s="14"/>
      <c r="M95" s="14"/>
      <c r="N95" s="15">
        <f t="shared" si="2"/>
        <v>0</v>
      </c>
      <c r="O95" s="41">
        <f t="shared" si="7"/>
        <v>0</v>
      </c>
      <c r="P95" s="41">
        <f t="shared" si="8"/>
        <v>0</v>
      </c>
      <c r="Q95" s="41">
        <f t="shared" si="9"/>
        <v>0</v>
      </c>
    </row>
    <row r="96" spans="1:17" s="7" customFormat="1" ht="15" customHeight="1" x14ac:dyDescent="0.25">
      <c r="A96" s="2">
        <f t="shared" si="10"/>
        <v>92</v>
      </c>
      <c r="B96" s="10"/>
      <c r="C96" s="11"/>
      <c r="D96" s="12"/>
      <c r="E96" s="13"/>
      <c r="F96" s="13"/>
      <c r="G96" s="10"/>
      <c r="H96" s="10"/>
      <c r="I96" s="10">
        <f t="shared" si="1"/>
        <v>0</v>
      </c>
      <c r="K96" s="2"/>
      <c r="L96" s="14"/>
      <c r="M96" s="14"/>
      <c r="N96" s="15">
        <f t="shared" si="2"/>
        <v>0</v>
      </c>
      <c r="O96" s="41">
        <f t="shared" si="7"/>
        <v>0</v>
      </c>
      <c r="P96" s="41">
        <f t="shared" si="8"/>
        <v>0</v>
      </c>
      <c r="Q96" s="41">
        <f t="shared" si="9"/>
        <v>0</v>
      </c>
    </row>
    <row r="97" spans="1:17" s="7" customFormat="1" ht="15" customHeight="1" x14ac:dyDescent="0.25">
      <c r="A97" s="2">
        <f t="shared" si="10"/>
        <v>93</v>
      </c>
      <c r="B97" s="10"/>
      <c r="C97" s="11"/>
      <c r="D97" s="12"/>
      <c r="E97" s="13"/>
      <c r="F97" s="13"/>
      <c r="G97" s="10"/>
      <c r="H97" s="10"/>
      <c r="I97" s="10">
        <f t="shared" si="1"/>
        <v>0</v>
      </c>
      <c r="K97" s="2"/>
      <c r="L97" s="14"/>
      <c r="M97" s="14"/>
      <c r="N97" s="15">
        <f t="shared" si="2"/>
        <v>0</v>
      </c>
      <c r="O97" s="41">
        <f t="shared" si="7"/>
        <v>0</v>
      </c>
      <c r="P97" s="41">
        <f t="shared" si="8"/>
        <v>0</v>
      </c>
      <c r="Q97" s="41">
        <f t="shared" si="9"/>
        <v>0</v>
      </c>
    </row>
    <row r="98" spans="1:17" s="7" customFormat="1" ht="15" customHeight="1" x14ac:dyDescent="0.25">
      <c r="A98" s="2">
        <f t="shared" si="10"/>
        <v>94</v>
      </c>
      <c r="B98" s="10"/>
      <c r="C98" s="11"/>
      <c r="D98" s="12"/>
      <c r="E98" s="13"/>
      <c r="F98" s="13"/>
      <c r="G98" s="10"/>
      <c r="H98" s="10"/>
      <c r="I98" s="10">
        <f t="shared" si="1"/>
        <v>0</v>
      </c>
      <c r="K98" s="2"/>
      <c r="L98" s="14"/>
      <c r="M98" s="14"/>
      <c r="N98" s="15">
        <f t="shared" si="2"/>
        <v>0</v>
      </c>
      <c r="O98" s="41">
        <f t="shared" si="7"/>
        <v>0</v>
      </c>
      <c r="P98" s="41">
        <f t="shared" si="8"/>
        <v>0</v>
      </c>
      <c r="Q98" s="41">
        <f t="shared" si="9"/>
        <v>0</v>
      </c>
    </row>
    <row r="99" spans="1:17" s="7" customFormat="1" ht="15" customHeight="1" x14ac:dyDescent="0.25">
      <c r="A99" s="2">
        <f t="shared" si="10"/>
        <v>95</v>
      </c>
      <c r="B99" s="10"/>
      <c r="C99" s="11"/>
      <c r="D99" s="12"/>
      <c r="E99" s="13"/>
      <c r="F99" s="13"/>
      <c r="G99" s="10"/>
      <c r="H99" s="10"/>
      <c r="I99" s="10">
        <f t="shared" si="1"/>
        <v>0</v>
      </c>
      <c r="K99" s="2"/>
      <c r="L99" s="14"/>
      <c r="M99" s="14"/>
      <c r="N99" s="15">
        <f t="shared" si="2"/>
        <v>0</v>
      </c>
      <c r="O99" s="41">
        <f t="shared" si="7"/>
        <v>0</v>
      </c>
      <c r="P99" s="41">
        <f t="shared" si="8"/>
        <v>0</v>
      </c>
      <c r="Q99" s="41">
        <f t="shared" si="9"/>
        <v>0</v>
      </c>
    </row>
    <row r="100" spans="1:17" s="7" customFormat="1" ht="15" customHeight="1" x14ac:dyDescent="0.25">
      <c r="A100" s="2">
        <f t="shared" si="10"/>
        <v>96</v>
      </c>
      <c r="B100" s="10"/>
      <c r="C100" s="11"/>
      <c r="D100" s="12"/>
      <c r="E100" s="13"/>
      <c r="F100" s="13"/>
      <c r="G100" s="10"/>
      <c r="H100" s="10"/>
      <c r="I100" s="10">
        <f t="shared" si="1"/>
        <v>0</v>
      </c>
      <c r="K100" s="2"/>
      <c r="L100" s="14"/>
      <c r="M100" s="14"/>
      <c r="N100" s="15">
        <f t="shared" si="2"/>
        <v>0</v>
      </c>
      <c r="O100" s="41">
        <f t="shared" si="7"/>
        <v>0</v>
      </c>
      <c r="P100" s="41">
        <f t="shared" si="8"/>
        <v>0</v>
      </c>
      <c r="Q100" s="41">
        <f t="shared" si="9"/>
        <v>0</v>
      </c>
    </row>
    <row r="101" spans="1:17" s="7" customFormat="1" ht="15" customHeight="1" x14ac:dyDescent="0.25">
      <c r="A101" s="2">
        <f t="shared" si="10"/>
        <v>97</v>
      </c>
      <c r="B101" s="10"/>
      <c r="C101" s="11"/>
      <c r="D101" s="12"/>
      <c r="E101" s="13"/>
      <c r="F101" s="13"/>
      <c r="G101" s="10"/>
      <c r="H101" s="10"/>
      <c r="I101" s="10">
        <f t="shared" si="1"/>
        <v>0</v>
      </c>
      <c r="K101" s="2"/>
      <c r="L101" s="14"/>
      <c r="M101" s="14"/>
      <c r="N101" s="15">
        <f t="shared" si="2"/>
        <v>0</v>
      </c>
      <c r="O101" s="41">
        <f t="shared" si="7"/>
        <v>0</v>
      </c>
      <c r="P101" s="41">
        <f t="shared" si="8"/>
        <v>0</v>
      </c>
      <c r="Q101" s="41">
        <f t="shared" si="9"/>
        <v>0</v>
      </c>
    </row>
    <row r="102" spans="1:17" s="7" customFormat="1" ht="15" customHeight="1" x14ac:dyDescent="0.25">
      <c r="A102" s="2">
        <f t="shared" si="10"/>
        <v>98</v>
      </c>
      <c r="B102" s="10"/>
      <c r="C102" s="11"/>
      <c r="D102" s="12"/>
      <c r="E102" s="13"/>
      <c r="F102" s="13"/>
      <c r="G102" s="10"/>
      <c r="H102" s="10"/>
      <c r="I102" s="10">
        <f t="shared" si="1"/>
        <v>0</v>
      </c>
      <c r="K102" s="2"/>
      <c r="L102" s="14"/>
      <c r="M102" s="14"/>
      <c r="N102" s="15">
        <f t="shared" si="2"/>
        <v>0</v>
      </c>
      <c r="O102" s="41">
        <f t="shared" si="7"/>
        <v>0</v>
      </c>
      <c r="P102" s="41">
        <f t="shared" si="8"/>
        <v>0</v>
      </c>
      <c r="Q102" s="41">
        <f t="shared" si="9"/>
        <v>0</v>
      </c>
    </row>
    <row r="103" spans="1:17" s="7" customFormat="1" ht="15" customHeight="1" x14ac:dyDescent="0.25">
      <c r="A103" s="2">
        <f t="shared" si="10"/>
        <v>99</v>
      </c>
      <c r="B103" s="10"/>
      <c r="C103" s="11"/>
      <c r="D103" s="12"/>
      <c r="E103" s="13"/>
      <c r="F103" s="13"/>
      <c r="G103" s="10"/>
      <c r="H103" s="10"/>
      <c r="I103" s="10">
        <f t="shared" si="1"/>
        <v>0</v>
      </c>
      <c r="K103" s="2"/>
      <c r="L103" s="14"/>
      <c r="M103" s="14"/>
      <c r="N103" s="15">
        <f t="shared" si="2"/>
        <v>0</v>
      </c>
      <c r="O103" s="41">
        <f t="shared" si="7"/>
        <v>0</v>
      </c>
      <c r="P103" s="41">
        <f t="shared" si="8"/>
        <v>0</v>
      </c>
      <c r="Q103" s="41">
        <f t="shared" si="9"/>
        <v>0</v>
      </c>
    </row>
    <row r="104" spans="1:17" s="7" customFormat="1" ht="15" customHeight="1" x14ac:dyDescent="0.25">
      <c r="A104" s="2">
        <f t="shared" si="10"/>
        <v>100</v>
      </c>
      <c r="B104" s="10"/>
      <c r="C104" s="11"/>
      <c r="D104" s="12"/>
      <c r="E104" s="13"/>
      <c r="F104" s="13"/>
      <c r="G104" s="10"/>
      <c r="H104" s="10"/>
      <c r="I104" s="10">
        <f t="shared" si="1"/>
        <v>0</v>
      </c>
      <c r="K104" s="2"/>
      <c r="L104" s="14"/>
      <c r="M104" s="14"/>
      <c r="N104" s="15">
        <f t="shared" si="2"/>
        <v>0</v>
      </c>
      <c r="O104" s="41">
        <f t="shared" si="7"/>
        <v>0</v>
      </c>
      <c r="P104" s="41">
        <f t="shared" si="8"/>
        <v>0</v>
      </c>
      <c r="Q104" s="41">
        <f t="shared" si="9"/>
        <v>0</v>
      </c>
    </row>
    <row r="105" spans="1:17" s="7" customFormat="1" ht="15" customHeight="1" x14ac:dyDescent="0.25">
      <c r="A105" s="2">
        <f t="shared" si="10"/>
        <v>101</v>
      </c>
      <c r="B105" s="10"/>
      <c r="C105" s="11"/>
      <c r="D105" s="12"/>
      <c r="E105" s="13"/>
      <c r="F105" s="13"/>
      <c r="G105" s="10"/>
      <c r="H105" s="10"/>
      <c r="I105" s="10">
        <f t="shared" si="1"/>
        <v>0</v>
      </c>
      <c r="K105" s="2"/>
      <c r="L105" s="14"/>
      <c r="M105" s="14"/>
      <c r="N105" s="15">
        <f t="shared" si="2"/>
        <v>0</v>
      </c>
      <c r="O105" s="41">
        <f t="shared" si="7"/>
        <v>0</v>
      </c>
      <c r="P105" s="41">
        <f t="shared" si="8"/>
        <v>0</v>
      </c>
      <c r="Q105" s="41">
        <f t="shared" si="9"/>
        <v>0</v>
      </c>
    </row>
    <row r="106" spans="1:17" s="7" customFormat="1" ht="15" customHeight="1" x14ac:dyDescent="0.25">
      <c r="A106" s="2">
        <f t="shared" si="10"/>
        <v>102</v>
      </c>
      <c r="B106" s="10"/>
      <c r="C106" s="11"/>
      <c r="D106" s="12"/>
      <c r="E106" s="13"/>
      <c r="F106" s="13"/>
      <c r="G106" s="10"/>
      <c r="H106" s="10"/>
      <c r="I106" s="10">
        <f t="shared" si="1"/>
        <v>0</v>
      </c>
      <c r="K106" s="2"/>
      <c r="L106" s="14"/>
      <c r="M106" s="14"/>
      <c r="N106" s="15">
        <f t="shared" si="2"/>
        <v>0</v>
      </c>
      <c r="O106" s="41">
        <f t="shared" si="7"/>
        <v>0</v>
      </c>
      <c r="P106" s="41">
        <f t="shared" si="8"/>
        <v>0</v>
      </c>
      <c r="Q106" s="41">
        <f t="shared" si="9"/>
        <v>0</v>
      </c>
    </row>
    <row r="107" spans="1:17" s="7" customFormat="1" ht="15" customHeight="1" x14ac:dyDescent="0.25">
      <c r="A107" s="2">
        <f t="shared" si="10"/>
        <v>103</v>
      </c>
      <c r="B107" s="10"/>
      <c r="C107" s="11"/>
      <c r="D107" s="12"/>
      <c r="E107" s="13"/>
      <c r="F107" s="13"/>
      <c r="G107" s="10"/>
      <c r="H107" s="10"/>
      <c r="I107" s="10">
        <f t="shared" si="1"/>
        <v>0</v>
      </c>
      <c r="K107" s="2"/>
      <c r="L107" s="14"/>
      <c r="M107" s="14"/>
      <c r="N107" s="15">
        <f t="shared" si="2"/>
        <v>0</v>
      </c>
      <c r="O107" s="41">
        <f t="shared" si="7"/>
        <v>0</v>
      </c>
      <c r="P107" s="41">
        <f t="shared" si="8"/>
        <v>0</v>
      </c>
      <c r="Q107" s="41">
        <f t="shared" si="9"/>
        <v>0</v>
      </c>
    </row>
    <row r="108" spans="1:17" s="7" customFormat="1" ht="15" customHeight="1" x14ac:dyDescent="0.25">
      <c r="A108" s="2">
        <f t="shared" si="10"/>
        <v>104</v>
      </c>
      <c r="B108" s="10"/>
      <c r="C108" s="11"/>
      <c r="D108" s="12"/>
      <c r="E108" s="13"/>
      <c r="F108" s="13"/>
      <c r="G108" s="10"/>
      <c r="H108" s="10"/>
      <c r="I108" s="10">
        <f t="shared" si="1"/>
        <v>0</v>
      </c>
      <c r="K108" s="2"/>
      <c r="L108" s="14"/>
      <c r="M108" s="14"/>
      <c r="N108" s="15">
        <f t="shared" si="2"/>
        <v>0</v>
      </c>
      <c r="O108" s="41">
        <f t="shared" si="7"/>
        <v>0</v>
      </c>
      <c r="P108" s="41">
        <f t="shared" si="8"/>
        <v>0</v>
      </c>
      <c r="Q108" s="41">
        <f t="shared" si="9"/>
        <v>0</v>
      </c>
    </row>
    <row r="109" spans="1:17" s="7" customFormat="1" ht="15" customHeight="1" x14ac:dyDescent="0.25">
      <c r="A109" s="2">
        <f t="shared" si="10"/>
        <v>105</v>
      </c>
      <c r="B109" s="10"/>
      <c r="C109" s="11"/>
      <c r="D109" s="12"/>
      <c r="E109" s="13"/>
      <c r="F109" s="13"/>
      <c r="G109" s="10"/>
      <c r="H109" s="10"/>
      <c r="I109" s="10">
        <f t="shared" si="1"/>
        <v>0</v>
      </c>
      <c r="K109" s="2"/>
      <c r="L109" s="14"/>
      <c r="M109" s="14"/>
      <c r="N109" s="15">
        <f t="shared" si="2"/>
        <v>0</v>
      </c>
      <c r="O109" s="41">
        <f t="shared" si="7"/>
        <v>0</v>
      </c>
      <c r="P109" s="41">
        <f t="shared" si="8"/>
        <v>0</v>
      </c>
      <c r="Q109" s="41">
        <f t="shared" si="9"/>
        <v>0</v>
      </c>
    </row>
    <row r="110" spans="1:17" s="7" customFormat="1" ht="15" customHeight="1" x14ac:dyDescent="0.25">
      <c r="A110" s="2">
        <f t="shared" si="10"/>
        <v>106</v>
      </c>
      <c r="B110" s="10"/>
      <c r="C110" s="11"/>
      <c r="D110" s="12"/>
      <c r="E110" s="13"/>
      <c r="F110" s="13"/>
      <c r="G110" s="10"/>
      <c r="H110" s="10"/>
      <c r="I110" s="10">
        <f t="shared" si="1"/>
        <v>0</v>
      </c>
      <c r="K110" s="2"/>
      <c r="L110" s="14"/>
      <c r="M110" s="14"/>
      <c r="N110" s="15">
        <f t="shared" si="2"/>
        <v>0</v>
      </c>
      <c r="O110" s="41">
        <f t="shared" si="7"/>
        <v>0</v>
      </c>
      <c r="P110" s="41">
        <f t="shared" si="8"/>
        <v>0</v>
      </c>
      <c r="Q110" s="41">
        <f t="shared" si="9"/>
        <v>0</v>
      </c>
    </row>
    <row r="111" spans="1:17" s="7" customFormat="1" ht="15" customHeight="1" x14ac:dyDescent="0.25">
      <c r="A111" s="2">
        <f t="shared" si="10"/>
        <v>107</v>
      </c>
      <c r="B111" s="10"/>
      <c r="C111" s="11"/>
      <c r="D111" s="12"/>
      <c r="E111" s="13"/>
      <c r="F111" s="13"/>
      <c r="G111" s="10"/>
      <c r="H111" s="10"/>
      <c r="I111" s="10">
        <f t="shared" si="1"/>
        <v>0</v>
      </c>
      <c r="K111" s="2"/>
      <c r="L111" s="14"/>
      <c r="M111" s="14"/>
      <c r="N111" s="15">
        <f t="shared" si="2"/>
        <v>0</v>
      </c>
      <c r="O111" s="41">
        <f t="shared" si="7"/>
        <v>0</v>
      </c>
      <c r="P111" s="41">
        <f t="shared" si="8"/>
        <v>0</v>
      </c>
      <c r="Q111" s="41">
        <f t="shared" si="9"/>
        <v>0</v>
      </c>
    </row>
    <row r="112" spans="1:17" s="7" customFormat="1" ht="15" customHeight="1" x14ac:dyDescent="0.25">
      <c r="A112" s="2">
        <f t="shared" si="10"/>
        <v>108</v>
      </c>
      <c r="B112" s="10"/>
      <c r="C112" s="11"/>
      <c r="D112" s="12"/>
      <c r="E112" s="13"/>
      <c r="F112" s="13"/>
      <c r="G112" s="10"/>
      <c r="H112" s="10"/>
      <c r="I112" s="10">
        <f t="shared" si="1"/>
        <v>0</v>
      </c>
      <c r="K112" s="2"/>
      <c r="L112" s="14"/>
      <c r="M112" s="14"/>
      <c r="N112" s="15">
        <f t="shared" si="2"/>
        <v>0</v>
      </c>
      <c r="O112" s="41">
        <f t="shared" si="7"/>
        <v>0</v>
      </c>
      <c r="P112" s="41">
        <f t="shared" si="8"/>
        <v>0</v>
      </c>
      <c r="Q112" s="41">
        <f t="shared" si="9"/>
        <v>0</v>
      </c>
    </row>
    <row r="113" spans="1:17" s="7" customFormat="1" ht="15" customHeight="1" x14ac:dyDescent="0.25">
      <c r="A113" s="2">
        <f t="shared" si="10"/>
        <v>109</v>
      </c>
      <c r="B113" s="10"/>
      <c r="C113" s="11"/>
      <c r="D113" s="12"/>
      <c r="E113" s="13"/>
      <c r="F113" s="13"/>
      <c r="G113" s="10"/>
      <c r="H113" s="10"/>
      <c r="I113" s="10">
        <f t="shared" si="1"/>
        <v>0</v>
      </c>
      <c r="K113" s="2"/>
      <c r="L113" s="14"/>
      <c r="M113" s="14"/>
      <c r="N113" s="15">
        <f t="shared" si="2"/>
        <v>0</v>
      </c>
      <c r="O113" s="41">
        <f t="shared" si="7"/>
        <v>0</v>
      </c>
      <c r="P113" s="41">
        <f t="shared" si="8"/>
        <v>0</v>
      </c>
      <c r="Q113" s="41">
        <f t="shared" si="9"/>
        <v>0</v>
      </c>
    </row>
    <row r="114" spans="1:17" s="7" customFormat="1" ht="15" customHeight="1" x14ac:dyDescent="0.25">
      <c r="A114" s="2">
        <f t="shared" si="10"/>
        <v>110</v>
      </c>
      <c r="B114" s="10"/>
      <c r="C114" s="11"/>
      <c r="D114" s="12"/>
      <c r="E114" s="13"/>
      <c r="F114" s="13"/>
      <c r="G114" s="10"/>
      <c r="H114" s="10"/>
      <c r="I114" s="10">
        <f t="shared" si="1"/>
        <v>0</v>
      </c>
      <c r="K114" s="2"/>
      <c r="L114" s="14"/>
      <c r="M114" s="14"/>
      <c r="N114" s="15">
        <f t="shared" si="2"/>
        <v>0</v>
      </c>
      <c r="O114" s="41">
        <f t="shared" si="7"/>
        <v>0</v>
      </c>
      <c r="P114" s="41">
        <f t="shared" si="8"/>
        <v>0</v>
      </c>
      <c r="Q114" s="41">
        <f t="shared" si="9"/>
        <v>0</v>
      </c>
    </row>
    <row r="115" spans="1:17" s="7" customFormat="1" ht="15" customHeight="1" x14ac:dyDescent="0.25">
      <c r="A115" s="2">
        <f t="shared" si="10"/>
        <v>111</v>
      </c>
      <c r="B115" s="10"/>
      <c r="C115" s="11"/>
      <c r="D115" s="12"/>
      <c r="E115" s="13"/>
      <c r="F115" s="13"/>
      <c r="G115" s="10"/>
      <c r="H115" s="10"/>
      <c r="I115" s="10">
        <f t="shared" si="1"/>
        <v>0</v>
      </c>
      <c r="K115" s="2"/>
      <c r="L115" s="14"/>
      <c r="M115" s="14"/>
      <c r="N115" s="15">
        <f t="shared" si="2"/>
        <v>0</v>
      </c>
      <c r="O115" s="41">
        <f t="shared" si="7"/>
        <v>0</v>
      </c>
      <c r="P115" s="41">
        <f t="shared" si="8"/>
        <v>0</v>
      </c>
      <c r="Q115" s="41">
        <f t="shared" si="9"/>
        <v>0</v>
      </c>
    </row>
    <row r="116" spans="1:17" s="7" customFormat="1" ht="15" customHeight="1" x14ac:dyDescent="0.25">
      <c r="A116" s="2">
        <f t="shared" si="10"/>
        <v>112</v>
      </c>
      <c r="B116" s="10"/>
      <c r="C116" s="11"/>
      <c r="D116" s="12"/>
      <c r="E116" s="13"/>
      <c r="F116" s="13"/>
      <c r="G116" s="10"/>
      <c r="H116" s="10"/>
      <c r="I116" s="10">
        <f t="shared" si="1"/>
        <v>0</v>
      </c>
      <c r="K116" s="2"/>
      <c r="L116" s="14"/>
      <c r="M116" s="14"/>
      <c r="N116" s="15">
        <f t="shared" si="2"/>
        <v>0</v>
      </c>
      <c r="O116" s="41">
        <f t="shared" si="7"/>
        <v>0</v>
      </c>
      <c r="P116" s="41">
        <f t="shared" si="8"/>
        <v>0</v>
      </c>
      <c r="Q116" s="41">
        <f t="shared" si="9"/>
        <v>0</v>
      </c>
    </row>
    <row r="117" spans="1:17" s="7" customFormat="1" ht="15" customHeight="1" x14ac:dyDescent="0.25">
      <c r="A117" s="2">
        <f t="shared" si="10"/>
        <v>113</v>
      </c>
      <c r="B117" s="10"/>
      <c r="C117" s="11"/>
      <c r="D117" s="12"/>
      <c r="E117" s="13"/>
      <c r="F117" s="13"/>
      <c r="G117" s="10"/>
      <c r="H117" s="10"/>
      <c r="I117" s="10">
        <f t="shared" si="1"/>
        <v>0</v>
      </c>
      <c r="K117" s="2"/>
      <c r="L117" s="14"/>
      <c r="M117" s="14"/>
      <c r="N117" s="15">
        <f t="shared" si="2"/>
        <v>0</v>
      </c>
      <c r="O117" s="41">
        <f t="shared" si="7"/>
        <v>0</v>
      </c>
      <c r="P117" s="41">
        <f t="shared" si="8"/>
        <v>0</v>
      </c>
      <c r="Q117" s="41">
        <f t="shared" si="9"/>
        <v>0</v>
      </c>
    </row>
    <row r="118" spans="1:17" s="7" customFormat="1" ht="15" customHeight="1" x14ac:dyDescent="0.25">
      <c r="A118" s="2">
        <f t="shared" si="10"/>
        <v>114</v>
      </c>
      <c r="B118" s="10"/>
      <c r="C118" s="11"/>
      <c r="D118" s="12"/>
      <c r="E118" s="13"/>
      <c r="F118" s="13"/>
      <c r="G118" s="10"/>
      <c r="H118" s="10"/>
      <c r="I118" s="10">
        <f t="shared" si="1"/>
        <v>0</v>
      </c>
      <c r="K118" s="2"/>
      <c r="L118" s="14"/>
      <c r="M118" s="14"/>
      <c r="N118" s="15">
        <f t="shared" si="2"/>
        <v>0</v>
      </c>
      <c r="O118" s="41">
        <f t="shared" si="7"/>
        <v>0</v>
      </c>
      <c r="P118" s="41">
        <f t="shared" si="8"/>
        <v>0</v>
      </c>
      <c r="Q118" s="41">
        <f t="shared" si="9"/>
        <v>0</v>
      </c>
    </row>
    <row r="119" spans="1:17" s="7" customFormat="1" ht="15" customHeight="1" x14ac:dyDescent="0.25">
      <c r="A119" s="2">
        <f t="shared" si="10"/>
        <v>115</v>
      </c>
      <c r="B119" s="10"/>
      <c r="C119" s="11"/>
      <c r="D119" s="12"/>
      <c r="E119" s="13"/>
      <c r="F119" s="13"/>
      <c r="G119" s="10"/>
      <c r="H119" s="10"/>
      <c r="I119" s="10">
        <f t="shared" si="1"/>
        <v>0</v>
      </c>
      <c r="K119" s="2"/>
      <c r="L119" s="14"/>
      <c r="M119" s="14"/>
      <c r="N119" s="15">
        <f t="shared" si="2"/>
        <v>0</v>
      </c>
      <c r="O119" s="41">
        <f t="shared" si="7"/>
        <v>0</v>
      </c>
      <c r="P119" s="41">
        <f t="shared" si="8"/>
        <v>0</v>
      </c>
      <c r="Q119" s="41">
        <f t="shared" si="9"/>
        <v>0</v>
      </c>
    </row>
    <row r="120" spans="1:17" s="7" customFormat="1" ht="15" customHeight="1" x14ac:dyDescent="0.25">
      <c r="A120" s="2">
        <f t="shared" si="10"/>
        <v>116</v>
      </c>
      <c r="B120" s="10"/>
      <c r="C120" s="11"/>
      <c r="D120" s="12"/>
      <c r="E120" s="13"/>
      <c r="F120" s="13"/>
      <c r="G120" s="10"/>
      <c r="H120" s="10"/>
      <c r="I120" s="10">
        <f t="shared" si="1"/>
        <v>0</v>
      </c>
      <c r="K120" s="2"/>
      <c r="L120" s="14"/>
      <c r="M120" s="14"/>
      <c r="N120" s="15">
        <f t="shared" si="2"/>
        <v>0</v>
      </c>
      <c r="O120" s="41">
        <f t="shared" si="7"/>
        <v>0</v>
      </c>
      <c r="P120" s="41">
        <f t="shared" si="8"/>
        <v>0</v>
      </c>
      <c r="Q120" s="41">
        <f t="shared" si="9"/>
        <v>0</v>
      </c>
    </row>
    <row r="121" spans="1:17" s="7" customFormat="1" ht="15" customHeight="1" x14ac:dyDescent="0.25">
      <c r="A121" s="2">
        <f t="shared" si="10"/>
        <v>117</v>
      </c>
      <c r="B121" s="10"/>
      <c r="C121" s="11"/>
      <c r="D121" s="12"/>
      <c r="E121" s="13"/>
      <c r="F121" s="13"/>
      <c r="G121" s="10"/>
      <c r="H121" s="10"/>
      <c r="I121" s="10">
        <f t="shared" si="1"/>
        <v>0</v>
      </c>
      <c r="K121" s="2"/>
      <c r="L121" s="14"/>
      <c r="M121" s="14"/>
      <c r="N121" s="15">
        <f t="shared" si="2"/>
        <v>0</v>
      </c>
      <c r="O121" s="41">
        <f t="shared" si="7"/>
        <v>0</v>
      </c>
      <c r="P121" s="41">
        <f t="shared" si="8"/>
        <v>0</v>
      </c>
      <c r="Q121" s="41">
        <f t="shared" si="9"/>
        <v>0</v>
      </c>
    </row>
    <row r="122" spans="1:17" s="7" customFormat="1" ht="15" customHeight="1" x14ac:dyDescent="0.25">
      <c r="A122" s="2">
        <f t="shared" si="10"/>
        <v>118</v>
      </c>
      <c r="B122" s="10"/>
      <c r="C122" s="11"/>
      <c r="D122" s="12"/>
      <c r="E122" s="13"/>
      <c r="F122" s="13"/>
      <c r="G122" s="10"/>
      <c r="H122" s="10"/>
      <c r="I122" s="10">
        <f t="shared" si="1"/>
        <v>0</v>
      </c>
      <c r="K122" s="2"/>
      <c r="L122" s="14"/>
      <c r="M122" s="14"/>
      <c r="N122" s="15">
        <f t="shared" si="2"/>
        <v>0</v>
      </c>
      <c r="O122" s="41">
        <f t="shared" si="7"/>
        <v>0</v>
      </c>
      <c r="P122" s="41">
        <f t="shared" si="8"/>
        <v>0</v>
      </c>
      <c r="Q122" s="41">
        <f t="shared" si="9"/>
        <v>0</v>
      </c>
    </row>
    <row r="123" spans="1:17" s="7" customFormat="1" ht="15" customHeight="1" x14ac:dyDescent="0.25">
      <c r="A123" s="2">
        <f t="shared" si="10"/>
        <v>119</v>
      </c>
      <c r="B123" s="10"/>
      <c r="C123" s="11"/>
      <c r="D123" s="12"/>
      <c r="E123" s="13"/>
      <c r="F123" s="13"/>
      <c r="G123" s="10"/>
      <c r="H123" s="10"/>
      <c r="I123" s="10">
        <f t="shared" si="1"/>
        <v>0</v>
      </c>
      <c r="K123" s="2"/>
      <c r="L123" s="14"/>
      <c r="M123" s="14"/>
      <c r="N123" s="15">
        <f t="shared" si="2"/>
        <v>0</v>
      </c>
      <c r="O123" s="41">
        <f t="shared" si="7"/>
        <v>0</v>
      </c>
      <c r="P123" s="41">
        <f t="shared" si="8"/>
        <v>0</v>
      </c>
      <c r="Q123" s="41">
        <f t="shared" si="9"/>
        <v>0</v>
      </c>
    </row>
    <row r="124" spans="1:17" s="7" customFormat="1" ht="15" customHeight="1" x14ac:dyDescent="0.25">
      <c r="A124" s="2">
        <f t="shared" si="10"/>
        <v>120</v>
      </c>
      <c r="B124" s="10"/>
      <c r="C124" s="11"/>
      <c r="D124" s="12"/>
      <c r="E124" s="13"/>
      <c r="F124" s="13"/>
      <c r="G124" s="10"/>
      <c r="H124" s="10"/>
      <c r="I124" s="10">
        <f t="shared" si="1"/>
        <v>0</v>
      </c>
      <c r="K124" s="2"/>
      <c r="L124" s="14"/>
      <c r="M124" s="14"/>
      <c r="N124" s="15">
        <f t="shared" si="2"/>
        <v>0</v>
      </c>
      <c r="O124" s="41">
        <f t="shared" si="7"/>
        <v>0</v>
      </c>
      <c r="P124" s="41">
        <f t="shared" si="8"/>
        <v>0</v>
      </c>
      <c r="Q124" s="41">
        <f t="shared" si="9"/>
        <v>0</v>
      </c>
    </row>
    <row r="125" spans="1:17" s="7" customFormat="1" ht="15" customHeight="1" x14ac:dyDescent="0.25">
      <c r="A125" s="2">
        <f t="shared" si="10"/>
        <v>121</v>
      </c>
      <c r="B125" s="10"/>
      <c r="C125" s="11"/>
      <c r="D125" s="12"/>
      <c r="E125" s="13"/>
      <c r="F125" s="13"/>
      <c r="G125" s="10"/>
      <c r="H125" s="10"/>
      <c r="I125" s="10">
        <f t="shared" si="1"/>
        <v>0</v>
      </c>
      <c r="K125" s="2"/>
      <c r="L125" s="14"/>
      <c r="M125" s="14"/>
      <c r="N125" s="15">
        <f t="shared" si="2"/>
        <v>0</v>
      </c>
      <c r="O125" s="41">
        <f t="shared" si="7"/>
        <v>0</v>
      </c>
      <c r="P125" s="41">
        <f t="shared" si="8"/>
        <v>0</v>
      </c>
      <c r="Q125" s="41">
        <f t="shared" si="9"/>
        <v>0</v>
      </c>
    </row>
    <row r="126" spans="1:17" s="7" customFormat="1" ht="15" customHeight="1" x14ac:dyDescent="0.25">
      <c r="A126" s="2">
        <f t="shared" si="10"/>
        <v>122</v>
      </c>
      <c r="B126" s="10"/>
      <c r="C126" s="11"/>
      <c r="D126" s="12"/>
      <c r="E126" s="13"/>
      <c r="F126" s="13"/>
      <c r="G126" s="10"/>
      <c r="H126" s="10"/>
      <c r="I126" s="10">
        <f t="shared" si="1"/>
        <v>0</v>
      </c>
      <c r="K126" s="2"/>
      <c r="L126" s="14"/>
      <c r="M126" s="14"/>
      <c r="N126" s="15">
        <f t="shared" si="2"/>
        <v>0</v>
      </c>
      <c r="O126" s="41">
        <f t="shared" si="7"/>
        <v>0</v>
      </c>
      <c r="P126" s="41">
        <f t="shared" si="8"/>
        <v>0</v>
      </c>
      <c r="Q126" s="41">
        <f t="shared" si="9"/>
        <v>0</v>
      </c>
    </row>
    <row r="127" spans="1:17" s="7" customFormat="1" ht="15" customHeight="1" x14ac:dyDescent="0.25">
      <c r="A127" s="2">
        <f t="shared" si="10"/>
        <v>123</v>
      </c>
      <c r="B127" s="10"/>
      <c r="C127" s="11"/>
      <c r="D127" s="12"/>
      <c r="E127" s="13"/>
      <c r="F127" s="13"/>
      <c r="G127" s="10"/>
      <c r="H127" s="10"/>
      <c r="I127" s="10">
        <f t="shared" si="1"/>
        <v>0</v>
      </c>
      <c r="K127" s="2"/>
      <c r="L127" s="14"/>
      <c r="M127" s="14"/>
      <c r="N127" s="15">
        <f t="shared" si="2"/>
        <v>0</v>
      </c>
      <c r="O127" s="41">
        <f t="shared" si="7"/>
        <v>0</v>
      </c>
      <c r="P127" s="41">
        <f t="shared" si="8"/>
        <v>0</v>
      </c>
      <c r="Q127" s="41">
        <f t="shared" si="9"/>
        <v>0</v>
      </c>
    </row>
    <row r="128" spans="1:17" s="7" customFormat="1" ht="15" customHeight="1" x14ac:dyDescent="0.25">
      <c r="A128" s="2">
        <f t="shared" si="10"/>
        <v>124</v>
      </c>
      <c r="B128" s="10"/>
      <c r="C128" s="11"/>
      <c r="D128" s="12"/>
      <c r="E128" s="13"/>
      <c r="F128" s="13"/>
      <c r="G128" s="10"/>
      <c r="H128" s="10"/>
      <c r="I128" s="10">
        <f t="shared" si="1"/>
        <v>0</v>
      </c>
      <c r="K128" s="2"/>
      <c r="L128" s="14"/>
      <c r="M128" s="14"/>
      <c r="N128" s="15">
        <f t="shared" si="2"/>
        <v>0</v>
      </c>
      <c r="O128" s="41">
        <f t="shared" si="7"/>
        <v>0</v>
      </c>
      <c r="P128" s="41">
        <f t="shared" si="8"/>
        <v>0</v>
      </c>
      <c r="Q128" s="41">
        <f t="shared" si="9"/>
        <v>0</v>
      </c>
    </row>
    <row r="129" spans="1:17" s="7" customFormat="1" ht="15" customHeight="1" x14ac:dyDescent="0.25">
      <c r="A129" s="2">
        <f t="shared" si="10"/>
        <v>125</v>
      </c>
      <c r="B129" s="10"/>
      <c r="C129" s="11"/>
      <c r="D129" s="12"/>
      <c r="E129" s="13"/>
      <c r="F129" s="13"/>
      <c r="G129" s="10"/>
      <c r="H129" s="10"/>
      <c r="I129" s="10">
        <f t="shared" si="1"/>
        <v>0</v>
      </c>
      <c r="K129" s="2"/>
      <c r="L129" s="14"/>
      <c r="M129" s="14"/>
      <c r="N129" s="15">
        <f t="shared" si="2"/>
        <v>0</v>
      </c>
      <c r="O129" s="41">
        <f t="shared" si="7"/>
        <v>0</v>
      </c>
      <c r="P129" s="41">
        <f t="shared" si="8"/>
        <v>0</v>
      </c>
      <c r="Q129" s="41">
        <f t="shared" si="9"/>
        <v>0</v>
      </c>
    </row>
    <row r="130" spans="1:17" s="7" customFormat="1" ht="15" customHeight="1" x14ac:dyDescent="0.25">
      <c r="A130" s="2">
        <f t="shared" si="10"/>
        <v>126</v>
      </c>
      <c r="B130" s="10"/>
      <c r="C130" s="11"/>
      <c r="D130" s="12"/>
      <c r="E130" s="13"/>
      <c r="F130" s="13"/>
      <c r="G130" s="10"/>
      <c r="H130" s="10"/>
      <c r="I130" s="10">
        <f t="shared" si="1"/>
        <v>0</v>
      </c>
      <c r="K130" s="2"/>
      <c r="L130" s="14"/>
      <c r="M130" s="14"/>
      <c r="N130" s="15">
        <f t="shared" si="2"/>
        <v>0</v>
      </c>
      <c r="O130" s="41">
        <f t="shared" si="7"/>
        <v>0</v>
      </c>
      <c r="P130" s="41">
        <f t="shared" si="8"/>
        <v>0</v>
      </c>
      <c r="Q130" s="41">
        <f t="shared" si="9"/>
        <v>0</v>
      </c>
    </row>
    <row r="131" spans="1:17" s="7" customFormat="1" ht="15" customHeight="1" x14ac:dyDescent="0.25">
      <c r="A131" s="2">
        <f t="shared" si="10"/>
        <v>127</v>
      </c>
      <c r="B131" s="10"/>
      <c r="C131" s="11"/>
      <c r="D131" s="12"/>
      <c r="E131" s="13"/>
      <c r="F131" s="13"/>
      <c r="G131" s="10"/>
      <c r="H131" s="10"/>
      <c r="I131" s="10">
        <f t="shared" si="1"/>
        <v>0</v>
      </c>
      <c r="K131" s="2"/>
      <c r="L131" s="14"/>
      <c r="M131" s="14"/>
      <c r="N131" s="15">
        <f t="shared" si="2"/>
        <v>0</v>
      </c>
      <c r="O131" s="41">
        <f t="shared" si="7"/>
        <v>0</v>
      </c>
      <c r="P131" s="41">
        <f t="shared" si="8"/>
        <v>0</v>
      </c>
      <c r="Q131" s="41">
        <f t="shared" si="9"/>
        <v>0</v>
      </c>
    </row>
    <row r="132" spans="1:17" s="7" customFormat="1" ht="15" customHeight="1" x14ac:dyDescent="0.25">
      <c r="A132" s="2">
        <f t="shared" si="10"/>
        <v>128</v>
      </c>
      <c r="B132" s="10"/>
      <c r="C132" s="11"/>
      <c r="D132" s="12"/>
      <c r="E132" s="13"/>
      <c r="F132" s="13"/>
      <c r="G132" s="10"/>
      <c r="H132" s="10"/>
      <c r="I132" s="10">
        <f t="shared" si="1"/>
        <v>0</v>
      </c>
      <c r="K132" s="2"/>
      <c r="L132" s="14"/>
      <c r="M132" s="14"/>
      <c r="N132" s="15">
        <f t="shared" si="2"/>
        <v>0</v>
      </c>
      <c r="O132" s="41">
        <f t="shared" si="7"/>
        <v>0</v>
      </c>
      <c r="P132" s="41">
        <f t="shared" si="8"/>
        <v>0</v>
      </c>
      <c r="Q132" s="41">
        <f t="shared" si="9"/>
        <v>0</v>
      </c>
    </row>
    <row r="133" spans="1:17" s="7" customFormat="1" ht="15" customHeight="1" x14ac:dyDescent="0.25">
      <c r="A133" s="2">
        <f t="shared" si="10"/>
        <v>129</v>
      </c>
      <c r="B133" s="10"/>
      <c r="C133" s="11"/>
      <c r="D133" s="12"/>
      <c r="E133" s="13"/>
      <c r="F133" s="13"/>
      <c r="G133" s="10"/>
      <c r="H133" s="10"/>
      <c r="I133" s="10">
        <f t="shared" si="1"/>
        <v>0</v>
      </c>
      <c r="K133" s="2"/>
      <c r="L133" s="14"/>
      <c r="M133" s="14"/>
      <c r="N133" s="15">
        <f t="shared" si="2"/>
        <v>0</v>
      </c>
      <c r="O133" s="41">
        <f t="shared" si="7"/>
        <v>0</v>
      </c>
      <c r="P133" s="41">
        <f t="shared" si="8"/>
        <v>0</v>
      </c>
      <c r="Q133" s="41">
        <f t="shared" si="9"/>
        <v>0</v>
      </c>
    </row>
    <row r="134" spans="1:17" s="7" customFormat="1" ht="15" customHeight="1" x14ac:dyDescent="0.25">
      <c r="A134" s="2">
        <f t="shared" si="10"/>
        <v>130</v>
      </c>
      <c r="B134" s="10"/>
      <c r="C134" s="11"/>
      <c r="D134" s="12"/>
      <c r="E134" s="13"/>
      <c r="F134" s="13"/>
      <c r="G134" s="10"/>
      <c r="H134" s="10"/>
      <c r="I134" s="10">
        <f t="shared" si="1"/>
        <v>0</v>
      </c>
      <c r="K134" s="2"/>
      <c r="L134" s="14"/>
      <c r="M134" s="14"/>
      <c r="N134" s="15">
        <f t="shared" si="2"/>
        <v>0</v>
      </c>
      <c r="O134" s="41">
        <f t="shared" ref="O134:O197" si="11">G134-L134</f>
        <v>0</v>
      </c>
      <c r="P134" s="41">
        <f t="shared" ref="P134:P197" si="12">H134-M134</f>
        <v>0</v>
      </c>
      <c r="Q134" s="41">
        <f t="shared" ref="Q134:Q197" si="13">I134-N134</f>
        <v>0</v>
      </c>
    </row>
    <row r="135" spans="1:17" s="7" customFormat="1" ht="15" customHeight="1" x14ac:dyDescent="0.25">
      <c r="A135" s="2">
        <f t="shared" ref="A135:A198" si="14">A134+1</f>
        <v>131</v>
      </c>
      <c r="B135" s="10"/>
      <c r="C135" s="11"/>
      <c r="D135" s="12"/>
      <c r="E135" s="13"/>
      <c r="F135" s="13"/>
      <c r="G135" s="10"/>
      <c r="H135" s="10"/>
      <c r="I135" s="10">
        <f t="shared" si="1"/>
        <v>0</v>
      </c>
      <c r="K135" s="2"/>
      <c r="L135" s="14"/>
      <c r="M135" s="14"/>
      <c r="N135" s="15">
        <f t="shared" si="2"/>
        <v>0</v>
      </c>
      <c r="O135" s="41">
        <f t="shared" si="11"/>
        <v>0</v>
      </c>
      <c r="P135" s="41">
        <f t="shared" si="12"/>
        <v>0</v>
      </c>
      <c r="Q135" s="41">
        <f t="shared" si="13"/>
        <v>0</v>
      </c>
    </row>
    <row r="136" spans="1:17" s="7" customFormat="1" ht="15" customHeight="1" x14ac:dyDescent="0.25">
      <c r="A136" s="2">
        <f t="shared" si="14"/>
        <v>132</v>
      </c>
      <c r="B136" s="10"/>
      <c r="C136" s="11"/>
      <c r="D136" s="12"/>
      <c r="E136" s="13"/>
      <c r="F136" s="13"/>
      <c r="G136" s="10"/>
      <c r="H136" s="10"/>
      <c r="I136" s="10">
        <f t="shared" si="1"/>
        <v>0</v>
      </c>
      <c r="K136" s="2"/>
      <c r="L136" s="14"/>
      <c r="M136" s="14"/>
      <c r="N136" s="15">
        <f t="shared" si="2"/>
        <v>0</v>
      </c>
      <c r="O136" s="41">
        <f t="shared" si="11"/>
        <v>0</v>
      </c>
      <c r="P136" s="41">
        <f t="shared" si="12"/>
        <v>0</v>
      </c>
      <c r="Q136" s="41">
        <f t="shared" si="13"/>
        <v>0</v>
      </c>
    </row>
    <row r="137" spans="1:17" s="7" customFormat="1" ht="15" customHeight="1" x14ac:dyDescent="0.25">
      <c r="A137" s="2">
        <f t="shared" si="14"/>
        <v>133</v>
      </c>
      <c r="B137" s="10"/>
      <c r="C137" s="11"/>
      <c r="D137" s="12"/>
      <c r="E137" s="13"/>
      <c r="F137" s="13"/>
      <c r="G137" s="10"/>
      <c r="H137" s="10"/>
      <c r="I137" s="10">
        <f t="shared" si="1"/>
        <v>0</v>
      </c>
      <c r="K137" s="2"/>
      <c r="L137" s="14"/>
      <c r="M137" s="14"/>
      <c r="N137" s="15">
        <f t="shared" si="2"/>
        <v>0</v>
      </c>
      <c r="O137" s="41">
        <f t="shared" si="11"/>
        <v>0</v>
      </c>
      <c r="P137" s="41">
        <f t="shared" si="12"/>
        <v>0</v>
      </c>
      <c r="Q137" s="41">
        <f t="shared" si="13"/>
        <v>0</v>
      </c>
    </row>
    <row r="138" spans="1:17" s="7" customFormat="1" ht="15" customHeight="1" x14ac:dyDescent="0.25">
      <c r="A138" s="2">
        <f t="shared" si="14"/>
        <v>134</v>
      </c>
      <c r="B138" s="10"/>
      <c r="C138" s="11"/>
      <c r="D138" s="12"/>
      <c r="E138" s="13"/>
      <c r="F138" s="13"/>
      <c r="G138" s="10"/>
      <c r="H138" s="10"/>
      <c r="I138" s="10">
        <f t="shared" si="1"/>
        <v>0</v>
      </c>
      <c r="K138" s="2"/>
      <c r="L138" s="14"/>
      <c r="M138" s="14"/>
      <c r="N138" s="15">
        <f t="shared" si="2"/>
        <v>0</v>
      </c>
      <c r="O138" s="41">
        <f t="shared" si="11"/>
        <v>0</v>
      </c>
      <c r="P138" s="41">
        <f t="shared" si="12"/>
        <v>0</v>
      </c>
      <c r="Q138" s="41">
        <f t="shared" si="13"/>
        <v>0</v>
      </c>
    </row>
    <row r="139" spans="1:17" s="7" customFormat="1" ht="15" customHeight="1" x14ac:dyDescent="0.25">
      <c r="A139" s="2">
        <f t="shared" si="14"/>
        <v>135</v>
      </c>
      <c r="B139" s="10"/>
      <c r="C139" s="11"/>
      <c r="D139" s="12"/>
      <c r="E139" s="13"/>
      <c r="F139" s="13"/>
      <c r="G139" s="10"/>
      <c r="H139" s="10"/>
      <c r="I139" s="10">
        <f t="shared" si="1"/>
        <v>0</v>
      </c>
      <c r="K139" s="2"/>
      <c r="L139" s="14"/>
      <c r="M139" s="14"/>
      <c r="N139" s="15">
        <f t="shared" si="2"/>
        <v>0</v>
      </c>
      <c r="O139" s="41">
        <f t="shared" si="11"/>
        <v>0</v>
      </c>
      <c r="P139" s="41">
        <f t="shared" si="12"/>
        <v>0</v>
      </c>
      <c r="Q139" s="41">
        <f t="shared" si="13"/>
        <v>0</v>
      </c>
    </row>
    <row r="140" spans="1:17" s="7" customFormat="1" ht="15" customHeight="1" x14ac:dyDescent="0.25">
      <c r="A140" s="2">
        <f t="shared" si="14"/>
        <v>136</v>
      </c>
      <c r="B140" s="10"/>
      <c r="C140" s="11"/>
      <c r="D140" s="12"/>
      <c r="E140" s="13"/>
      <c r="F140" s="13"/>
      <c r="G140" s="10"/>
      <c r="H140" s="10"/>
      <c r="I140" s="10">
        <f t="shared" si="1"/>
        <v>0</v>
      </c>
      <c r="K140" s="2"/>
      <c r="L140" s="14"/>
      <c r="M140" s="14"/>
      <c r="N140" s="15">
        <f t="shared" si="2"/>
        <v>0</v>
      </c>
      <c r="O140" s="41">
        <f t="shared" si="11"/>
        <v>0</v>
      </c>
      <c r="P140" s="41">
        <f t="shared" si="12"/>
        <v>0</v>
      </c>
      <c r="Q140" s="41">
        <f t="shared" si="13"/>
        <v>0</v>
      </c>
    </row>
    <row r="141" spans="1:17" s="7" customFormat="1" ht="15" customHeight="1" x14ac:dyDescent="0.25">
      <c r="A141" s="2">
        <f t="shared" si="14"/>
        <v>137</v>
      </c>
      <c r="B141" s="10"/>
      <c r="C141" s="11"/>
      <c r="D141" s="12"/>
      <c r="E141" s="13"/>
      <c r="F141" s="13"/>
      <c r="G141" s="10"/>
      <c r="H141" s="10"/>
      <c r="I141" s="10">
        <f t="shared" si="1"/>
        <v>0</v>
      </c>
      <c r="K141" s="2"/>
      <c r="L141" s="14"/>
      <c r="M141" s="14"/>
      <c r="N141" s="15">
        <f t="shared" si="2"/>
        <v>0</v>
      </c>
      <c r="O141" s="41">
        <f t="shared" si="11"/>
        <v>0</v>
      </c>
      <c r="P141" s="41">
        <f t="shared" si="12"/>
        <v>0</v>
      </c>
      <c r="Q141" s="41">
        <f t="shared" si="13"/>
        <v>0</v>
      </c>
    </row>
    <row r="142" spans="1:17" s="7" customFormat="1" ht="15" customHeight="1" x14ac:dyDescent="0.25">
      <c r="A142" s="2">
        <f t="shared" si="14"/>
        <v>138</v>
      </c>
      <c r="B142" s="10"/>
      <c r="C142" s="11"/>
      <c r="D142" s="12"/>
      <c r="E142" s="13"/>
      <c r="F142" s="13"/>
      <c r="G142" s="10"/>
      <c r="H142" s="10"/>
      <c r="I142" s="10">
        <f t="shared" si="1"/>
        <v>0</v>
      </c>
      <c r="K142" s="2"/>
      <c r="L142" s="14"/>
      <c r="M142" s="14"/>
      <c r="N142" s="15">
        <f t="shared" si="2"/>
        <v>0</v>
      </c>
      <c r="O142" s="41">
        <f t="shared" si="11"/>
        <v>0</v>
      </c>
      <c r="P142" s="41">
        <f t="shared" si="12"/>
        <v>0</v>
      </c>
      <c r="Q142" s="41">
        <f t="shared" si="13"/>
        <v>0</v>
      </c>
    </row>
    <row r="143" spans="1:17" s="7" customFormat="1" ht="15" customHeight="1" x14ac:dyDescent="0.25">
      <c r="A143" s="2">
        <f t="shared" si="14"/>
        <v>139</v>
      </c>
      <c r="B143" s="10"/>
      <c r="C143" s="11"/>
      <c r="D143" s="12"/>
      <c r="E143" s="13"/>
      <c r="F143" s="13"/>
      <c r="G143" s="10"/>
      <c r="H143" s="10"/>
      <c r="I143" s="10">
        <f t="shared" si="1"/>
        <v>0</v>
      </c>
      <c r="K143" s="2"/>
      <c r="L143" s="14"/>
      <c r="M143" s="14"/>
      <c r="N143" s="15">
        <f t="shared" si="2"/>
        <v>0</v>
      </c>
      <c r="O143" s="41">
        <f t="shared" si="11"/>
        <v>0</v>
      </c>
      <c r="P143" s="41">
        <f t="shared" si="12"/>
        <v>0</v>
      </c>
      <c r="Q143" s="41">
        <f t="shared" si="13"/>
        <v>0</v>
      </c>
    </row>
    <row r="144" spans="1:17" s="7" customFormat="1" ht="15" customHeight="1" x14ac:dyDescent="0.25">
      <c r="A144" s="2">
        <f t="shared" si="14"/>
        <v>140</v>
      </c>
      <c r="B144" s="10"/>
      <c r="C144" s="11"/>
      <c r="D144" s="12"/>
      <c r="E144" s="13"/>
      <c r="F144" s="13"/>
      <c r="G144" s="10"/>
      <c r="H144" s="10"/>
      <c r="I144" s="10">
        <f t="shared" si="1"/>
        <v>0</v>
      </c>
      <c r="K144" s="2"/>
      <c r="L144" s="14"/>
      <c r="M144" s="14"/>
      <c r="N144" s="15">
        <f t="shared" si="2"/>
        <v>0</v>
      </c>
      <c r="O144" s="41">
        <f t="shared" si="11"/>
        <v>0</v>
      </c>
      <c r="P144" s="41">
        <f t="shared" si="12"/>
        <v>0</v>
      </c>
      <c r="Q144" s="41">
        <f t="shared" si="13"/>
        <v>0</v>
      </c>
    </row>
    <row r="145" spans="1:17" s="7" customFormat="1" ht="15" customHeight="1" x14ac:dyDescent="0.25">
      <c r="A145" s="2">
        <f t="shared" si="14"/>
        <v>141</v>
      </c>
      <c r="B145" s="10"/>
      <c r="C145" s="11"/>
      <c r="D145" s="12"/>
      <c r="E145" s="13"/>
      <c r="F145" s="13"/>
      <c r="G145" s="10"/>
      <c r="H145" s="10"/>
      <c r="I145" s="10">
        <f t="shared" si="1"/>
        <v>0</v>
      </c>
      <c r="K145" s="2"/>
      <c r="L145" s="14"/>
      <c r="M145" s="14"/>
      <c r="N145" s="15">
        <f t="shared" si="2"/>
        <v>0</v>
      </c>
      <c r="O145" s="41">
        <f t="shared" si="11"/>
        <v>0</v>
      </c>
      <c r="P145" s="41">
        <f t="shared" si="12"/>
        <v>0</v>
      </c>
      <c r="Q145" s="41">
        <f t="shared" si="13"/>
        <v>0</v>
      </c>
    </row>
    <row r="146" spans="1:17" s="7" customFormat="1" ht="15" customHeight="1" x14ac:dyDescent="0.25">
      <c r="A146" s="2">
        <f t="shared" si="14"/>
        <v>142</v>
      </c>
      <c r="B146" s="10"/>
      <c r="C146" s="11"/>
      <c r="D146" s="12"/>
      <c r="E146" s="13"/>
      <c r="F146" s="13"/>
      <c r="G146" s="10"/>
      <c r="H146" s="10"/>
      <c r="I146" s="10">
        <f t="shared" si="1"/>
        <v>0</v>
      </c>
      <c r="K146" s="2"/>
      <c r="L146" s="14"/>
      <c r="M146" s="14"/>
      <c r="N146" s="15">
        <f t="shared" si="2"/>
        <v>0</v>
      </c>
      <c r="O146" s="41">
        <f t="shared" si="11"/>
        <v>0</v>
      </c>
      <c r="P146" s="41">
        <f t="shared" si="12"/>
        <v>0</v>
      </c>
      <c r="Q146" s="41">
        <f t="shared" si="13"/>
        <v>0</v>
      </c>
    </row>
    <row r="147" spans="1:17" s="7" customFormat="1" ht="15" customHeight="1" x14ac:dyDescent="0.25">
      <c r="A147" s="2">
        <f t="shared" si="14"/>
        <v>143</v>
      </c>
      <c r="B147" s="10"/>
      <c r="C147" s="11"/>
      <c r="D147" s="12"/>
      <c r="E147" s="13"/>
      <c r="F147" s="13"/>
      <c r="G147" s="10"/>
      <c r="H147" s="10"/>
      <c r="I147" s="10">
        <f t="shared" si="1"/>
        <v>0</v>
      </c>
      <c r="K147" s="2"/>
      <c r="L147" s="14"/>
      <c r="M147" s="14"/>
      <c r="N147" s="15">
        <f t="shared" si="2"/>
        <v>0</v>
      </c>
      <c r="O147" s="41">
        <f t="shared" si="11"/>
        <v>0</v>
      </c>
      <c r="P147" s="41">
        <f t="shared" si="12"/>
        <v>0</v>
      </c>
      <c r="Q147" s="41">
        <f t="shared" si="13"/>
        <v>0</v>
      </c>
    </row>
    <row r="148" spans="1:17" s="7" customFormat="1" ht="15" customHeight="1" x14ac:dyDescent="0.25">
      <c r="A148" s="2">
        <f t="shared" si="14"/>
        <v>144</v>
      </c>
      <c r="B148" s="10"/>
      <c r="C148" s="11"/>
      <c r="D148" s="12"/>
      <c r="E148" s="13"/>
      <c r="F148" s="13"/>
      <c r="G148" s="10"/>
      <c r="H148" s="10"/>
      <c r="I148" s="10">
        <f t="shared" si="1"/>
        <v>0</v>
      </c>
      <c r="K148" s="2"/>
      <c r="L148" s="14"/>
      <c r="M148" s="14"/>
      <c r="N148" s="15">
        <f t="shared" si="2"/>
        <v>0</v>
      </c>
      <c r="O148" s="41">
        <f t="shared" si="11"/>
        <v>0</v>
      </c>
      <c r="P148" s="41">
        <f t="shared" si="12"/>
        <v>0</v>
      </c>
      <c r="Q148" s="41">
        <f t="shared" si="13"/>
        <v>0</v>
      </c>
    </row>
    <row r="149" spans="1:17" s="7" customFormat="1" ht="15" customHeight="1" x14ac:dyDescent="0.25">
      <c r="A149" s="2">
        <f t="shared" si="14"/>
        <v>145</v>
      </c>
      <c r="B149" s="10"/>
      <c r="C149" s="11"/>
      <c r="D149" s="12"/>
      <c r="E149" s="13"/>
      <c r="F149" s="13"/>
      <c r="G149" s="10"/>
      <c r="H149" s="10"/>
      <c r="I149" s="10">
        <f t="shared" si="1"/>
        <v>0</v>
      </c>
      <c r="K149" s="2"/>
      <c r="L149" s="14"/>
      <c r="M149" s="14"/>
      <c r="N149" s="15">
        <f t="shared" si="2"/>
        <v>0</v>
      </c>
      <c r="O149" s="41">
        <f t="shared" si="11"/>
        <v>0</v>
      </c>
      <c r="P149" s="41">
        <f t="shared" si="12"/>
        <v>0</v>
      </c>
      <c r="Q149" s="41">
        <f t="shared" si="13"/>
        <v>0</v>
      </c>
    </row>
    <row r="150" spans="1:17" s="7" customFormat="1" ht="15" customHeight="1" x14ac:dyDescent="0.25">
      <c r="A150" s="2">
        <f t="shared" si="14"/>
        <v>146</v>
      </c>
      <c r="B150" s="10"/>
      <c r="C150" s="11"/>
      <c r="D150" s="12"/>
      <c r="E150" s="13"/>
      <c r="F150" s="13"/>
      <c r="G150" s="10"/>
      <c r="H150" s="10"/>
      <c r="I150" s="10">
        <f t="shared" si="1"/>
        <v>0</v>
      </c>
      <c r="K150" s="2"/>
      <c r="L150" s="14"/>
      <c r="M150" s="14"/>
      <c r="N150" s="15">
        <f t="shared" si="2"/>
        <v>0</v>
      </c>
      <c r="O150" s="41">
        <f t="shared" si="11"/>
        <v>0</v>
      </c>
      <c r="P150" s="41">
        <f t="shared" si="12"/>
        <v>0</v>
      </c>
      <c r="Q150" s="41">
        <f t="shared" si="13"/>
        <v>0</v>
      </c>
    </row>
    <row r="151" spans="1:17" s="7" customFormat="1" ht="15" customHeight="1" x14ac:dyDescent="0.25">
      <c r="A151" s="2">
        <f t="shared" si="14"/>
        <v>147</v>
      </c>
      <c r="B151" s="10"/>
      <c r="C151" s="11"/>
      <c r="D151" s="12"/>
      <c r="E151" s="13"/>
      <c r="F151" s="13"/>
      <c r="G151" s="10"/>
      <c r="H151" s="10"/>
      <c r="I151" s="10">
        <f t="shared" si="1"/>
        <v>0</v>
      </c>
      <c r="K151" s="2"/>
      <c r="L151" s="14"/>
      <c r="M151" s="14"/>
      <c r="N151" s="15">
        <f t="shared" si="2"/>
        <v>0</v>
      </c>
      <c r="O151" s="41">
        <f t="shared" si="11"/>
        <v>0</v>
      </c>
      <c r="P151" s="41">
        <f t="shared" si="12"/>
        <v>0</v>
      </c>
      <c r="Q151" s="41">
        <f t="shared" si="13"/>
        <v>0</v>
      </c>
    </row>
    <row r="152" spans="1:17" s="7" customFormat="1" ht="15" customHeight="1" x14ac:dyDescent="0.25">
      <c r="A152" s="2">
        <f t="shared" si="14"/>
        <v>148</v>
      </c>
      <c r="B152" s="10"/>
      <c r="C152" s="11"/>
      <c r="D152" s="12"/>
      <c r="E152" s="13"/>
      <c r="F152" s="13"/>
      <c r="G152" s="10"/>
      <c r="H152" s="10"/>
      <c r="I152" s="10">
        <f t="shared" si="1"/>
        <v>0</v>
      </c>
      <c r="K152" s="2"/>
      <c r="L152" s="14"/>
      <c r="M152" s="14"/>
      <c r="N152" s="15">
        <f t="shared" si="2"/>
        <v>0</v>
      </c>
      <c r="O152" s="41">
        <f t="shared" si="11"/>
        <v>0</v>
      </c>
      <c r="P152" s="41">
        <f t="shared" si="12"/>
        <v>0</v>
      </c>
      <c r="Q152" s="41">
        <f t="shared" si="13"/>
        <v>0</v>
      </c>
    </row>
    <row r="153" spans="1:17" s="7" customFormat="1" ht="15" customHeight="1" x14ac:dyDescent="0.25">
      <c r="A153" s="2">
        <f t="shared" si="14"/>
        <v>149</v>
      </c>
      <c r="B153" s="10"/>
      <c r="C153" s="11"/>
      <c r="D153" s="12"/>
      <c r="E153" s="13"/>
      <c r="F153" s="13"/>
      <c r="G153" s="10"/>
      <c r="H153" s="10"/>
      <c r="I153" s="10">
        <f t="shared" si="1"/>
        <v>0</v>
      </c>
      <c r="K153" s="2"/>
      <c r="L153" s="14"/>
      <c r="M153" s="14"/>
      <c r="N153" s="15">
        <f t="shared" si="2"/>
        <v>0</v>
      </c>
      <c r="O153" s="41">
        <f t="shared" si="11"/>
        <v>0</v>
      </c>
      <c r="P153" s="41">
        <f t="shared" si="12"/>
        <v>0</v>
      </c>
      <c r="Q153" s="41">
        <f t="shared" si="13"/>
        <v>0</v>
      </c>
    </row>
    <row r="154" spans="1:17" s="7" customFormat="1" ht="15" customHeight="1" x14ac:dyDescent="0.25">
      <c r="A154" s="2">
        <f t="shared" si="14"/>
        <v>150</v>
      </c>
      <c r="B154" s="10"/>
      <c r="C154" s="11"/>
      <c r="D154" s="12"/>
      <c r="E154" s="13"/>
      <c r="F154" s="13"/>
      <c r="G154" s="10"/>
      <c r="H154" s="10"/>
      <c r="I154" s="10">
        <f t="shared" si="1"/>
        <v>0</v>
      </c>
      <c r="K154" s="2"/>
      <c r="L154" s="14"/>
      <c r="M154" s="14"/>
      <c r="N154" s="15">
        <f t="shared" si="2"/>
        <v>0</v>
      </c>
      <c r="O154" s="41">
        <f t="shared" si="11"/>
        <v>0</v>
      </c>
      <c r="P154" s="41">
        <f t="shared" si="12"/>
        <v>0</v>
      </c>
      <c r="Q154" s="41">
        <f t="shared" si="13"/>
        <v>0</v>
      </c>
    </row>
    <row r="155" spans="1:17" s="7" customFormat="1" ht="15" customHeight="1" x14ac:dyDescent="0.25">
      <c r="A155" s="2">
        <f t="shared" si="14"/>
        <v>151</v>
      </c>
      <c r="B155" s="10"/>
      <c r="C155" s="11"/>
      <c r="D155" s="12"/>
      <c r="E155" s="13"/>
      <c r="F155" s="13"/>
      <c r="G155" s="10"/>
      <c r="H155" s="10"/>
      <c r="I155" s="10">
        <f t="shared" si="1"/>
        <v>0</v>
      </c>
      <c r="K155" s="2"/>
      <c r="L155" s="14"/>
      <c r="M155" s="14"/>
      <c r="N155" s="15">
        <f t="shared" si="2"/>
        <v>0</v>
      </c>
      <c r="O155" s="41">
        <f t="shared" si="11"/>
        <v>0</v>
      </c>
      <c r="P155" s="41">
        <f t="shared" si="12"/>
        <v>0</v>
      </c>
      <c r="Q155" s="41">
        <f t="shared" si="13"/>
        <v>0</v>
      </c>
    </row>
    <row r="156" spans="1:17" s="7" customFormat="1" ht="15" customHeight="1" x14ac:dyDescent="0.25">
      <c r="A156" s="2">
        <f t="shared" si="14"/>
        <v>152</v>
      </c>
      <c r="B156" s="10"/>
      <c r="C156" s="11"/>
      <c r="D156" s="12"/>
      <c r="E156" s="13"/>
      <c r="F156" s="13"/>
      <c r="G156" s="10"/>
      <c r="H156" s="10"/>
      <c r="I156" s="10">
        <f t="shared" si="1"/>
        <v>0</v>
      </c>
      <c r="K156" s="2"/>
      <c r="L156" s="14"/>
      <c r="M156" s="14"/>
      <c r="N156" s="15">
        <f t="shared" si="2"/>
        <v>0</v>
      </c>
      <c r="O156" s="41">
        <f t="shared" si="11"/>
        <v>0</v>
      </c>
      <c r="P156" s="41">
        <f t="shared" si="12"/>
        <v>0</v>
      </c>
      <c r="Q156" s="41">
        <f t="shared" si="13"/>
        <v>0</v>
      </c>
    </row>
    <row r="157" spans="1:17" s="7" customFormat="1" ht="15" customHeight="1" x14ac:dyDescent="0.25">
      <c r="A157" s="2">
        <f t="shared" si="14"/>
        <v>153</v>
      </c>
      <c r="B157" s="10"/>
      <c r="C157" s="11"/>
      <c r="D157" s="12"/>
      <c r="E157" s="13"/>
      <c r="F157" s="13"/>
      <c r="G157" s="10"/>
      <c r="H157" s="10"/>
      <c r="I157" s="10">
        <f t="shared" si="1"/>
        <v>0</v>
      </c>
      <c r="K157" s="2"/>
      <c r="L157" s="14"/>
      <c r="M157" s="14"/>
      <c r="N157" s="15">
        <f t="shared" si="2"/>
        <v>0</v>
      </c>
      <c r="O157" s="41">
        <f t="shared" si="11"/>
        <v>0</v>
      </c>
      <c r="P157" s="41">
        <f t="shared" si="12"/>
        <v>0</v>
      </c>
      <c r="Q157" s="41">
        <f t="shared" si="13"/>
        <v>0</v>
      </c>
    </row>
    <row r="158" spans="1:17" s="7" customFormat="1" ht="15" customHeight="1" x14ac:dyDescent="0.25">
      <c r="A158" s="2">
        <f t="shared" si="14"/>
        <v>154</v>
      </c>
      <c r="B158" s="10"/>
      <c r="C158" s="11"/>
      <c r="D158" s="12"/>
      <c r="E158" s="13"/>
      <c r="F158" s="13"/>
      <c r="G158" s="10"/>
      <c r="H158" s="10"/>
      <c r="I158" s="10">
        <f t="shared" si="1"/>
        <v>0</v>
      </c>
      <c r="K158" s="2"/>
      <c r="L158" s="14"/>
      <c r="M158" s="14"/>
      <c r="N158" s="15">
        <f t="shared" si="2"/>
        <v>0</v>
      </c>
      <c r="O158" s="41">
        <f t="shared" si="11"/>
        <v>0</v>
      </c>
      <c r="P158" s="41">
        <f t="shared" si="12"/>
        <v>0</v>
      </c>
      <c r="Q158" s="41">
        <f t="shared" si="13"/>
        <v>0</v>
      </c>
    </row>
    <row r="159" spans="1:17" s="7" customFormat="1" ht="15" customHeight="1" x14ac:dyDescent="0.25">
      <c r="A159" s="2">
        <f t="shared" si="14"/>
        <v>155</v>
      </c>
      <c r="B159" s="10"/>
      <c r="C159" s="11"/>
      <c r="D159" s="12"/>
      <c r="E159" s="13"/>
      <c r="F159" s="13"/>
      <c r="G159" s="10"/>
      <c r="H159" s="10"/>
      <c r="I159" s="10">
        <f t="shared" si="1"/>
        <v>0</v>
      </c>
      <c r="K159" s="2"/>
      <c r="L159" s="14"/>
      <c r="M159" s="14"/>
      <c r="N159" s="15">
        <f t="shared" si="2"/>
        <v>0</v>
      </c>
      <c r="O159" s="41">
        <f t="shared" si="11"/>
        <v>0</v>
      </c>
      <c r="P159" s="41">
        <f t="shared" si="12"/>
        <v>0</v>
      </c>
      <c r="Q159" s="41">
        <f t="shared" si="13"/>
        <v>0</v>
      </c>
    </row>
    <row r="160" spans="1:17" s="7" customFormat="1" ht="15" customHeight="1" x14ac:dyDescent="0.25">
      <c r="A160" s="2">
        <f t="shared" si="14"/>
        <v>156</v>
      </c>
      <c r="B160" s="10"/>
      <c r="C160" s="11"/>
      <c r="D160" s="12"/>
      <c r="E160" s="13"/>
      <c r="F160" s="13"/>
      <c r="G160" s="10"/>
      <c r="H160" s="10"/>
      <c r="I160" s="10">
        <f t="shared" si="1"/>
        <v>0</v>
      </c>
      <c r="K160" s="2"/>
      <c r="L160" s="14"/>
      <c r="M160" s="14"/>
      <c r="N160" s="15">
        <f t="shared" si="2"/>
        <v>0</v>
      </c>
      <c r="O160" s="41">
        <f t="shared" si="11"/>
        <v>0</v>
      </c>
      <c r="P160" s="41">
        <f t="shared" si="12"/>
        <v>0</v>
      </c>
      <c r="Q160" s="41">
        <f t="shared" si="13"/>
        <v>0</v>
      </c>
    </row>
    <row r="161" spans="1:17" s="7" customFormat="1" ht="15" customHeight="1" x14ac:dyDescent="0.25">
      <c r="A161" s="2">
        <f t="shared" si="14"/>
        <v>157</v>
      </c>
      <c r="B161" s="10"/>
      <c r="C161" s="11"/>
      <c r="D161" s="12"/>
      <c r="E161" s="13"/>
      <c r="F161" s="13"/>
      <c r="G161" s="10"/>
      <c r="H161" s="10"/>
      <c r="I161" s="10">
        <f t="shared" si="1"/>
        <v>0</v>
      </c>
      <c r="K161" s="2"/>
      <c r="L161" s="14"/>
      <c r="M161" s="14"/>
      <c r="N161" s="15">
        <f t="shared" si="2"/>
        <v>0</v>
      </c>
      <c r="O161" s="41">
        <f t="shared" si="11"/>
        <v>0</v>
      </c>
      <c r="P161" s="41">
        <f t="shared" si="12"/>
        <v>0</v>
      </c>
      <c r="Q161" s="41">
        <f t="shared" si="13"/>
        <v>0</v>
      </c>
    </row>
    <row r="162" spans="1:17" s="7" customFormat="1" ht="15" customHeight="1" x14ac:dyDescent="0.25">
      <c r="A162" s="2">
        <f t="shared" si="14"/>
        <v>158</v>
      </c>
      <c r="B162" s="10"/>
      <c r="C162" s="11"/>
      <c r="D162" s="12"/>
      <c r="E162" s="13"/>
      <c r="F162" s="13"/>
      <c r="G162" s="10"/>
      <c r="H162" s="10"/>
      <c r="I162" s="10">
        <f t="shared" si="1"/>
        <v>0</v>
      </c>
      <c r="K162" s="2"/>
      <c r="L162" s="14"/>
      <c r="M162" s="14"/>
      <c r="N162" s="15">
        <f t="shared" si="2"/>
        <v>0</v>
      </c>
      <c r="O162" s="41">
        <f t="shared" si="11"/>
        <v>0</v>
      </c>
      <c r="P162" s="41">
        <f t="shared" si="12"/>
        <v>0</v>
      </c>
      <c r="Q162" s="41">
        <f t="shared" si="13"/>
        <v>0</v>
      </c>
    </row>
    <row r="163" spans="1:17" s="7" customFormat="1" ht="15" customHeight="1" x14ac:dyDescent="0.25">
      <c r="A163" s="2">
        <f t="shared" si="14"/>
        <v>159</v>
      </c>
      <c r="B163" s="10"/>
      <c r="C163" s="11"/>
      <c r="D163" s="12"/>
      <c r="E163" s="13"/>
      <c r="F163" s="13"/>
      <c r="G163" s="10"/>
      <c r="H163" s="10"/>
      <c r="I163" s="10">
        <f t="shared" si="1"/>
        <v>0</v>
      </c>
      <c r="K163" s="2"/>
      <c r="L163" s="14"/>
      <c r="M163" s="14"/>
      <c r="N163" s="15">
        <f t="shared" si="2"/>
        <v>0</v>
      </c>
      <c r="O163" s="41">
        <f t="shared" si="11"/>
        <v>0</v>
      </c>
      <c r="P163" s="41">
        <f t="shared" si="12"/>
        <v>0</v>
      </c>
      <c r="Q163" s="41">
        <f t="shared" si="13"/>
        <v>0</v>
      </c>
    </row>
    <row r="164" spans="1:17" s="7" customFormat="1" ht="15" customHeight="1" x14ac:dyDescent="0.25">
      <c r="A164" s="2">
        <f t="shared" si="14"/>
        <v>160</v>
      </c>
      <c r="B164" s="10"/>
      <c r="C164" s="11"/>
      <c r="D164" s="12"/>
      <c r="E164" s="13"/>
      <c r="F164" s="13"/>
      <c r="G164" s="10"/>
      <c r="H164" s="10"/>
      <c r="I164" s="10">
        <f t="shared" si="1"/>
        <v>0</v>
      </c>
      <c r="K164" s="2"/>
      <c r="L164" s="14"/>
      <c r="M164" s="14"/>
      <c r="N164" s="15">
        <f t="shared" si="2"/>
        <v>0</v>
      </c>
      <c r="O164" s="41">
        <f t="shared" si="11"/>
        <v>0</v>
      </c>
      <c r="P164" s="41">
        <f t="shared" si="12"/>
        <v>0</v>
      </c>
      <c r="Q164" s="41">
        <f t="shared" si="13"/>
        <v>0</v>
      </c>
    </row>
    <row r="165" spans="1:17" s="7" customFormat="1" ht="15" customHeight="1" x14ac:dyDescent="0.25">
      <c r="A165" s="2">
        <f t="shared" si="14"/>
        <v>161</v>
      </c>
      <c r="B165" s="10"/>
      <c r="C165" s="11"/>
      <c r="D165" s="12"/>
      <c r="E165" s="13"/>
      <c r="F165" s="13"/>
      <c r="G165" s="10"/>
      <c r="H165" s="10"/>
      <c r="I165" s="10">
        <f t="shared" si="1"/>
        <v>0</v>
      </c>
      <c r="K165" s="2"/>
      <c r="L165" s="14"/>
      <c r="M165" s="14"/>
      <c r="N165" s="15">
        <f t="shared" si="2"/>
        <v>0</v>
      </c>
      <c r="O165" s="41">
        <f t="shared" si="11"/>
        <v>0</v>
      </c>
      <c r="P165" s="41">
        <f t="shared" si="12"/>
        <v>0</v>
      </c>
      <c r="Q165" s="41">
        <f t="shared" si="13"/>
        <v>0</v>
      </c>
    </row>
    <row r="166" spans="1:17" s="7" customFormat="1" ht="15" customHeight="1" x14ac:dyDescent="0.25">
      <c r="A166" s="2">
        <f t="shared" si="14"/>
        <v>162</v>
      </c>
      <c r="B166" s="10"/>
      <c r="C166" s="11"/>
      <c r="D166" s="12"/>
      <c r="E166" s="13"/>
      <c r="F166" s="13"/>
      <c r="G166" s="10"/>
      <c r="H166" s="10"/>
      <c r="I166" s="10">
        <f t="shared" si="1"/>
        <v>0</v>
      </c>
      <c r="K166" s="2"/>
      <c r="L166" s="14"/>
      <c r="M166" s="14"/>
      <c r="N166" s="15">
        <f t="shared" si="2"/>
        <v>0</v>
      </c>
      <c r="O166" s="41">
        <f t="shared" si="11"/>
        <v>0</v>
      </c>
      <c r="P166" s="41">
        <f t="shared" si="12"/>
        <v>0</v>
      </c>
      <c r="Q166" s="41">
        <f t="shared" si="13"/>
        <v>0</v>
      </c>
    </row>
    <row r="167" spans="1:17" s="7" customFormat="1" ht="15" customHeight="1" x14ac:dyDescent="0.25">
      <c r="A167" s="2">
        <f t="shared" si="14"/>
        <v>163</v>
      </c>
      <c r="B167" s="10"/>
      <c r="C167" s="11"/>
      <c r="D167" s="12"/>
      <c r="E167" s="13"/>
      <c r="F167" s="13"/>
      <c r="G167" s="10"/>
      <c r="H167" s="10"/>
      <c r="I167" s="10">
        <f t="shared" si="1"/>
        <v>0</v>
      </c>
      <c r="K167" s="2"/>
      <c r="L167" s="14"/>
      <c r="M167" s="14"/>
      <c r="N167" s="15">
        <f t="shared" si="2"/>
        <v>0</v>
      </c>
      <c r="O167" s="41">
        <f t="shared" si="11"/>
        <v>0</v>
      </c>
      <c r="P167" s="41">
        <f t="shared" si="12"/>
        <v>0</v>
      </c>
      <c r="Q167" s="41">
        <f t="shared" si="13"/>
        <v>0</v>
      </c>
    </row>
    <row r="168" spans="1:17" s="7" customFormat="1" ht="15" customHeight="1" x14ac:dyDescent="0.25">
      <c r="A168" s="2">
        <f t="shared" si="14"/>
        <v>164</v>
      </c>
      <c r="B168" s="10"/>
      <c r="C168" s="11"/>
      <c r="D168" s="12"/>
      <c r="E168" s="13"/>
      <c r="F168" s="13"/>
      <c r="G168" s="10"/>
      <c r="H168" s="10"/>
      <c r="I168" s="10">
        <f t="shared" si="1"/>
        <v>0</v>
      </c>
      <c r="K168" s="2"/>
      <c r="L168" s="14"/>
      <c r="M168" s="14"/>
      <c r="N168" s="15">
        <f t="shared" si="2"/>
        <v>0</v>
      </c>
      <c r="O168" s="41">
        <f t="shared" si="11"/>
        <v>0</v>
      </c>
      <c r="P168" s="41">
        <f t="shared" si="12"/>
        <v>0</v>
      </c>
      <c r="Q168" s="41">
        <f t="shared" si="13"/>
        <v>0</v>
      </c>
    </row>
    <row r="169" spans="1:17" s="7" customFormat="1" ht="15" customHeight="1" x14ac:dyDescent="0.25">
      <c r="A169" s="2">
        <f t="shared" si="14"/>
        <v>165</v>
      </c>
      <c r="B169" s="10"/>
      <c r="C169" s="11"/>
      <c r="D169" s="12"/>
      <c r="E169" s="13"/>
      <c r="F169" s="13"/>
      <c r="G169" s="10"/>
      <c r="H169" s="10"/>
      <c r="I169" s="10">
        <f t="shared" si="1"/>
        <v>0</v>
      </c>
      <c r="K169" s="2"/>
      <c r="L169" s="14"/>
      <c r="M169" s="14"/>
      <c r="N169" s="15">
        <f t="shared" si="2"/>
        <v>0</v>
      </c>
      <c r="O169" s="41">
        <f t="shared" si="11"/>
        <v>0</v>
      </c>
      <c r="P169" s="41">
        <f t="shared" si="12"/>
        <v>0</v>
      </c>
      <c r="Q169" s="41">
        <f t="shared" si="13"/>
        <v>0</v>
      </c>
    </row>
    <row r="170" spans="1:17" s="7" customFormat="1" ht="15" customHeight="1" x14ac:dyDescent="0.25">
      <c r="A170" s="2">
        <f t="shared" si="14"/>
        <v>166</v>
      </c>
      <c r="B170" s="10"/>
      <c r="C170" s="11"/>
      <c r="D170" s="12"/>
      <c r="E170" s="13"/>
      <c r="F170" s="13"/>
      <c r="G170" s="10"/>
      <c r="H170" s="10"/>
      <c r="I170" s="10">
        <f t="shared" si="1"/>
        <v>0</v>
      </c>
      <c r="K170" s="2"/>
      <c r="L170" s="14"/>
      <c r="M170" s="14"/>
      <c r="N170" s="15">
        <f t="shared" si="2"/>
        <v>0</v>
      </c>
      <c r="O170" s="41">
        <f t="shared" si="11"/>
        <v>0</v>
      </c>
      <c r="P170" s="41">
        <f t="shared" si="12"/>
        <v>0</v>
      </c>
      <c r="Q170" s="41">
        <f t="shared" si="13"/>
        <v>0</v>
      </c>
    </row>
    <row r="171" spans="1:17" s="7" customFormat="1" ht="15" customHeight="1" x14ac:dyDescent="0.25">
      <c r="A171" s="2">
        <f t="shared" si="14"/>
        <v>167</v>
      </c>
      <c r="B171" s="10"/>
      <c r="C171" s="11"/>
      <c r="D171" s="12"/>
      <c r="E171" s="13"/>
      <c r="F171" s="13"/>
      <c r="G171" s="10"/>
      <c r="H171" s="10"/>
      <c r="I171" s="10">
        <f t="shared" si="1"/>
        <v>0</v>
      </c>
      <c r="K171" s="2"/>
      <c r="L171" s="14"/>
      <c r="M171" s="14"/>
      <c r="N171" s="15">
        <f t="shared" si="2"/>
        <v>0</v>
      </c>
      <c r="O171" s="41">
        <f t="shared" si="11"/>
        <v>0</v>
      </c>
      <c r="P171" s="41">
        <f t="shared" si="12"/>
        <v>0</v>
      </c>
      <c r="Q171" s="41">
        <f t="shared" si="13"/>
        <v>0</v>
      </c>
    </row>
    <row r="172" spans="1:17" s="7" customFormat="1" ht="15" customHeight="1" x14ac:dyDescent="0.25">
      <c r="A172" s="2">
        <f t="shared" si="14"/>
        <v>168</v>
      </c>
      <c r="B172" s="10"/>
      <c r="C172" s="11"/>
      <c r="D172" s="12"/>
      <c r="E172" s="13"/>
      <c r="F172" s="13"/>
      <c r="G172" s="10"/>
      <c r="H172" s="10"/>
      <c r="I172" s="10">
        <f t="shared" si="1"/>
        <v>0</v>
      </c>
      <c r="K172" s="2"/>
      <c r="L172" s="14"/>
      <c r="M172" s="14"/>
      <c r="N172" s="15">
        <f t="shared" si="2"/>
        <v>0</v>
      </c>
      <c r="O172" s="41">
        <f t="shared" si="11"/>
        <v>0</v>
      </c>
      <c r="P172" s="41">
        <f t="shared" si="12"/>
        <v>0</v>
      </c>
      <c r="Q172" s="41">
        <f t="shared" si="13"/>
        <v>0</v>
      </c>
    </row>
    <row r="173" spans="1:17" s="7" customFormat="1" ht="15" customHeight="1" x14ac:dyDescent="0.25">
      <c r="A173" s="2">
        <f t="shared" si="14"/>
        <v>169</v>
      </c>
      <c r="B173" s="10"/>
      <c r="C173" s="11"/>
      <c r="D173" s="12"/>
      <c r="E173" s="13"/>
      <c r="F173" s="13"/>
      <c r="G173" s="10"/>
      <c r="H173" s="10"/>
      <c r="I173" s="10">
        <f t="shared" si="1"/>
        <v>0</v>
      </c>
      <c r="K173" s="2"/>
      <c r="L173" s="14"/>
      <c r="M173" s="14"/>
      <c r="N173" s="15">
        <f t="shared" si="2"/>
        <v>0</v>
      </c>
      <c r="O173" s="41">
        <f t="shared" si="11"/>
        <v>0</v>
      </c>
      <c r="P173" s="41">
        <f t="shared" si="12"/>
        <v>0</v>
      </c>
      <c r="Q173" s="41">
        <f t="shared" si="13"/>
        <v>0</v>
      </c>
    </row>
    <row r="174" spans="1:17" s="7" customFormat="1" ht="15" customHeight="1" x14ac:dyDescent="0.25">
      <c r="A174" s="2">
        <f t="shared" si="14"/>
        <v>170</v>
      </c>
      <c r="B174" s="10"/>
      <c r="C174" s="11"/>
      <c r="D174" s="12"/>
      <c r="E174" s="13"/>
      <c r="F174" s="13"/>
      <c r="G174" s="10"/>
      <c r="H174" s="10"/>
      <c r="I174" s="10">
        <f t="shared" si="1"/>
        <v>0</v>
      </c>
      <c r="K174" s="2"/>
      <c r="L174" s="14"/>
      <c r="M174" s="14"/>
      <c r="N174" s="15">
        <f t="shared" si="2"/>
        <v>0</v>
      </c>
      <c r="O174" s="41">
        <f t="shared" si="11"/>
        <v>0</v>
      </c>
      <c r="P174" s="41">
        <f t="shared" si="12"/>
        <v>0</v>
      </c>
      <c r="Q174" s="41">
        <f t="shared" si="13"/>
        <v>0</v>
      </c>
    </row>
    <row r="175" spans="1:17" s="7" customFormat="1" ht="15" customHeight="1" x14ac:dyDescent="0.25">
      <c r="A175" s="2">
        <f t="shared" si="14"/>
        <v>171</v>
      </c>
      <c r="B175" s="10"/>
      <c r="C175" s="11"/>
      <c r="D175" s="12"/>
      <c r="E175" s="13"/>
      <c r="F175" s="13"/>
      <c r="G175" s="10"/>
      <c r="H175" s="10"/>
      <c r="I175" s="10">
        <f t="shared" si="1"/>
        <v>0</v>
      </c>
      <c r="K175" s="2"/>
      <c r="L175" s="14"/>
      <c r="M175" s="14"/>
      <c r="N175" s="15">
        <f t="shared" si="2"/>
        <v>0</v>
      </c>
      <c r="O175" s="41">
        <f t="shared" si="11"/>
        <v>0</v>
      </c>
      <c r="P175" s="41">
        <f t="shared" si="12"/>
        <v>0</v>
      </c>
      <c r="Q175" s="41">
        <f t="shared" si="13"/>
        <v>0</v>
      </c>
    </row>
    <row r="176" spans="1:17" s="7" customFormat="1" ht="15" customHeight="1" x14ac:dyDescent="0.25">
      <c r="A176" s="2">
        <f t="shared" si="14"/>
        <v>172</v>
      </c>
      <c r="B176" s="10"/>
      <c r="C176" s="11"/>
      <c r="D176" s="12"/>
      <c r="E176" s="13"/>
      <c r="F176" s="13"/>
      <c r="G176" s="10"/>
      <c r="H176" s="10"/>
      <c r="I176" s="10">
        <f t="shared" si="1"/>
        <v>0</v>
      </c>
      <c r="K176" s="2"/>
      <c r="L176" s="14"/>
      <c r="M176" s="14"/>
      <c r="N176" s="15">
        <f t="shared" si="2"/>
        <v>0</v>
      </c>
      <c r="O176" s="41">
        <f t="shared" si="11"/>
        <v>0</v>
      </c>
      <c r="P176" s="41">
        <f t="shared" si="12"/>
        <v>0</v>
      </c>
      <c r="Q176" s="41">
        <f t="shared" si="13"/>
        <v>0</v>
      </c>
    </row>
    <row r="177" spans="1:17" s="7" customFormat="1" ht="15" customHeight="1" x14ac:dyDescent="0.25">
      <c r="A177" s="2">
        <f t="shared" si="14"/>
        <v>173</v>
      </c>
      <c r="B177" s="10"/>
      <c r="C177" s="11"/>
      <c r="D177" s="12"/>
      <c r="E177" s="13"/>
      <c r="F177" s="13"/>
      <c r="G177" s="10"/>
      <c r="H177" s="10"/>
      <c r="I177" s="10">
        <f t="shared" si="1"/>
        <v>0</v>
      </c>
      <c r="K177" s="2"/>
      <c r="L177" s="14"/>
      <c r="M177" s="14"/>
      <c r="N177" s="15">
        <f t="shared" si="2"/>
        <v>0</v>
      </c>
      <c r="O177" s="41">
        <f t="shared" si="11"/>
        <v>0</v>
      </c>
      <c r="P177" s="41">
        <f t="shared" si="12"/>
        <v>0</v>
      </c>
      <c r="Q177" s="41">
        <f t="shared" si="13"/>
        <v>0</v>
      </c>
    </row>
    <row r="178" spans="1:17" s="7" customFormat="1" ht="15" customHeight="1" x14ac:dyDescent="0.25">
      <c r="A178" s="2">
        <f t="shared" si="14"/>
        <v>174</v>
      </c>
      <c r="B178" s="10"/>
      <c r="C178" s="11"/>
      <c r="D178" s="12"/>
      <c r="E178" s="13"/>
      <c r="F178" s="13"/>
      <c r="G178" s="10"/>
      <c r="H178" s="10"/>
      <c r="I178" s="10">
        <f t="shared" si="1"/>
        <v>0</v>
      </c>
      <c r="K178" s="2"/>
      <c r="L178" s="14"/>
      <c r="M178" s="14"/>
      <c r="N178" s="15">
        <f t="shared" si="2"/>
        <v>0</v>
      </c>
      <c r="O178" s="41">
        <f t="shared" si="11"/>
        <v>0</v>
      </c>
      <c r="P178" s="41">
        <f t="shared" si="12"/>
        <v>0</v>
      </c>
      <c r="Q178" s="41">
        <f t="shared" si="13"/>
        <v>0</v>
      </c>
    </row>
    <row r="179" spans="1:17" s="7" customFormat="1" ht="15" customHeight="1" x14ac:dyDescent="0.25">
      <c r="A179" s="2">
        <f t="shared" si="14"/>
        <v>175</v>
      </c>
      <c r="B179" s="10"/>
      <c r="C179" s="11"/>
      <c r="D179" s="12"/>
      <c r="E179" s="13"/>
      <c r="F179" s="13"/>
      <c r="G179" s="10"/>
      <c r="H179" s="10"/>
      <c r="I179" s="10">
        <f t="shared" si="1"/>
        <v>0</v>
      </c>
      <c r="K179" s="2"/>
      <c r="L179" s="14"/>
      <c r="M179" s="14"/>
      <c r="N179" s="15">
        <f t="shared" si="2"/>
        <v>0</v>
      </c>
      <c r="O179" s="41">
        <f t="shared" si="11"/>
        <v>0</v>
      </c>
      <c r="P179" s="41">
        <f t="shared" si="12"/>
        <v>0</v>
      </c>
      <c r="Q179" s="41">
        <f t="shared" si="13"/>
        <v>0</v>
      </c>
    </row>
    <row r="180" spans="1:17" s="7" customFormat="1" ht="15" customHeight="1" x14ac:dyDescent="0.25">
      <c r="A180" s="2">
        <f t="shared" si="14"/>
        <v>176</v>
      </c>
      <c r="B180" s="10"/>
      <c r="C180" s="11"/>
      <c r="D180" s="12"/>
      <c r="E180" s="13"/>
      <c r="F180" s="13"/>
      <c r="G180" s="10"/>
      <c r="H180" s="10"/>
      <c r="I180" s="10">
        <f t="shared" si="1"/>
        <v>0</v>
      </c>
      <c r="K180" s="2"/>
      <c r="L180" s="14"/>
      <c r="M180" s="14"/>
      <c r="N180" s="15">
        <f t="shared" si="2"/>
        <v>0</v>
      </c>
      <c r="O180" s="41">
        <f t="shared" si="11"/>
        <v>0</v>
      </c>
      <c r="P180" s="41">
        <f t="shared" si="12"/>
        <v>0</v>
      </c>
      <c r="Q180" s="41">
        <f t="shared" si="13"/>
        <v>0</v>
      </c>
    </row>
    <row r="181" spans="1:17" s="7" customFormat="1" ht="15" customHeight="1" x14ac:dyDescent="0.25">
      <c r="A181" s="2">
        <f t="shared" si="14"/>
        <v>177</v>
      </c>
      <c r="B181" s="10"/>
      <c r="C181" s="11"/>
      <c r="D181" s="12"/>
      <c r="E181" s="13"/>
      <c r="F181" s="13"/>
      <c r="G181" s="10"/>
      <c r="H181" s="10"/>
      <c r="I181" s="10">
        <f t="shared" si="1"/>
        <v>0</v>
      </c>
      <c r="K181" s="2"/>
      <c r="L181" s="14"/>
      <c r="M181" s="14"/>
      <c r="N181" s="15">
        <f t="shared" si="2"/>
        <v>0</v>
      </c>
      <c r="O181" s="41">
        <f t="shared" si="11"/>
        <v>0</v>
      </c>
      <c r="P181" s="41">
        <f t="shared" si="12"/>
        <v>0</v>
      </c>
      <c r="Q181" s="41">
        <f t="shared" si="13"/>
        <v>0</v>
      </c>
    </row>
    <row r="182" spans="1:17" s="7" customFormat="1" ht="15" customHeight="1" x14ac:dyDescent="0.25">
      <c r="A182" s="2">
        <f t="shared" si="14"/>
        <v>178</v>
      </c>
      <c r="B182" s="10"/>
      <c r="C182" s="11"/>
      <c r="D182" s="12"/>
      <c r="E182" s="13"/>
      <c r="F182" s="13"/>
      <c r="G182" s="10"/>
      <c r="H182" s="10"/>
      <c r="I182" s="10">
        <f t="shared" si="1"/>
        <v>0</v>
      </c>
      <c r="K182" s="2"/>
      <c r="L182" s="14"/>
      <c r="M182" s="14"/>
      <c r="N182" s="15">
        <f t="shared" si="2"/>
        <v>0</v>
      </c>
      <c r="O182" s="41">
        <f t="shared" si="11"/>
        <v>0</v>
      </c>
      <c r="P182" s="41">
        <f t="shared" si="12"/>
        <v>0</v>
      </c>
      <c r="Q182" s="41">
        <f t="shared" si="13"/>
        <v>0</v>
      </c>
    </row>
    <row r="183" spans="1:17" s="7" customFormat="1" ht="15" customHeight="1" x14ac:dyDescent="0.25">
      <c r="A183" s="2">
        <f t="shared" si="14"/>
        <v>179</v>
      </c>
      <c r="B183" s="10"/>
      <c r="C183" s="11"/>
      <c r="D183" s="12"/>
      <c r="E183" s="13"/>
      <c r="F183" s="13"/>
      <c r="G183" s="10"/>
      <c r="H183" s="10"/>
      <c r="I183" s="10">
        <f t="shared" si="1"/>
        <v>0</v>
      </c>
      <c r="K183" s="2"/>
      <c r="L183" s="14"/>
      <c r="M183" s="14"/>
      <c r="N183" s="15">
        <f t="shared" si="2"/>
        <v>0</v>
      </c>
      <c r="O183" s="41">
        <f t="shared" si="11"/>
        <v>0</v>
      </c>
      <c r="P183" s="41">
        <f t="shared" si="12"/>
        <v>0</v>
      </c>
      <c r="Q183" s="41">
        <f t="shared" si="13"/>
        <v>0</v>
      </c>
    </row>
    <row r="184" spans="1:17" s="7" customFormat="1" ht="15" customHeight="1" x14ac:dyDescent="0.25">
      <c r="A184" s="2">
        <f t="shared" si="14"/>
        <v>180</v>
      </c>
      <c r="B184" s="10"/>
      <c r="C184" s="11"/>
      <c r="D184" s="12"/>
      <c r="E184" s="13"/>
      <c r="F184" s="13"/>
      <c r="G184" s="10"/>
      <c r="H184" s="10"/>
      <c r="I184" s="10">
        <f t="shared" si="1"/>
        <v>0</v>
      </c>
      <c r="K184" s="2"/>
      <c r="L184" s="14"/>
      <c r="M184" s="14"/>
      <c r="N184" s="15">
        <f t="shared" si="2"/>
        <v>0</v>
      </c>
      <c r="O184" s="41">
        <f t="shared" si="11"/>
        <v>0</v>
      </c>
      <c r="P184" s="41">
        <f t="shared" si="12"/>
        <v>0</v>
      </c>
      <c r="Q184" s="41">
        <f t="shared" si="13"/>
        <v>0</v>
      </c>
    </row>
    <row r="185" spans="1:17" s="7" customFormat="1" ht="15" customHeight="1" x14ac:dyDescent="0.25">
      <c r="A185" s="2">
        <f t="shared" si="14"/>
        <v>181</v>
      </c>
      <c r="B185" s="10"/>
      <c r="C185" s="11"/>
      <c r="D185" s="12"/>
      <c r="E185" s="13"/>
      <c r="F185" s="13"/>
      <c r="G185" s="10"/>
      <c r="H185" s="10"/>
      <c r="I185" s="10">
        <f t="shared" si="1"/>
        <v>0</v>
      </c>
      <c r="K185" s="2"/>
      <c r="L185" s="14"/>
      <c r="M185" s="14"/>
      <c r="N185" s="15">
        <f t="shared" si="2"/>
        <v>0</v>
      </c>
      <c r="O185" s="41">
        <f t="shared" si="11"/>
        <v>0</v>
      </c>
      <c r="P185" s="41">
        <f t="shared" si="12"/>
        <v>0</v>
      </c>
      <c r="Q185" s="41">
        <f t="shared" si="13"/>
        <v>0</v>
      </c>
    </row>
    <row r="186" spans="1:17" s="7" customFormat="1" ht="15" customHeight="1" x14ac:dyDescent="0.25">
      <c r="A186" s="2">
        <f t="shared" si="14"/>
        <v>182</v>
      </c>
      <c r="B186" s="10"/>
      <c r="C186" s="11"/>
      <c r="D186" s="12"/>
      <c r="E186" s="13"/>
      <c r="F186" s="13"/>
      <c r="G186" s="10"/>
      <c r="H186" s="10"/>
      <c r="I186" s="10">
        <f t="shared" si="1"/>
        <v>0</v>
      </c>
      <c r="K186" s="2"/>
      <c r="L186" s="14"/>
      <c r="M186" s="14"/>
      <c r="N186" s="15">
        <f t="shared" si="2"/>
        <v>0</v>
      </c>
      <c r="O186" s="41">
        <f t="shared" si="11"/>
        <v>0</v>
      </c>
      <c r="P186" s="41">
        <f t="shared" si="12"/>
        <v>0</v>
      </c>
      <c r="Q186" s="41">
        <f t="shared" si="13"/>
        <v>0</v>
      </c>
    </row>
    <row r="187" spans="1:17" s="7" customFormat="1" ht="15" customHeight="1" x14ac:dyDescent="0.25">
      <c r="A187" s="2">
        <f t="shared" si="14"/>
        <v>183</v>
      </c>
      <c r="B187" s="10"/>
      <c r="C187" s="11"/>
      <c r="D187" s="12"/>
      <c r="E187" s="13"/>
      <c r="F187" s="13"/>
      <c r="G187" s="10"/>
      <c r="H187" s="10"/>
      <c r="I187" s="10">
        <f t="shared" si="1"/>
        <v>0</v>
      </c>
      <c r="K187" s="2"/>
      <c r="L187" s="14"/>
      <c r="M187" s="14"/>
      <c r="N187" s="15">
        <f t="shared" si="2"/>
        <v>0</v>
      </c>
      <c r="O187" s="41">
        <f t="shared" si="11"/>
        <v>0</v>
      </c>
      <c r="P187" s="41">
        <f t="shared" si="12"/>
        <v>0</v>
      </c>
      <c r="Q187" s="41">
        <f t="shared" si="13"/>
        <v>0</v>
      </c>
    </row>
    <row r="188" spans="1:17" s="7" customFormat="1" ht="15" customHeight="1" x14ac:dyDescent="0.25">
      <c r="A188" s="2">
        <f t="shared" si="14"/>
        <v>184</v>
      </c>
      <c r="B188" s="10"/>
      <c r="C188" s="11"/>
      <c r="D188" s="12"/>
      <c r="E188" s="13"/>
      <c r="F188" s="13"/>
      <c r="G188" s="10"/>
      <c r="H188" s="10"/>
      <c r="I188" s="10">
        <f t="shared" si="1"/>
        <v>0</v>
      </c>
      <c r="K188" s="2"/>
      <c r="L188" s="14"/>
      <c r="M188" s="14"/>
      <c r="N188" s="15">
        <f t="shared" si="2"/>
        <v>0</v>
      </c>
      <c r="O188" s="41">
        <f t="shared" si="11"/>
        <v>0</v>
      </c>
      <c r="P188" s="41">
        <f t="shared" si="12"/>
        <v>0</v>
      </c>
      <c r="Q188" s="41">
        <f t="shared" si="13"/>
        <v>0</v>
      </c>
    </row>
    <row r="189" spans="1:17" s="7" customFormat="1" ht="15" customHeight="1" x14ac:dyDescent="0.25">
      <c r="A189" s="2">
        <f t="shared" si="14"/>
        <v>185</v>
      </c>
      <c r="B189" s="10"/>
      <c r="C189" s="11"/>
      <c r="D189" s="12"/>
      <c r="E189" s="13"/>
      <c r="F189" s="13"/>
      <c r="G189" s="10"/>
      <c r="H189" s="10"/>
      <c r="I189" s="10">
        <f t="shared" si="1"/>
        <v>0</v>
      </c>
      <c r="K189" s="2"/>
      <c r="L189" s="14"/>
      <c r="M189" s="14"/>
      <c r="N189" s="15">
        <f t="shared" si="2"/>
        <v>0</v>
      </c>
      <c r="O189" s="41">
        <f t="shared" si="11"/>
        <v>0</v>
      </c>
      <c r="P189" s="41">
        <f t="shared" si="12"/>
        <v>0</v>
      </c>
      <c r="Q189" s="41">
        <f t="shared" si="13"/>
        <v>0</v>
      </c>
    </row>
    <row r="190" spans="1:17" s="7" customFormat="1" ht="15" customHeight="1" x14ac:dyDescent="0.25">
      <c r="A190" s="2">
        <f t="shared" si="14"/>
        <v>186</v>
      </c>
      <c r="B190" s="10"/>
      <c r="C190" s="11"/>
      <c r="D190" s="12"/>
      <c r="E190" s="13"/>
      <c r="F190" s="13"/>
      <c r="G190" s="10"/>
      <c r="H190" s="10"/>
      <c r="I190" s="10">
        <f t="shared" si="1"/>
        <v>0</v>
      </c>
      <c r="K190" s="2"/>
      <c r="L190" s="14"/>
      <c r="M190" s="14"/>
      <c r="N190" s="15">
        <f t="shared" si="2"/>
        <v>0</v>
      </c>
      <c r="O190" s="41">
        <f t="shared" si="11"/>
        <v>0</v>
      </c>
      <c r="P190" s="41">
        <f t="shared" si="12"/>
        <v>0</v>
      </c>
      <c r="Q190" s="41">
        <f t="shared" si="13"/>
        <v>0</v>
      </c>
    </row>
    <row r="191" spans="1:17" s="7" customFormat="1" ht="15" customHeight="1" x14ac:dyDescent="0.25">
      <c r="A191" s="2">
        <f t="shared" si="14"/>
        <v>187</v>
      </c>
      <c r="B191" s="10"/>
      <c r="C191" s="11"/>
      <c r="D191" s="12"/>
      <c r="E191" s="13"/>
      <c r="F191" s="13"/>
      <c r="G191" s="10"/>
      <c r="H191" s="10"/>
      <c r="I191" s="10">
        <f t="shared" si="1"/>
        <v>0</v>
      </c>
      <c r="K191" s="2"/>
      <c r="L191" s="14"/>
      <c r="M191" s="14"/>
      <c r="N191" s="15">
        <f t="shared" si="2"/>
        <v>0</v>
      </c>
      <c r="O191" s="41">
        <f t="shared" si="11"/>
        <v>0</v>
      </c>
      <c r="P191" s="41">
        <f t="shared" si="12"/>
        <v>0</v>
      </c>
      <c r="Q191" s="41">
        <f t="shared" si="13"/>
        <v>0</v>
      </c>
    </row>
    <row r="192" spans="1:17" s="7" customFormat="1" ht="15" customHeight="1" x14ac:dyDescent="0.25">
      <c r="A192" s="2">
        <f t="shared" si="14"/>
        <v>188</v>
      </c>
      <c r="B192" s="10"/>
      <c r="C192" s="11"/>
      <c r="D192" s="12"/>
      <c r="E192" s="13"/>
      <c r="F192" s="13"/>
      <c r="G192" s="10"/>
      <c r="H192" s="10"/>
      <c r="I192" s="10">
        <f t="shared" si="1"/>
        <v>0</v>
      </c>
      <c r="K192" s="2"/>
      <c r="L192" s="14"/>
      <c r="M192" s="14"/>
      <c r="N192" s="15">
        <f t="shared" si="2"/>
        <v>0</v>
      </c>
      <c r="O192" s="41">
        <f t="shared" si="11"/>
        <v>0</v>
      </c>
      <c r="P192" s="41">
        <f t="shared" si="12"/>
        <v>0</v>
      </c>
      <c r="Q192" s="41">
        <f t="shared" si="13"/>
        <v>0</v>
      </c>
    </row>
    <row r="193" spans="1:17" s="7" customFormat="1" ht="15" customHeight="1" x14ac:dyDescent="0.25">
      <c r="A193" s="2">
        <f t="shared" si="14"/>
        <v>189</v>
      </c>
      <c r="B193" s="10"/>
      <c r="C193" s="11"/>
      <c r="D193" s="12"/>
      <c r="E193" s="13"/>
      <c r="F193" s="13"/>
      <c r="G193" s="10"/>
      <c r="H193" s="10"/>
      <c r="I193" s="10">
        <f t="shared" si="1"/>
        <v>0</v>
      </c>
      <c r="K193" s="2"/>
      <c r="L193" s="14"/>
      <c r="M193" s="14"/>
      <c r="N193" s="15">
        <f t="shared" si="2"/>
        <v>0</v>
      </c>
      <c r="O193" s="41">
        <f t="shared" si="11"/>
        <v>0</v>
      </c>
      <c r="P193" s="41">
        <f t="shared" si="12"/>
        <v>0</v>
      </c>
      <c r="Q193" s="41">
        <f t="shared" si="13"/>
        <v>0</v>
      </c>
    </row>
    <row r="194" spans="1:17" s="7" customFormat="1" ht="15" customHeight="1" x14ac:dyDescent="0.25">
      <c r="A194" s="2">
        <f t="shared" si="14"/>
        <v>190</v>
      </c>
      <c r="B194" s="10"/>
      <c r="C194" s="11"/>
      <c r="D194" s="12"/>
      <c r="E194" s="13"/>
      <c r="F194" s="13"/>
      <c r="G194" s="10"/>
      <c r="H194" s="10"/>
      <c r="I194" s="10">
        <f t="shared" si="1"/>
        <v>0</v>
      </c>
      <c r="K194" s="2"/>
      <c r="L194" s="14"/>
      <c r="M194" s="14"/>
      <c r="N194" s="15">
        <f t="shared" si="2"/>
        <v>0</v>
      </c>
      <c r="O194" s="41">
        <f t="shared" si="11"/>
        <v>0</v>
      </c>
      <c r="P194" s="41">
        <f t="shared" si="12"/>
        <v>0</v>
      </c>
      <c r="Q194" s="41">
        <f t="shared" si="13"/>
        <v>0</v>
      </c>
    </row>
    <row r="195" spans="1:17" s="7" customFormat="1" ht="15" customHeight="1" x14ac:dyDescent="0.25">
      <c r="A195" s="2">
        <f t="shared" si="14"/>
        <v>191</v>
      </c>
      <c r="B195" s="10"/>
      <c r="C195" s="11"/>
      <c r="D195" s="12"/>
      <c r="E195" s="13"/>
      <c r="F195" s="13"/>
      <c r="G195" s="10"/>
      <c r="H195" s="10"/>
      <c r="I195" s="10">
        <f t="shared" si="1"/>
        <v>0</v>
      </c>
      <c r="K195" s="2"/>
      <c r="L195" s="14"/>
      <c r="M195" s="14"/>
      <c r="N195" s="15">
        <f t="shared" si="2"/>
        <v>0</v>
      </c>
      <c r="O195" s="41">
        <f t="shared" si="11"/>
        <v>0</v>
      </c>
      <c r="P195" s="41">
        <f t="shared" si="12"/>
        <v>0</v>
      </c>
      <c r="Q195" s="41">
        <f t="shared" si="13"/>
        <v>0</v>
      </c>
    </row>
    <row r="196" spans="1:17" s="7" customFormat="1" ht="15" customHeight="1" x14ac:dyDescent="0.25">
      <c r="A196" s="2">
        <f t="shared" si="14"/>
        <v>192</v>
      </c>
      <c r="B196" s="10"/>
      <c r="C196" s="11"/>
      <c r="D196" s="12"/>
      <c r="E196" s="13"/>
      <c r="F196" s="13"/>
      <c r="G196" s="10"/>
      <c r="H196" s="10"/>
      <c r="I196" s="10">
        <f t="shared" si="1"/>
        <v>0</v>
      </c>
      <c r="K196" s="2"/>
      <c r="L196" s="14"/>
      <c r="M196" s="14"/>
      <c r="N196" s="15">
        <f t="shared" si="2"/>
        <v>0</v>
      </c>
      <c r="O196" s="41">
        <f t="shared" si="11"/>
        <v>0</v>
      </c>
      <c r="P196" s="41">
        <f t="shared" si="12"/>
        <v>0</v>
      </c>
      <c r="Q196" s="41">
        <f t="shared" si="13"/>
        <v>0</v>
      </c>
    </row>
    <row r="197" spans="1:17" s="7" customFormat="1" ht="15" customHeight="1" x14ac:dyDescent="0.25">
      <c r="A197" s="2">
        <f t="shared" si="14"/>
        <v>193</v>
      </c>
      <c r="B197" s="10"/>
      <c r="C197" s="11"/>
      <c r="D197" s="12"/>
      <c r="E197" s="13"/>
      <c r="F197" s="13"/>
      <c r="G197" s="10"/>
      <c r="H197" s="10"/>
      <c r="I197" s="10">
        <f t="shared" si="1"/>
        <v>0</v>
      </c>
      <c r="K197" s="2"/>
      <c r="L197" s="14"/>
      <c r="M197" s="14"/>
      <c r="N197" s="15">
        <f t="shared" si="2"/>
        <v>0</v>
      </c>
      <c r="O197" s="41">
        <f t="shared" si="11"/>
        <v>0</v>
      </c>
      <c r="P197" s="41">
        <f t="shared" si="12"/>
        <v>0</v>
      </c>
      <c r="Q197" s="41">
        <f t="shared" si="13"/>
        <v>0</v>
      </c>
    </row>
    <row r="198" spans="1:17" s="7" customFormat="1" ht="15" customHeight="1" x14ac:dyDescent="0.25">
      <c r="A198" s="2">
        <f t="shared" si="14"/>
        <v>194</v>
      </c>
      <c r="B198" s="10"/>
      <c r="C198" s="11"/>
      <c r="D198" s="12"/>
      <c r="E198" s="13"/>
      <c r="F198" s="13"/>
      <c r="G198" s="10"/>
      <c r="H198" s="10"/>
      <c r="I198" s="10">
        <f t="shared" si="1"/>
        <v>0</v>
      </c>
      <c r="K198" s="2"/>
      <c r="L198" s="14"/>
      <c r="M198" s="14"/>
      <c r="N198" s="15">
        <f t="shared" si="2"/>
        <v>0</v>
      </c>
      <c r="O198" s="41">
        <f t="shared" ref="O198:O204" si="15">G198-L198</f>
        <v>0</v>
      </c>
      <c r="P198" s="41">
        <f t="shared" ref="P198:P204" si="16">H198-M198</f>
        <v>0</v>
      </c>
      <c r="Q198" s="41">
        <f t="shared" ref="Q198:Q204" si="17">I198-N198</f>
        <v>0</v>
      </c>
    </row>
    <row r="199" spans="1:17" s="7" customFormat="1" ht="15" customHeight="1" x14ac:dyDescent="0.25">
      <c r="A199" s="2">
        <f t="shared" ref="A199:A204" si="18">A198+1</f>
        <v>195</v>
      </c>
      <c r="B199" s="10"/>
      <c r="C199" s="11"/>
      <c r="D199" s="12"/>
      <c r="E199" s="13"/>
      <c r="F199" s="13"/>
      <c r="G199" s="10"/>
      <c r="H199" s="10"/>
      <c r="I199" s="10">
        <f t="shared" si="1"/>
        <v>0</v>
      </c>
      <c r="K199" s="2"/>
      <c r="L199" s="14"/>
      <c r="M199" s="14"/>
      <c r="N199" s="15">
        <f t="shared" si="2"/>
        <v>0</v>
      </c>
      <c r="O199" s="41">
        <f t="shared" si="15"/>
        <v>0</v>
      </c>
      <c r="P199" s="41">
        <f t="shared" si="16"/>
        <v>0</v>
      </c>
      <c r="Q199" s="41">
        <f t="shared" si="17"/>
        <v>0</v>
      </c>
    </row>
    <row r="200" spans="1:17" s="7" customFormat="1" ht="15" customHeight="1" x14ac:dyDescent="0.25">
      <c r="A200" s="2">
        <f t="shared" si="18"/>
        <v>196</v>
      </c>
      <c r="B200" s="10"/>
      <c r="C200" s="11"/>
      <c r="D200" s="12"/>
      <c r="E200" s="13"/>
      <c r="F200" s="13"/>
      <c r="G200" s="10"/>
      <c r="H200" s="10"/>
      <c r="I200" s="10">
        <f t="shared" si="1"/>
        <v>0</v>
      </c>
      <c r="K200" s="2"/>
      <c r="L200" s="14"/>
      <c r="M200" s="14"/>
      <c r="N200" s="15">
        <f t="shared" si="2"/>
        <v>0</v>
      </c>
      <c r="O200" s="41">
        <f t="shared" si="15"/>
        <v>0</v>
      </c>
      <c r="P200" s="41">
        <f t="shared" si="16"/>
        <v>0</v>
      </c>
      <c r="Q200" s="41">
        <f t="shared" si="17"/>
        <v>0</v>
      </c>
    </row>
    <row r="201" spans="1:17" s="7" customFormat="1" ht="15" customHeight="1" x14ac:dyDescent="0.25">
      <c r="A201" s="2">
        <f t="shared" si="18"/>
        <v>197</v>
      </c>
      <c r="B201" s="10"/>
      <c r="C201" s="11"/>
      <c r="D201" s="12"/>
      <c r="E201" s="13"/>
      <c r="F201" s="13"/>
      <c r="G201" s="10"/>
      <c r="H201" s="10"/>
      <c r="I201" s="10">
        <f t="shared" si="1"/>
        <v>0</v>
      </c>
      <c r="K201" s="2"/>
      <c r="L201" s="14"/>
      <c r="M201" s="14"/>
      <c r="N201" s="15">
        <f t="shared" si="2"/>
        <v>0</v>
      </c>
      <c r="O201" s="41">
        <f t="shared" si="15"/>
        <v>0</v>
      </c>
      <c r="P201" s="41">
        <f t="shared" si="16"/>
        <v>0</v>
      </c>
      <c r="Q201" s="41">
        <f t="shared" si="17"/>
        <v>0</v>
      </c>
    </row>
    <row r="202" spans="1:17" s="7" customFormat="1" ht="15" customHeight="1" x14ac:dyDescent="0.25">
      <c r="A202" s="2">
        <f t="shared" si="18"/>
        <v>198</v>
      </c>
      <c r="B202" s="10"/>
      <c r="C202" s="11"/>
      <c r="D202" s="12"/>
      <c r="E202" s="13"/>
      <c r="F202" s="13"/>
      <c r="G202" s="10"/>
      <c r="H202" s="10"/>
      <c r="I202" s="10">
        <f t="shared" si="1"/>
        <v>0</v>
      </c>
      <c r="K202" s="2"/>
      <c r="L202" s="14"/>
      <c r="M202" s="14"/>
      <c r="N202" s="15">
        <f t="shared" si="2"/>
        <v>0</v>
      </c>
      <c r="O202" s="41">
        <f t="shared" si="15"/>
        <v>0</v>
      </c>
      <c r="P202" s="41">
        <f t="shared" si="16"/>
        <v>0</v>
      </c>
      <c r="Q202" s="41">
        <f t="shared" si="17"/>
        <v>0</v>
      </c>
    </row>
    <row r="203" spans="1:17" s="7" customFormat="1" ht="15" customHeight="1" x14ac:dyDescent="0.25">
      <c r="A203" s="2">
        <f t="shared" si="18"/>
        <v>199</v>
      </c>
      <c r="B203" s="10"/>
      <c r="C203" s="11"/>
      <c r="D203" s="12"/>
      <c r="E203" s="13"/>
      <c r="F203" s="13"/>
      <c r="G203" s="10"/>
      <c r="H203" s="10"/>
      <c r="I203" s="10">
        <f t="shared" si="1"/>
        <v>0</v>
      </c>
      <c r="K203" s="2"/>
      <c r="L203" s="14"/>
      <c r="M203" s="14"/>
      <c r="N203" s="15">
        <f t="shared" si="2"/>
        <v>0</v>
      </c>
      <c r="O203" s="41">
        <f t="shared" si="15"/>
        <v>0</v>
      </c>
      <c r="P203" s="41">
        <f t="shared" si="16"/>
        <v>0</v>
      </c>
      <c r="Q203" s="41">
        <f t="shared" si="17"/>
        <v>0</v>
      </c>
    </row>
    <row r="204" spans="1:17" s="7" customFormat="1" ht="15" customHeight="1" x14ac:dyDescent="0.25">
      <c r="A204" s="2">
        <f t="shared" si="18"/>
        <v>200</v>
      </c>
      <c r="B204" s="10"/>
      <c r="C204" s="11"/>
      <c r="D204" s="12"/>
      <c r="E204" s="13"/>
      <c r="F204" s="13"/>
      <c r="G204" s="10"/>
      <c r="H204" s="10"/>
      <c r="I204" s="10">
        <f t="shared" si="1"/>
        <v>0</v>
      </c>
      <c r="K204" s="2"/>
      <c r="L204" s="14"/>
      <c r="M204" s="14"/>
      <c r="N204" s="15">
        <f t="shared" si="2"/>
        <v>0</v>
      </c>
      <c r="O204" s="41">
        <f t="shared" si="15"/>
        <v>0</v>
      </c>
      <c r="P204" s="41">
        <f t="shared" si="16"/>
        <v>0</v>
      </c>
      <c r="Q204" s="41">
        <f t="shared" si="17"/>
        <v>0</v>
      </c>
    </row>
    <row r="205" spans="1:17" s="7" customFormat="1" ht="15" customHeight="1" x14ac:dyDescent="0.25">
      <c r="B205" s="29"/>
      <c r="C205" s="30"/>
      <c r="D205" s="31"/>
      <c r="E205" s="32"/>
      <c r="F205" s="32"/>
      <c r="G205" s="29"/>
      <c r="H205" s="33"/>
      <c r="I205" s="33"/>
      <c r="L205" s="34"/>
      <c r="M205" s="35"/>
      <c r="N205" s="36"/>
    </row>
    <row r="206" spans="1:17" s="7" customFormat="1" ht="15" customHeight="1" x14ac:dyDescent="0.25">
      <c r="G206" s="6" t="s">
        <v>9</v>
      </c>
      <c r="H206" s="6">
        <f>COUNTIF(I5:I204,"&gt;0")</f>
        <v>0</v>
      </c>
      <c r="I206" s="24">
        <f>SUM(I5:I204)/1000</f>
        <v>0</v>
      </c>
      <c r="M206" s="6" t="s">
        <v>9</v>
      </c>
      <c r="N206" s="24">
        <f>SUM(N5:N204)/1000</f>
        <v>0</v>
      </c>
      <c r="P206" s="17" t="s">
        <v>12</v>
      </c>
      <c r="Q206" s="25">
        <f>I206-N206</f>
        <v>0</v>
      </c>
    </row>
    <row r="207" spans="1:17" s="7" customFormat="1" ht="15" customHeight="1" x14ac:dyDescent="0.25">
      <c r="H207" s="27"/>
      <c r="I207" s="28"/>
      <c r="Q207" s="44" t="e">
        <f>Q206/N206</f>
        <v>#DIV/0!</v>
      </c>
    </row>
    <row r="208" spans="1:17" s="7" customFormat="1" ht="15" customHeight="1" x14ac:dyDescent="0.25"/>
    <row r="209" spans="1:9" s="7" customFormat="1" ht="15" customHeight="1" x14ac:dyDescent="0.25">
      <c r="A209" s="45" t="s">
        <v>11</v>
      </c>
      <c r="B209" s="45"/>
      <c r="C209" s="45"/>
      <c r="D209" s="38"/>
      <c r="E209" s="38"/>
      <c r="F209" s="38"/>
      <c r="G209" s="45" t="s">
        <v>10</v>
      </c>
      <c r="H209" s="45"/>
      <c r="I209" s="45"/>
    </row>
    <row r="210" spans="1:9" s="7" customFormat="1" ht="15" customHeight="1" x14ac:dyDescent="0.25">
      <c r="A210" s="45" t="s">
        <v>22</v>
      </c>
      <c r="B210" s="45"/>
      <c r="C210" s="45"/>
      <c r="D210" s="38"/>
      <c r="E210" s="38"/>
      <c r="F210" s="38"/>
      <c r="G210" s="45" t="s">
        <v>23</v>
      </c>
      <c r="H210" s="45"/>
      <c r="I210" s="45"/>
    </row>
    <row r="211" spans="1:9" s="7" customFormat="1" ht="15" customHeight="1" x14ac:dyDescent="0.25">
      <c r="A211" s="38"/>
      <c r="B211" s="38"/>
      <c r="C211" s="38"/>
      <c r="D211" s="38"/>
      <c r="E211" s="38"/>
      <c r="F211" s="38"/>
      <c r="G211" s="38"/>
      <c r="H211" s="38"/>
      <c r="I211" s="38"/>
    </row>
    <row r="212" spans="1:9" s="7" customFormat="1" ht="15" customHeight="1" x14ac:dyDescent="0.25">
      <c r="A212" s="8"/>
      <c r="B212" s="8"/>
      <c r="C212" s="38"/>
      <c r="D212" s="38"/>
      <c r="E212" s="38"/>
      <c r="F212" s="38"/>
      <c r="G212" s="38"/>
      <c r="H212" s="8"/>
      <c r="I212" s="8"/>
    </row>
    <row r="213" spans="1:9" ht="1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</row>
    <row r="214" spans="1:9" ht="1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</row>
    <row r="215" spans="1:9" ht="12.95" customHeight="1" x14ac:dyDescent="0.2">
      <c r="A215" s="46" t="s">
        <v>16</v>
      </c>
      <c r="B215" s="46"/>
      <c r="C215" s="46"/>
      <c r="D215" s="9"/>
      <c r="E215" s="9"/>
      <c r="F215" s="9"/>
      <c r="G215" s="39"/>
      <c r="H215" s="39" t="s">
        <v>19</v>
      </c>
      <c r="I215" s="26"/>
    </row>
    <row r="216" spans="1:9" ht="12.95" customHeight="1" x14ac:dyDescent="0.2">
      <c r="A216" s="47" t="s">
        <v>17</v>
      </c>
      <c r="B216" s="47"/>
      <c r="C216" s="47"/>
      <c r="D216" s="9"/>
      <c r="E216" s="9"/>
      <c r="F216" s="9"/>
      <c r="G216" s="40"/>
      <c r="H216" s="40" t="s">
        <v>20</v>
      </c>
      <c r="I216" s="26"/>
    </row>
    <row r="217" spans="1:9" ht="15" customHeight="1" x14ac:dyDescent="0.2"/>
    <row r="218" spans="1:9" ht="15" customHeight="1" x14ac:dyDescent="0.2"/>
    <row r="219" spans="1:9" ht="15" customHeight="1" x14ac:dyDescent="0.2"/>
    <row r="220" spans="1:9" ht="15" customHeight="1" x14ac:dyDescent="0.2"/>
    <row r="221" spans="1:9" ht="15" customHeight="1" x14ac:dyDescent="0.2"/>
    <row r="222" spans="1:9" ht="15" customHeight="1" x14ac:dyDescent="0.2"/>
    <row r="223" spans="1:9" ht="15" customHeight="1" x14ac:dyDescent="0.2"/>
    <row r="224" spans="1:9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40" ht="15" customHeight="1" x14ac:dyDescent="0.2"/>
    <row r="241" ht="15" customHeight="1" x14ac:dyDescent="0.2"/>
    <row r="247" ht="11.25" customHeight="1" x14ac:dyDescent="0.2"/>
    <row r="256" ht="11.25" customHeight="1" x14ac:dyDescent="0.2"/>
  </sheetData>
  <mergeCells count="10">
    <mergeCell ref="A210:C210"/>
    <mergeCell ref="G210:I210"/>
    <mergeCell ref="A215:C215"/>
    <mergeCell ref="A216:C216"/>
    <mergeCell ref="L1:N1"/>
    <mergeCell ref="A2:I2"/>
    <mergeCell ref="K2:N2"/>
    <mergeCell ref="L3:N3"/>
    <mergeCell ref="A209:C209"/>
    <mergeCell ref="G209:I209"/>
  </mergeCells>
  <conditionalFormatting sqref="B272">
    <cfRule type="expression" dxfId="153" priority="62" stopIfTrue="1">
      <formula>$A272="Visa"</formula>
    </cfRule>
  </conditionalFormatting>
  <conditionalFormatting sqref="B278">
    <cfRule type="expression" dxfId="152" priority="53" stopIfTrue="1">
      <formula>$A278="Visa"</formula>
    </cfRule>
  </conditionalFormatting>
  <conditionalFormatting sqref="B310">
    <cfRule type="expression" dxfId="151" priority="69" stopIfTrue="1">
      <formula>$A310="Visa"</formula>
    </cfRule>
  </conditionalFormatting>
  <conditionalFormatting sqref="C5:C15 C17:C208">
    <cfRule type="expression" dxfId="150" priority="76" stopIfTrue="1">
      <formula>$B5="Visa"</formula>
    </cfRule>
  </conditionalFormatting>
  <conditionalFormatting sqref="C5:C19">
    <cfRule type="expression" dxfId="149" priority="78" stopIfTrue="1">
      <formula>$B5="Visa"</formula>
    </cfRule>
  </conditionalFormatting>
  <conditionalFormatting sqref="C5:C208 C217:C233">
    <cfRule type="expression" dxfId="148" priority="15" stopIfTrue="1">
      <formula>$B5="Visa"</formula>
    </cfRule>
  </conditionalFormatting>
  <conditionalFormatting sqref="C5:C208">
    <cfRule type="expression" dxfId="147" priority="7" stopIfTrue="1">
      <formula>$B5="Visa"</formula>
    </cfRule>
    <cfRule type="expression" dxfId="146" priority="38" stopIfTrue="1">
      <formula>$B5="Visa"</formula>
    </cfRule>
    <cfRule type="expression" dxfId="145" priority="61" stopIfTrue="1">
      <formula>$B5="Visa"</formula>
    </cfRule>
  </conditionalFormatting>
  <conditionalFormatting sqref="C13:C15">
    <cfRule type="expression" dxfId="144" priority="37" stopIfTrue="1">
      <formula>$B12="Visa"</formula>
    </cfRule>
    <cfRule type="expression" dxfId="143" priority="75" stopIfTrue="1">
      <formula>$B12="Visa"</formula>
    </cfRule>
  </conditionalFormatting>
  <conditionalFormatting sqref="C13:C20">
    <cfRule type="expression" dxfId="142" priority="6" stopIfTrue="1">
      <formula>$B12="Visa"</formula>
    </cfRule>
    <cfRule type="expression" dxfId="141" priority="60" stopIfTrue="1">
      <formula>$B12="Visa"</formula>
    </cfRule>
  </conditionalFormatting>
  <conditionalFormatting sqref="C13:C201 C203:C208">
    <cfRule type="expression" dxfId="140" priority="77" stopIfTrue="1">
      <formula>$B12="Visa"</formula>
    </cfRule>
  </conditionalFormatting>
  <conditionalFormatting sqref="C17">
    <cfRule type="expression" dxfId="139" priority="34" stopIfTrue="1">
      <formula>$B15="Visa"</formula>
    </cfRule>
    <cfRule type="expression" dxfId="138" priority="74" stopIfTrue="1">
      <formula>$B15="Visa"</formula>
    </cfRule>
  </conditionalFormatting>
  <conditionalFormatting sqref="C21">
    <cfRule type="expression" dxfId="137" priority="12" stopIfTrue="1">
      <formula>#REF!="Visa"</formula>
    </cfRule>
  </conditionalFormatting>
  <conditionalFormatting sqref="C202">
    <cfRule type="expression" dxfId="136" priority="79" stopIfTrue="1">
      <formula>$B29="Visa"</formula>
    </cfRule>
  </conditionalFormatting>
  <conditionalFormatting sqref="C209:C214">
    <cfRule type="expression" dxfId="135" priority="1" stopIfTrue="1">
      <formula>$B209="Visa"</formula>
    </cfRule>
    <cfRule type="expression" dxfId="134" priority="5" stopIfTrue="1">
      <formula>$B208="Visa"</formula>
    </cfRule>
  </conditionalFormatting>
  <conditionalFormatting sqref="C217:C218 C220:C221 C12:C20">
    <cfRule type="expression" dxfId="133" priority="14" stopIfTrue="1">
      <formula>$B11="Visa"</formula>
    </cfRule>
  </conditionalFormatting>
  <conditionalFormatting sqref="C217:C219">
    <cfRule type="expression" dxfId="132" priority="19" stopIfTrue="1">
      <formula>$B216="Visa"</formula>
    </cfRule>
    <cfRule type="expression" dxfId="131" priority="20" stopIfTrue="1">
      <formula>$B217="Visa"</formula>
    </cfRule>
  </conditionalFormatting>
  <conditionalFormatting sqref="C217:C220 C222:C223">
    <cfRule type="expression" dxfId="130" priority="10" stopIfTrue="1">
      <formula>$B216="Visa"</formula>
    </cfRule>
    <cfRule type="expression" dxfId="129" priority="17" stopIfTrue="1">
      <formula>$B216="Visa"</formula>
    </cfRule>
    <cfRule type="expression" dxfId="128" priority="23" stopIfTrue="1">
      <formula>$B216="Visa"</formula>
    </cfRule>
    <cfRule type="expression" dxfId="127" priority="40" stopIfTrue="1">
      <formula>$B216="Visa"</formula>
    </cfRule>
  </conditionalFormatting>
  <conditionalFormatting sqref="C217:C224">
    <cfRule type="expression" dxfId="126" priority="18" stopIfTrue="1">
      <formula>$B217="Visa"</formula>
    </cfRule>
  </conditionalFormatting>
  <conditionalFormatting sqref="C217:C225">
    <cfRule type="expression" dxfId="125" priority="45" stopIfTrue="1">
      <formula>$B216="Visa"</formula>
    </cfRule>
    <cfRule type="expression" dxfId="124" priority="46" stopIfTrue="1">
      <formula>$B217="Visa"</formula>
    </cfRule>
  </conditionalFormatting>
  <conditionalFormatting sqref="C217:C230 C232:C243">
    <cfRule type="expression" dxfId="123" priority="27" stopIfTrue="1">
      <formula>$B216="Visa"</formula>
    </cfRule>
  </conditionalFormatting>
  <conditionalFormatting sqref="C217:C232">
    <cfRule type="expression" dxfId="122" priority="41" stopIfTrue="1">
      <formula>$B217="Visa"</formula>
    </cfRule>
  </conditionalFormatting>
  <conditionalFormatting sqref="C217:C233 C235:C247 C249:C250">
    <cfRule type="expression" dxfId="121" priority="32" stopIfTrue="1">
      <formula>$B216="Visa"</formula>
    </cfRule>
  </conditionalFormatting>
  <conditionalFormatting sqref="C217:C233 C272:C273">
    <cfRule type="expression" dxfId="120" priority="57" stopIfTrue="1">
      <formula>$B216="Visa"</formula>
    </cfRule>
  </conditionalFormatting>
  <conditionalFormatting sqref="C217:C233">
    <cfRule type="expression" dxfId="119" priority="49" stopIfTrue="1">
      <formula>$B216="Visa"</formula>
    </cfRule>
    <cfRule type="expression" dxfId="118" priority="71" stopIfTrue="1">
      <formula>$B216="Visa"</formula>
    </cfRule>
  </conditionalFormatting>
  <conditionalFormatting sqref="C217:C234">
    <cfRule type="expression" dxfId="117" priority="65" stopIfTrue="1">
      <formula>$B216="Visa"</formula>
    </cfRule>
  </conditionalFormatting>
  <conditionalFormatting sqref="C217:C235">
    <cfRule type="expression" dxfId="116" priority="11" stopIfTrue="1">
      <formula>$B217="Visa"</formula>
    </cfRule>
  </conditionalFormatting>
  <conditionalFormatting sqref="C217:C244">
    <cfRule type="expression" dxfId="115" priority="28" stopIfTrue="1">
      <formula>$B217="Visa"</formula>
    </cfRule>
  </conditionalFormatting>
  <conditionalFormatting sqref="C217:C245">
    <cfRule type="expression" dxfId="114" priority="24" stopIfTrue="1">
      <formula>$B217="Visa"</formula>
    </cfRule>
  </conditionalFormatting>
  <conditionalFormatting sqref="C217:C257">
    <cfRule type="expression" dxfId="113" priority="43" stopIfTrue="1">
      <formula>$B216="Visa"</formula>
    </cfRule>
  </conditionalFormatting>
  <conditionalFormatting sqref="C217:C258">
    <cfRule type="expression" dxfId="112" priority="44" stopIfTrue="1">
      <formula>$B217="Visa"</formula>
    </cfRule>
  </conditionalFormatting>
  <conditionalFormatting sqref="C217:C259">
    <cfRule type="expression" dxfId="111" priority="51" stopIfTrue="1">
      <formula>$B216="Visa"</formula>
    </cfRule>
  </conditionalFormatting>
  <conditionalFormatting sqref="C217:C260">
    <cfRule type="expression" dxfId="110" priority="52" stopIfTrue="1">
      <formula>$B217="Visa"</formula>
    </cfRule>
  </conditionalFormatting>
  <conditionalFormatting sqref="C217:C262">
    <cfRule type="expression" dxfId="109" priority="33" stopIfTrue="1">
      <formula>$B217="Visa"</formula>
    </cfRule>
  </conditionalFormatting>
  <conditionalFormatting sqref="C217:C271">
    <cfRule type="expression" dxfId="108" priority="67" stopIfTrue="1">
      <formula>$B217="Visa"</formula>
    </cfRule>
  </conditionalFormatting>
  <conditionalFormatting sqref="C217:C277">
    <cfRule type="expression" dxfId="107" priority="59" stopIfTrue="1">
      <formula>$B217="Visa"</formula>
    </cfRule>
  </conditionalFormatting>
  <conditionalFormatting sqref="C217:C289">
    <cfRule type="expression" dxfId="106" priority="73" stopIfTrue="1">
      <formula>$B217="Visa"</formula>
    </cfRule>
  </conditionalFormatting>
  <conditionalFormatting sqref="C219">
    <cfRule type="expression" dxfId="105" priority="13" stopIfTrue="1">
      <formula>$B16="Visa"</formula>
    </cfRule>
  </conditionalFormatting>
  <conditionalFormatting sqref="C221">
    <cfRule type="expression" dxfId="104" priority="9" stopIfTrue="1">
      <formula>$B17="Visa"</formula>
    </cfRule>
    <cfRule type="expression" dxfId="103" priority="16" stopIfTrue="1">
      <formula>$B17="Visa"</formula>
    </cfRule>
    <cfRule type="expression" dxfId="102" priority="22" stopIfTrue="1">
      <formula>$B17="Visa"</formula>
    </cfRule>
    <cfRule type="expression" dxfId="101" priority="39" stopIfTrue="1">
      <formula>$B17="Visa"</formula>
    </cfRule>
  </conditionalFormatting>
  <conditionalFormatting sqref="C231">
    <cfRule type="expression" dxfId="100" priority="25" stopIfTrue="1">
      <formula>$B207="Visa"</formula>
    </cfRule>
  </conditionalFormatting>
  <conditionalFormatting sqref="C233:C249">
    <cfRule type="expression" dxfId="99" priority="36" stopIfTrue="1">
      <formula>$B233="Visa"</formula>
    </cfRule>
  </conditionalFormatting>
  <conditionalFormatting sqref="C234">
    <cfRule type="expression" dxfId="98" priority="30" stopIfTrue="1">
      <formula>$B206="Visa"</formula>
    </cfRule>
    <cfRule type="expression" dxfId="97" priority="48" stopIfTrue="1">
      <formula>$B206="Visa"</formula>
    </cfRule>
    <cfRule type="expression" dxfId="96" priority="55" stopIfTrue="1">
      <formula>$B206="Visa"</formula>
    </cfRule>
    <cfRule type="expression" dxfId="95" priority="70" stopIfTrue="1">
      <formula>$B206="Visa"</formula>
    </cfRule>
  </conditionalFormatting>
  <conditionalFormatting sqref="C234:C249">
    <cfRule type="expression" dxfId="94" priority="35" stopIfTrue="1">
      <formula>$B233="Visa"</formula>
    </cfRule>
  </conditionalFormatting>
  <conditionalFormatting sqref="C235">
    <cfRule type="expression" dxfId="93" priority="64" stopIfTrue="1">
      <formula>$B207="Visa"</formula>
    </cfRule>
  </conditionalFormatting>
  <conditionalFormatting sqref="C235:C258 C260:C270">
    <cfRule type="expression" dxfId="92" priority="58" stopIfTrue="1">
      <formula>$B234="Visa"</formula>
    </cfRule>
  </conditionalFormatting>
  <conditionalFormatting sqref="C235:C277 C279:C289">
    <cfRule type="expression" dxfId="91" priority="72" stopIfTrue="1">
      <formula>$B234="Visa"</formula>
    </cfRule>
  </conditionalFormatting>
  <conditionalFormatting sqref="C236">
    <cfRule type="expression" dxfId="90" priority="8" stopIfTrue="1">
      <formula>$B236="Visa"</formula>
    </cfRule>
  </conditionalFormatting>
  <conditionalFormatting sqref="C236:C259 C261:C271">
    <cfRule type="expression" dxfId="89" priority="66" stopIfTrue="1">
      <formula>$B235="Visa"</formula>
    </cfRule>
  </conditionalFormatting>
  <conditionalFormatting sqref="C241">
    <cfRule type="expression" dxfId="88" priority="50" stopIfTrue="1">
      <formula>$B212="Visa"</formula>
    </cfRule>
  </conditionalFormatting>
  <conditionalFormatting sqref="C244">
    <cfRule type="expression" dxfId="87" priority="26" stopIfTrue="1">
      <formula>$B17="Visa"</formula>
    </cfRule>
  </conditionalFormatting>
  <conditionalFormatting sqref="C245">
    <cfRule type="expression" dxfId="86" priority="21" stopIfTrue="1">
      <formula>$B245="Visa"</formula>
    </cfRule>
  </conditionalFormatting>
  <conditionalFormatting sqref="C248">
    <cfRule type="expression" dxfId="85" priority="31" stopIfTrue="1">
      <formula>$B17="Visa"</formula>
    </cfRule>
  </conditionalFormatting>
  <conditionalFormatting sqref="C258">
    <cfRule type="expression" dxfId="84" priority="42" stopIfTrue="1">
      <formula>$B21="Visa"</formula>
    </cfRule>
  </conditionalFormatting>
  <conditionalFormatting sqref="C259">
    <cfRule type="expression" dxfId="83" priority="54" stopIfTrue="1">
      <formula>$B235="Visa"</formula>
    </cfRule>
  </conditionalFormatting>
  <conditionalFormatting sqref="C260">
    <cfRule type="expression" dxfId="82" priority="47" stopIfTrue="1">
      <formula>$B259="Visa"</formula>
    </cfRule>
    <cfRule type="expression" dxfId="81" priority="63" stopIfTrue="1">
      <formula>$B236="Visa"</formula>
    </cfRule>
  </conditionalFormatting>
  <conditionalFormatting sqref="C263">
    <cfRule type="expression" dxfId="80" priority="29" stopIfTrue="1">
      <formula>$B263="Visa"</formula>
    </cfRule>
  </conditionalFormatting>
  <conditionalFormatting sqref="C271">
    <cfRule type="expression" dxfId="79" priority="56" stopIfTrue="1">
      <formula>$B17="Visa"</formula>
    </cfRule>
  </conditionalFormatting>
  <conditionalFormatting sqref="C278">
    <cfRule type="expression" dxfId="78" priority="68" stopIfTrue="1">
      <formula>$B245="Visa"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743E-25DC-40A5-B24B-BB0A686F5BE7}">
  <sheetPr codeName="Sheet25">
    <tabColor rgb="FFFF0000"/>
  </sheetPr>
  <dimension ref="A1:I205"/>
  <sheetViews>
    <sheetView tabSelected="1" workbookViewId="0">
      <selection activeCell="B4" sqref="B4"/>
    </sheetView>
  </sheetViews>
  <sheetFormatPr defaultColWidth="9.140625" defaultRowHeight="11.25" x14ac:dyDescent="0.2"/>
  <cols>
    <col min="1" max="1" width="4.7109375" style="1" customWidth="1"/>
    <col min="2" max="2" width="16" style="1" customWidth="1"/>
    <col min="3" max="3" width="9.140625" style="1" customWidth="1"/>
    <col min="4" max="4" width="9.7109375" style="1" customWidth="1"/>
    <col min="5" max="8" width="9.140625" style="1" customWidth="1"/>
    <col min="9" max="9" width="12.7109375" style="1" customWidth="1"/>
    <col min="10" max="225" width="9.140625" style="1"/>
    <col min="226" max="226" width="0.85546875" style="1" customWidth="1"/>
    <col min="227" max="227" width="3.42578125" style="1" customWidth="1"/>
    <col min="228" max="228" width="9.5703125" style="1" bestFit="1" customWidth="1"/>
    <col min="229" max="229" width="9.140625" style="1"/>
    <col min="230" max="230" width="8.7109375" style="1" bestFit="1" customWidth="1"/>
    <col min="231" max="16384" width="9.140625" style="1"/>
  </cols>
  <sheetData>
    <row r="1" spans="1:9" ht="23.25" x14ac:dyDescent="0.2">
      <c r="A1" s="18" t="s">
        <v>22</v>
      </c>
      <c r="B1" s="19"/>
      <c r="C1" s="20"/>
      <c r="D1" s="20"/>
      <c r="E1" s="20"/>
      <c r="F1" s="20"/>
      <c r="G1" s="20"/>
      <c r="H1" s="20"/>
      <c r="I1" s="42" t="s">
        <v>15</v>
      </c>
    </row>
    <row r="2" spans="1:9" ht="16.5" customHeight="1" x14ac:dyDescent="0.2">
      <c r="A2" s="49" t="s">
        <v>21</v>
      </c>
      <c r="B2" s="50"/>
      <c r="C2" s="50"/>
      <c r="D2" s="50"/>
      <c r="E2" s="50"/>
      <c r="F2" s="50"/>
      <c r="G2" s="50"/>
      <c r="H2" s="50"/>
      <c r="I2" s="51"/>
    </row>
    <row r="3" spans="1:9" ht="16.5" customHeight="1" x14ac:dyDescent="0.2">
      <c r="A3" s="23" t="s">
        <v>18</v>
      </c>
      <c r="B3" s="43">
        <v>46164</v>
      </c>
      <c r="C3" s="21"/>
      <c r="D3" s="21"/>
      <c r="E3" s="21"/>
      <c r="F3" s="21"/>
      <c r="G3" s="21"/>
      <c r="H3" s="21"/>
      <c r="I3" s="22"/>
    </row>
    <row r="4" spans="1:9" s="7" customFormat="1" ht="22.5" customHeight="1" x14ac:dyDescent="0.25">
      <c r="A4" s="3" t="s">
        <v>0</v>
      </c>
      <c r="B4" s="3" t="s">
        <v>1</v>
      </c>
      <c r="C4" s="4" t="s">
        <v>2</v>
      </c>
      <c r="D4" s="3" t="s">
        <v>3</v>
      </c>
      <c r="E4" s="4" t="s">
        <v>4</v>
      </c>
      <c r="F4" s="5" t="s">
        <v>5</v>
      </c>
      <c r="G4" s="4" t="s">
        <v>6</v>
      </c>
      <c r="H4" s="4" t="s">
        <v>7</v>
      </c>
      <c r="I4" s="4" t="s">
        <v>8</v>
      </c>
    </row>
    <row r="5" spans="1:9" s="7" customFormat="1" ht="15" customHeight="1" x14ac:dyDescent="0.25">
      <c r="A5" s="2">
        <v>1</v>
      </c>
      <c r="B5" s="10" t="s">
        <v>327</v>
      </c>
      <c r="C5" s="11" t="s">
        <v>89</v>
      </c>
      <c r="D5" s="12">
        <v>46164</v>
      </c>
      <c r="E5" s="13" t="s">
        <v>351</v>
      </c>
      <c r="F5" s="13" t="s">
        <v>101</v>
      </c>
      <c r="G5" s="10">
        <v>47220</v>
      </c>
      <c r="H5" s="10">
        <v>15690</v>
      </c>
      <c r="I5" s="10">
        <f t="shared" ref="I5:I36" si="0">G5-H5</f>
        <v>31530</v>
      </c>
    </row>
    <row r="6" spans="1:9" s="7" customFormat="1" ht="15" customHeight="1" x14ac:dyDescent="0.25">
      <c r="A6" s="2">
        <v>2</v>
      </c>
      <c r="B6" s="10" t="s">
        <v>334</v>
      </c>
      <c r="C6" s="11" t="s">
        <v>31</v>
      </c>
      <c r="D6" s="12">
        <v>46164</v>
      </c>
      <c r="E6" s="13" t="s">
        <v>160</v>
      </c>
      <c r="F6" s="13" t="s">
        <v>101</v>
      </c>
      <c r="G6" s="10">
        <v>53540</v>
      </c>
      <c r="H6" s="10">
        <v>17880</v>
      </c>
      <c r="I6" s="10">
        <f t="shared" si="0"/>
        <v>35660</v>
      </c>
    </row>
    <row r="7" spans="1:9" s="7" customFormat="1" ht="15" customHeight="1" x14ac:dyDescent="0.25">
      <c r="A7" s="2">
        <v>3</v>
      </c>
      <c r="B7" s="10" t="s">
        <v>313</v>
      </c>
      <c r="C7" s="11" t="s">
        <v>72</v>
      </c>
      <c r="D7" s="12">
        <v>46164</v>
      </c>
      <c r="E7" s="13" t="s">
        <v>352</v>
      </c>
      <c r="F7" s="13" t="s">
        <v>101</v>
      </c>
      <c r="G7" s="10">
        <v>47970</v>
      </c>
      <c r="H7" s="10">
        <v>16330</v>
      </c>
      <c r="I7" s="10">
        <f t="shared" si="0"/>
        <v>31640</v>
      </c>
    </row>
    <row r="8" spans="1:9" s="7" customFormat="1" ht="15" customHeight="1" x14ac:dyDescent="0.25">
      <c r="A8" s="2">
        <v>4</v>
      </c>
      <c r="B8" s="10" t="s">
        <v>285</v>
      </c>
      <c r="C8" s="11" t="s">
        <v>87</v>
      </c>
      <c r="D8" s="12">
        <v>46164</v>
      </c>
      <c r="E8" s="13" t="s">
        <v>352</v>
      </c>
      <c r="F8" s="13" t="s">
        <v>101</v>
      </c>
      <c r="G8" s="10">
        <v>47610</v>
      </c>
      <c r="H8" s="10">
        <v>16080</v>
      </c>
      <c r="I8" s="10">
        <f t="shared" si="0"/>
        <v>31530</v>
      </c>
    </row>
    <row r="9" spans="1:9" s="7" customFormat="1" ht="15" customHeight="1" x14ac:dyDescent="0.25">
      <c r="A9" s="2">
        <v>5</v>
      </c>
      <c r="B9" s="10" t="s">
        <v>243</v>
      </c>
      <c r="C9" s="11" t="s">
        <v>26</v>
      </c>
      <c r="D9" s="12">
        <v>46164</v>
      </c>
      <c r="E9" s="13" t="s">
        <v>102</v>
      </c>
      <c r="F9" s="13" t="s">
        <v>101</v>
      </c>
      <c r="G9" s="10">
        <v>45490</v>
      </c>
      <c r="H9" s="10">
        <v>15810</v>
      </c>
      <c r="I9" s="10">
        <f t="shared" si="0"/>
        <v>29680</v>
      </c>
    </row>
    <row r="10" spans="1:9" s="7" customFormat="1" ht="15" customHeight="1" x14ac:dyDescent="0.25">
      <c r="A10" s="2">
        <v>6</v>
      </c>
      <c r="B10" s="10" t="s">
        <v>287</v>
      </c>
      <c r="C10" s="11" t="s">
        <v>122</v>
      </c>
      <c r="D10" s="12">
        <v>46164</v>
      </c>
      <c r="E10" s="13" t="s">
        <v>103</v>
      </c>
      <c r="F10" s="13" t="s">
        <v>101</v>
      </c>
      <c r="G10" s="10">
        <v>46070</v>
      </c>
      <c r="H10" s="10">
        <v>15450</v>
      </c>
      <c r="I10" s="10">
        <f t="shared" si="0"/>
        <v>30620</v>
      </c>
    </row>
    <row r="11" spans="1:9" s="7" customFormat="1" ht="15" customHeight="1" x14ac:dyDescent="0.25">
      <c r="A11" s="2">
        <v>7</v>
      </c>
      <c r="B11" s="10" t="s">
        <v>293</v>
      </c>
      <c r="C11" s="11" t="s">
        <v>65</v>
      </c>
      <c r="D11" s="12">
        <v>46164</v>
      </c>
      <c r="E11" s="13" t="s">
        <v>104</v>
      </c>
      <c r="F11" s="13" t="s">
        <v>101</v>
      </c>
      <c r="G11" s="10">
        <v>45140</v>
      </c>
      <c r="H11" s="10">
        <v>14720</v>
      </c>
      <c r="I11" s="10">
        <f t="shared" si="0"/>
        <v>30420</v>
      </c>
    </row>
    <row r="12" spans="1:9" s="7" customFormat="1" ht="15" customHeight="1" x14ac:dyDescent="0.25">
      <c r="A12" s="2">
        <v>8</v>
      </c>
      <c r="B12" s="10" t="s">
        <v>317</v>
      </c>
      <c r="C12" s="11" t="s">
        <v>67</v>
      </c>
      <c r="D12" s="12">
        <v>46164</v>
      </c>
      <c r="E12" s="13" t="s">
        <v>105</v>
      </c>
      <c r="F12" s="13" t="s">
        <v>101</v>
      </c>
      <c r="G12" s="10">
        <v>47830</v>
      </c>
      <c r="H12" s="10">
        <v>15980</v>
      </c>
      <c r="I12" s="10">
        <f t="shared" si="0"/>
        <v>31850</v>
      </c>
    </row>
    <row r="13" spans="1:9" s="7" customFormat="1" ht="15" customHeight="1" x14ac:dyDescent="0.25">
      <c r="A13" s="2">
        <v>9</v>
      </c>
      <c r="B13" s="10" t="s">
        <v>339</v>
      </c>
      <c r="C13" s="11" t="s">
        <v>194</v>
      </c>
      <c r="D13" s="12">
        <v>46164</v>
      </c>
      <c r="E13" s="13" t="s">
        <v>106</v>
      </c>
      <c r="F13" s="13" t="s">
        <v>101</v>
      </c>
      <c r="G13" s="10">
        <v>53540</v>
      </c>
      <c r="H13" s="10">
        <v>17290</v>
      </c>
      <c r="I13" s="10">
        <f t="shared" si="0"/>
        <v>36250</v>
      </c>
    </row>
    <row r="14" spans="1:9" s="7" customFormat="1" ht="15" customHeight="1" x14ac:dyDescent="0.25">
      <c r="A14" s="2">
        <v>10</v>
      </c>
      <c r="B14" s="10" t="s">
        <v>263</v>
      </c>
      <c r="C14" s="11" t="s">
        <v>130</v>
      </c>
      <c r="D14" s="12">
        <v>46164</v>
      </c>
      <c r="E14" s="13" t="s">
        <v>107</v>
      </c>
      <c r="F14" s="13" t="s">
        <v>101</v>
      </c>
      <c r="G14" s="10">
        <v>43220</v>
      </c>
      <c r="H14" s="10">
        <v>13290</v>
      </c>
      <c r="I14" s="10">
        <f t="shared" si="0"/>
        <v>29930</v>
      </c>
    </row>
    <row r="15" spans="1:9" s="7" customFormat="1" ht="15" customHeight="1" x14ac:dyDescent="0.25">
      <c r="A15" s="2">
        <v>11</v>
      </c>
      <c r="B15" s="10" t="s">
        <v>323</v>
      </c>
      <c r="C15" s="11" t="s">
        <v>49</v>
      </c>
      <c r="D15" s="12">
        <v>46164</v>
      </c>
      <c r="E15" s="13" t="s">
        <v>161</v>
      </c>
      <c r="F15" s="13" t="s">
        <v>101</v>
      </c>
      <c r="G15" s="10">
        <v>45820</v>
      </c>
      <c r="H15" s="10">
        <v>15520</v>
      </c>
      <c r="I15" s="10">
        <f t="shared" si="0"/>
        <v>30300</v>
      </c>
    </row>
    <row r="16" spans="1:9" s="7" customFormat="1" ht="15" customHeight="1" x14ac:dyDescent="0.25">
      <c r="A16" s="2">
        <v>12</v>
      </c>
      <c r="B16" s="10" t="s">
        <v>269</v>
      </c>
      <c r="C16" s="11" t="s">
        <v>95</v>
      </c>
      <c r="D16" s="12">
        <v>46164</v>
      </c>
      <c r="E16" s="13" t="s">
        <v>161</v>
      </c>
      <c r="F16" s="13" t="s">
        <v>101</v>
      </c>
      <c r="G16" s="10">
        <v>46510</v>
      </c>
      <c r="H16" s="10">
        <v>15580</v>
      </c>
      <c r="I16" s="10">
        <f t="shared" si="0"/>
        <v>30930</v>
      </c>
    </row>
    <row r="17" spans="1:9" s="7" customFormat="1" ht="15" customHeight="1" x14ac:dyDescent="0.25">
      <c r="A17" s="2">
        <v>13</v>
      </c>
      <c r="B17" s="10" t="s">
        <v>236</v>
      </c>
      <c r="C17" s="11" t="s">
        <v>43</v>
      </c>
      <c r="D17" s="12">
        <v>46164</v>
      </c>
      <c r="E17" s="13" t="s">
        <v>353</v>
      </c>
      <c r="F17" s="13" t="s">
        <v>101</v>
      </c>
      <c r="G17" s="10">
        <v>49840</v>
      </c>
      <c r="H17" s="10">
        <v>14860</v>
      </c>
      <c r="I17" s="10">
        <f t="shared" si="0"/>
        <v>34980</v>
      </c>
    </row>
    <row r="18" spans="1:9" s="7" customFormat="1" ht="15" customHeight="1" x14ac:dyDescent="0.25">
      <c r="A18" s="2">
        <v>14</v>
      </c>
      <c r="B18" s="10" t="s">
        <v>325</v>
      </c>
      <c r="C18" s="11" t="s">
        <v>74</v>
      </c>
      <c r="D18" s="12">
        <v>46164</v>
      </c>
      <c r="E18" s="13" t="s">
        <v>354</v>
      </c>
      <c r="F18" s="13" t="s">
        <v>101</v>
      </c>
      <c r="G18" s="10">
        <v>47380</v>
      </c>
      <c r="H18" s="10">
        <v>15700</v>
      </c>
      <c r="I18" s="10">
        <f t="shared" si="0"/>
        <v>31680</v>
      </c>
    </row>
    <row r="19" spans="1:9" s="7" customFormat="1" ht="15" customHeight="1" x14ac:dyDescent="0.25">
      <c r="A19" s="2">
        <v>15</v>
      </c>
      <c r="B19" s="10" t="s">
        <v>218</v>
      </c>
      <c r="C19" s="11" t="s">
        <v>56</v>
      </c>
      <c r="D19" s="12">
        <v>46164</v>
      </c>
      <c r="E19" s="13" t="s">
        <v>162</v>
      </c>
      <c r="F19" s="13" t="s">
        <v>101</v>
      </c>
      <c r="G19" s="10">
        <v>47150</v>
      </c>
      <c r="H19" s="10">
        <v>14310</v>
      </c>
      <c r="I19" s="10">
        <f t="shared" si="0"/>
        <v>32840</v>
      </c>
    </row>
    <row r="20" spans="1:9" s="7" customFormat="1" ht="15" customHeight="1" x14ac:dyDescent="0.25">
      <c r="A20" s="2">
        <v>16</v>
      </c>
      <c r="B20" s="10" t="s">
        <v>303</v>
      </c>
      <c r="C20" s="11" t="s">
        <v>82</v>
      </c>
      <c r="D20" s="12">
        <v>46164</v>
      </c>
      <c r="E20" s="13" t="s">
        <v>131</v>
      </c>
      <c r="F20" s="13" t="s">
        <v>101</v>
      </c>
      <c r="G20" s="10">
        <v>48470</v>
      </c>
      <c r="H20" s="10">
        <v>16070</v>
      </c>
      <c r="I20" s="10">
        <f t="shared" si="0"/>
        <v>32400</v>
      </c>
    </row>
    <row r="21" spans="1:9" s="7" customFormat="1" ht="15" customHeight="1" x14ac:dyDescent="0.25">
      <c r="A21" s="2">
        <v>17</v>
      </c>
      <c r="B21" s="10" t="s">
        <v>301</v>
      </c>
      <c r="C21" s="11" t="s">
        <v>85</v>
      </c>
      <c r="D21" s="12">
        <v>46164</v>
      </c>
      <c r="E21" s="13" t="s">
        <v>131</v>
      </c>
      <c r="F21" s="13" t="s">
        <v>101</v>
      </c>
      <c r="G21" s="10">
        <v>49820</v>
      </c>
      <c r="H21" s="10">
        <v>15610</v>
      </c>
      <c r="I21" s="10">
        <f t="shared" si="0"/>
        <v>34210</v>
      </c>
    </row>
    <row r="22" spans="1:9" s="7" customFormat="1" ht="15" customHeight="1" x14ac:dyDescent="0.25">
      <c r="A22" s="2">
        <v>18</v>
      </c>
      <c r="B22" s="10" t="s">
        <v>305</v>
      </c>
      <c r="C22" s="11" t="s">
        <v>83</v>
      </c>
      <c r="D22" s="12">
        <v>46164</v>
      </c>
      <c r="E22" s="13" t="s">
        <v>132</v>
      </c>
      <c r="F22" s="13" t="s">
        <v>101</v>
      </c>
      <c r="G22" s="10">
        <v>49190</v>
      </c>
      <c r="H22" s="10">
        <v>16390</v>
      </c>
      <c r="I22" s="10">
        <f t="shared" si="0"/>
        <v>32800</v>
      </c>
    </row>
    <row r="23" spans="1:9" s="7" customFormat="1" ht="15" customHeight="1" x14ac:dyDescent="0.25">
      <c r="A23" s="2">
        <v>19</v>
      </c>
      <c r="B23" s="10" t="s">
        <v>241</v>
      </c>
      <c r="C23" s="11" t="s">
        <v>125</v>
      </c>
      <c r="D23" s="12">
        <v>46164</v>
      </c>
      <c r="E23" s="13" t="s">
        <v>108</v>
      </c>
      <c r="F23" s="13" t="s">
        <v>101</v>
      </c>
      <c r="G23" s="10">
        <v>46030</v>
      </c>
      <c r="H23" s="10">
        <v>15430</v>
      </c>
      <c r="I23" s="10">
        <f t="shared" si="0"/>
        <v>30600</v>
      </c>
    </row>
    <row r="24" spans="1:9" s="7" customFormat="1" ht="15" customHeight="1" x14ac:dyDescent="0.25">
      <c r="A24" s="2">
        <v>20</v>
      </c>
      <c r="B24" s="10" t="s">
        <v>262</v>
      </c>
      <c r="C24" s="11" t="s">
        <v>45</v>
      </c>
      <c r="D24" s="12">
        <v>46164</v>
      </c>
      <c r="E24" s="13" t="s">
        <v>355</v>
      </c>
      <c r="F24" s="13" t="s">
        <v>101</v>
      </c>
      <c r="G24" s="10">
        <v>46300</v>
      </c>
      <c r="H24" s="10">
        <v>14860</v>
      </c>
      <c r="I24" s="10">
        <f t="shared" si="0"/>
        <v>31440</v>
      </c>
    </row>
    <row r="25" spans="1:9" s="7" customFormat="1" ht="15" customHeight="1" x14ac:dyDescent="0.25">
      <c r="A25" s="2">
        <v>21</v>
      </c>
      <c r="B25" s="10" t="s">
        <v>201</v>
      </c>
      <c r="C25" s="11" t="s">
        <v>50</v>
      </c>
      <c r="D25" s="12">
        <v>46164</v>
      </c>
      <c r="E25" s="13" t="s">
        <v>113</v>
      </c>
      <c r="F25" s="13" t="s">
        <v>101</v>
      </c>
      <c r="G25" s="10">
        <v>50460</v>
      </c>
      <c r="H25" s="10">
        <v>14880</v>
      </c>
      <c r="I25" s="10">
        <f t="shared" si="0"/>
        <v>35580</v>
      </c>
    </row>
    <row r="26" spans="1:9" s="7" customFormat="1" ht="15" customHeight="1" x14ac:dyDescent="0.25">
      <c r="A26" s="2">
        <v>22</v>
      </c>
      <c r="B26" s="10" t="s">
        <v>231</v>
      </c>
      <c r="C26" s="11" t="s">
        <v>100</v>
      </c>
      <c r="D26" s="12">
        <v>46164</v>
      </c>
      <c r="E26" s="13" t="s">
        <v>188</v>
      </c>
      <c r="F26" s="13" t="s">
        <v>101</v>
      </c>
      <c r="G26" s="10">
        <v>49190</v>
      </c>
      <c r="H26" s="10">
        <v>15190</v>
      </c>
      <c r="I26" s="10">
        <f t="shared" si="0"/>
        <v>34000</v>
      </c>
    </row>
    <row r="27" spans="1:9" s="7" customFormat="1" ht="15" customHeight="1" x14ac:dyDescent="0.25">
      <c r="A27" s="2">
        <v>23</v>
      </c>
      <c r="B27" s="10" t="s">
        <v>341</v>
      </c>
      <c r="C27" s="11" t="s">
        <v>28</v>
      </c>
      <c r="D27" s="12">
        <v>46164</v>
      </c>
      <c r="E27" s="13" t="s">
        <v>114</v>
      </c>
      <c r="F27" s="13" t="s">
        <v>101</v>
      </c>
      <c r="G27" s="10">
        <v>48040</v>
      </c>
      <c r="H27" s="10">
        <v>15170</v>
      </c>
      <c r="I27" s="10">
        <f t="shared" si="0"/>
        <v>32870</v>
      </c>
    </row>
    <row r="28" spans="1:9" s="7" customFormat="1" ht="15" customHeight="1" x14ac:dyDescent="0.25">
      <c r="A28" s="2">
        <v>24</v>
      </c>
      <c r="B28" s="10" t="s">
        <v>235</v>
      </c>
      <c r="C28" s="11" t="s">
        <v>44</v>
      </c>
      <c r="D28" s="12">
        <v>46164</v>
      </c>
      <c r="E28" s="13" t="s">
        <v>115</v>
      </c>
      <c r="F28" s="13" t="s">
        <v>101</v>
      </c>
      <c r="G28" s="10">
        <v>49090</v>
      </c>
      <c r="H28" s="10">
        <v>15640</v>
      </c>
      <c r="I28" s="10">
        <f t="shared" si="0"/>
        <v>33450</v>
      </c>
    </row>
    <row r="29" spans="1:9" s="7" customFormat="1" ht="15" customHeight="1" x14ac:dyDescent="0.25">
      <c r="A29" s="2">
        <v>25</v>
      </c>
      <c r="B29" s="10" t="s">
        <v>310</v>
      </c>
      <c r="C29" s="11" t="s">
        <v>61</v>
      </c>
      <c r="D29" s="12">
        <v>46164</v>
      </c>
      <c r="E29" s="13" t="s">
        <v>163</v>
      </c>
      <c r="F29" s="13" t="s">
        <v>101</v>
      </c>
      <c r="G29" s="10">
        <v>48390</v>
      </c>
      <c r="H29" s="10">
        <v>16040</v>
      </c>
      <c r="I29" s="10">
        <f t="shared" si="0"/>
        <v>32350</v>
      </c>
    </row>
    <row r="30" spans="1:9" s="7" customFormat="1" ht="15" customHeight="1" x14ac:dyDescent="0.25">
      <c r="A30" s="2">
        <v>26</v>
      </c>
      <c r="B30" s="10" t="s">
        <v>308</v>
      </c>
      <c r="C30" s="11" t="s">
        <v>68</v>
      </c>
      <c r="D30" s="12">
        <v>46164</v>
      </c>
      <c r="E30" s="13" t="s">
        <v>117</v>
      </c>
      <c r="F30" s="13" t="s">
        <v>101</v>
      </c>
      <c r="G30" s="10">
        <v>44870</v>
      </c>
      <c r="H30" s="10">
        <v>15690</v>
      </c>
      <c r="I30" s="10">
        <f t="shared" si="0"/>
        <v>29180</v>
      </c>
    </row>
    <row r="31" spans="1:9" s="7" customFormat="1" ht="15" customHeight="1" x14ac:dyDescent="0.25">
      <c r="A31" s="2">
        <v>27</v>
      </c>
      <c r="B31" s="10" t="s">
        <v>281</v>
      </c>
      <c r="C31" s="11" t="s">
        <v>186</v>
      </c>
      <c r="D31" s="12">
        <v>46164</v>
      </c>
      <c r="E31" s="13" t="s">
        <v>356</v>
      </c>
      <c r="F31" s="13" t="s">
        <v>101</v>
      </c>
      <c r="G31" s="10">
        <v>49810</v>
      </c>
      <c r="H31" s="10">
        <v>16020</v>
      </c>
      <c r="I31" s="10">
        <f t="shared" si="0"/>
        <v>33790</v>
      </c>
    </row>
    <row r="32" spans="1:9" s="7" customFormat="1" ht="15" customHeight="1" x14ac:dyDescent="0.25">
      <c r="A32" s="2">
        <v>28</v>
      </c>
      <c r="B32" s="10" t="s">
        <v>315</v>
      </c>
      <c r="C32" s="11" t="s">
        <v>88</v>
      </c>
      <c r="D32" s="12">
        <v>46164</v>
      </c>
      <c r="E32" s="13" t="s">
        <v>198</v>
      </c>
      <c r="F32" s="13" t="s">
        <v>101</v>
      </c>
      <c r="G32" s="10">
        <v>49850</v>
      </c>
      <c r="H32" s="10">
        <v>16310</v>
      </c>
      <c r="I32" s="10">
        <f t="shared" si="0"/>
        <v>33540</v>
      </c>
    </row>
    <row r="33" spans="1:9" s="7" customFormat="1" ht="15" customHeight="1" x14ac:dyDescent="0.25">
      <c r="A33" s="2">
        <v>29</v>
      </c>
      <c r="B33" s="10" t="s">
        <v>344</v>
      </c>
      <c r="C33" s="11" t="s">
        <v>345</v>
      </c>
      <c r="D33" s="12">
        <v>46164</v>
      </c>
      <c r="E33" s="13" t="s">
        <v>151</v>
      </c>
      <c r="F33" s="13" t="s">
        <v>101</v>
      </c>
      <c r="G33" s="10">
        <v>47200</v>
      </c>
      <c r="H33" s="10">
        <v>15130</v>
      </c>
      <c r="I33" s="10">
        <f t="shared" si="0"/>
        <v>32070</v>
      </c>
    </row>
    <row r="34" spans="1:9" s="7" customFormat="1" ht="15" customHeight="1" x14ac:dyDescent="0.25">
      <c r="A34" s="2">
        <v>30</v>
      </c>
      <c r="B34" s="10" t="s">
        <v>330</v>
      </c>
      <c r="C34" s="11" t="s">
        <v>76</v>
      </c>
      <c r="D34" s="12">
        <v>46164</v>
      </c>
      <c r="E34" s="13" t="s">
        <v>357</v>
      </c>
      <c r="F34" s="13" t="s">
        <v>101</v>
      </c>
      <c r="G34" s="10">
        <v>53020</v>
      </c>
      <c r="H34" s="10">
        <v>17600</v>
      </c>
      <c r="I34" s="10">
        <f t="shared" si="0"/>
        <v>35420</v>
      </c>
    </row>
    <row r="35" spans="1:9" s="7" customFormat="1" ht="15" customHeight="1" x14ac:dyDescent="0.25">
      <c r="A35" s="2">
        <v>31</v>
      </c>
      <c r="B35" s="10" t="s">
        <v>336</v>
      </c>
      <c r="C35" s="11" t="s">
        <v>37</v>
      </c>
      <c r="D35" s="12">
        <v>46164</v>
      </c>
      <c r="E35" s="13" t="s">
        <v>351</v>
      </c>
      <c r="F35" s="13" t="s">
        <v>101</v>
      </c>
      <c r="G35" s="10">
        <v>49310</v>
      </c>
      <c r="H35" s="10">
        <v>18480</v>
      </c>
      <c r="I35" s="10">
        <f t="shared" si="0"/>
        <v>30830</v>
      </c>
    </row>
    <row r="36" spans="1:9" s="7" customFormat="1" ht="15" customHeight="1" x14ac:dyDescent="0.25">
      <c r="A36" s="2">
        <v>32</v>
      </c>
      <c r="B36" s="10" t="s">
        <v>332</v>
      </c>
      <c r="C36" s="11" t="s">
        <v>51</v>
      </c>
      <c r="D36" s="12">
        <v>46164</v>
      </c>
      <c r="E36" s="13" t="s">
        <v>160</v>
      </c>
      <c r="F36" s="13" t="s">
        <v>101</v>
      </c>
      <c r="G36" s="10">
        <v>50770</v>
      </c>
      <c r="H36" s="10">
        <v>18330</v>
      </c>
      <c r="I36" s="10">
        <f t="shared" si="0"/>
        <v>32440</v>
      </c>
    </row>
    <row r="37" spans="1:9" s="7" customFormat="1" ht="15" customHeight="1" x14ac:dyDescent="0.25">
      <c r="A37" s="2">
        <v>33</v>
      </c>
      <c r="B37" s="10" t="s">
        <v>273</v>
      </c>
      <c r="C37" s="11" t="s">
        <v>123</v>
      </c>
      <c r="D37" s="12">
        <v>46164</v>
      </c>
      <c r="E37" s="13" t="s">
        <v>352</v>
      </c>
      <c r="F37" s="13" t="s">
        <v>101</v>
      </c>
      <c r="G37" s="10">
        <v>49740</v>
      </c>
      <c r="H37" s="10">
        <v>16130</v>
      </c>
      <c r="I37" s="10">
        <f t="shared" ref="I37:I68" si="1">G37-H37</f>
        <v>33610</v>
      </c>
    </row>
    <row r="38" spans="1:9" s="7" customFormat="1" ht="15" customHeight="1" x14ac:dyDescent="0.25">
      <c r="A38" s="2">
        <v>34</v>
      </c>
      <c r="B38" s="10" t="s">
        <v>328</v>
      </c>
      <c r="C38" s="11" t="s">
        <v>34</v>
      </c>
      <c r="D38" s="12">
        <v>46164</v>
      </c>
      <c r="E38" s="13" t="s">
        <v>103</v>
      </c>
      <c r="F38" s="13" t="s">
        <v>101</v>
      </c>
      <c r="G38" s="10">
        <v>47170</v>
      </c>
      <c r="H38" s="10">
        <v>17310</v>
      </c>
      <c r="I38" s="10">
        <f t="shared" si="1"/>
        <v>29860</v>
      </c>
    </row>
    <row r="39" spans="1:9" s="7" customFormat="1" ht="15" customHeight="1" x14ac:dyDescent="0.25">
      <c r="A39" s="2">
        <v>35</v>
      </c>
      <c r="B39" s="10" t="s">
        <v>275</v>
      </c>
      <c r="C39" s="11" t="s">
        <v>24</v>
      </c>
      <c r="D39" s="12">
        <v>46164</v>
      </c>
      <c r="E39" s="13" t="s">
        <v>104</v>
      </c>
      <c r="F39" s="13" t="s">
        <v>101</v>
      </c>
      <c r="G39" s="10">
        <v>48920</v>
      </c>
      <c r="H39" s="10">
        <v>15750</v>
      </c>
      <c r="I39" s="10">
        <f t="shared" si="1"/>
        <v>33170</v>
      </c>
    </row>
    <row r="40" spans="1:9" s="7" customFormat="1" ht="15" customHeight="1" x14ac:dyDescent="0.25">
      <c r="A40" s="2">
        <v>36</v>
      </c>
      <c r="B40" s="10" t="s">
        <v>311</v>
      </c>
      <c r="C40" s="11" t="s">
        <v>62</v>
      </c>
      <c r="D40" s="12">
        <v>46164</v>
      </c>
      <c r="E40" s="13" t="s">
        <v>105</v>
      </c>
      <c r="F40" s="13" t="s">
        <v>101</v>
      </c>
      <c r="G40" s="10">
        <v>49210</v>
      </c>
      <c r="H40" s="10">
        <v>15080</v>
      </c>
      <c r="I40" s="10">
        <f t="shared" si="1"/>
        <v>34130</v>
      </c>
    </row>
    <row r="41" spans="1:9" s="7" customFormat="1" ht="15" customHeight="1" x14ac:dyDescent="0.25">
      <c r="A41" s="2">
        <v>37</v>
      </c>
      <c r="B41" s="10" t="s">
        <v>215</v>
      </c>
      <c r="C41" s="11" t="s">
        <v>86</v>
      </c>
      <c r="D41" s="12">
        <v>46164</v>
      </c>
      <c r="E41" s="13" t="s">
        <v>106</v>
      </c>
      <c r="F41" s="13" t="s">
        <v>101</v>
      </c>
      <c r="G41" s="10">
        <v>49840</v>
      </c>
      <c r="H41" s="10">
        <v>16090</v>
      </c>
      <c r="I41" s="10">
        <f t="shared" si="1"/>
        <v>33750</v>
      </c>
    </row>
    <row r="42" spans="1:9" s="7" customFormat="1" ht="15" customHeight="1" x14ac:dyDescent="0.25">
      <c r="A42" s="2">
        <v>38</v>
      </c>
      <c r="B42" s="10" t="s">
        <v>299</v>
      </c>
      <c r="C42" s="11" t="s">
        <v>121</v>
      </c>
      <c r="D42" s="12">
        <v>46164</v>
      </c>
      <c r="E42" s="13" t="s">
        <v>107</v>
      </c>
      <c r="F42" s="13" t="s">
        <v>101</v>
      </c>
      <c r="G42" s="10">
        <v>61130</v>
      </c>
      <c r="H42" s="10">
        <v>20250</v>
      </c>
      <c r="I42" s="10">
        <f t="shared" si="1"/>
        <v>40880</v>
      </c>
    </row>
    <row r="43" spans="1:9" s="7" customFormat="1" ht="15" customHeight="1" x14ac:dyDescent="0.25">
      <c r="A43" s="2">
        <v>39</v>
      </c>
      <c r="B43" s="10" t="s">
        <v>289</v>
      </c>
      <c r="C43" s="11" t="s">
        <v>39</v>
      </c>
      <c r="D43" s="12">
        <v>46164</v>
      </c>
      <c r="E43" s="13" t="s">
        <v>161</v>
      </c>
      <c r="F43" s="13" t="s">
        <v>101</v>
      </c>
      <c r="G43" s="10">
        <v>48160</v>
      </c>
      <c r="H43" s="10">
        <v>15650</v>
      </c>
      <c r="I43" s="10">
        <f t="shared" si="1"/>
        <v>32510</v>
      </c>
    </row>
    <row r="44" spans="1:9" s="7" customFormat="1" ht="15" customHeight="1" x14ac:dyDescent="0.25">
      <c r="A44" s="2">
        <v>40</v>
      </c>
      <c r="B44" s="10" t="s">
        <v>318</v>
      </c>
      <c r="C44" s="11" t="s">
        <v>63</v>
      </c>
      <c r="D44" s="12">
        <v>46164</v>
      </c>
      <c r="E44" s="13" t="s">
        <v>353</v>
      </c>
      <c r="F44" s="13" t="s">
        <v>101</v>
      </c>
      <c r="G44" s="10">
        <v>51160</v>
      </c>
      <c r="H44" s="10">
        <v>14780</v>
      </c>
      <c r="I44" s="10">
        <f t="shared" si="1"/>
        <v>36380</v>
      </c>
    </row>
    <row r="45" spans="1:9" s="7" customFormat="1" ht="15" customHeight="1" x14ac:dyDescent="0.25">
      <c r="A45" s="2">
        <v>41</v>
      </c>
      <c r="B45" s="10" t="s">
        <v>296</v>
      </c>
      <c r="C45" s="11" t="s">
        <v>64</v>
      </c>
      <c r="D45" s="12">
        <v>46164</v>
      </c>
      <c r="E45" s="13" t="s">
        <v>354</v>
      </c>
      <c r="F45" s="13" t="s">
        <v>101</v>
      </c>
      <c r="G45" s="10">
        <v>49060</v>
      </c>
      <c r="H45" s="10">
        <v>15000</v>
      </c>
      <c r="I45" s="10">
        <f t="shared" si="1"/>
        <v>34060</v>
      </c>
    </row>
    <row r="46" spans="1:9" s="7" customFormat="1" ht="15" customHeight="1" x14ac:dyDescent="0.25">
      <c r="A46" s="2">
        <v>42</v>
      </c>
      <c r="B46" s="10" t="s">
        <v>246</v>
      </c>
      <c r="C46" s="11" t="s">
        <v>32</v>
      </c>
      <c r="D46" s="12">
        <v>46164</v>
      </c>
      <c r="E46" s="13" t="s">
        <v>162</v>
      </c>
      <c r="F46" s="13" t="s">
        <v>101</v>
      </c>
      <c r="G46" s="10">
        <v>69130</v>
      </c>
      <c r="H46" s="10">
        <v>24000</v>
      </c>
      <c r="I46" s="10">
        <f t="shared" si="1"/>
        <v>45130</v>
      </c>
    </row>
    <row r="47" spans="1:9" s="7" customFormat="1" ht="15" customHeight="1" x14ac:dyDescent="0.25">
      <c r="A47" s="2">
        <v>43</v>
      </c>
      <c r="B47" s="10" t="s">
        <v>210</v>
      </c>
      <c r="C47" s="11" t="s">
        <v>27</v>
      </c>
      <c r="D47" s="12">
        <v>46164</v>
      </c>
      <c r="E47" s="13" t="s">
        <v>131</v>
      </c>
      <c r="F47" s="13" t="s">
        <v>101</v>
      </c>
      <c r="G47" s="10">
        <v>50220</v>
      </c>
      <c r="H47" s="10">
        <v>15010</v>
      </c>
      <c r="I47" s="10">
        <f t="shared" si="1"/>
        <v>35210</v>
      </c>
    </row>
    <row r="48" spans="1:9" s="7" customFormat="1" ht="15" customHeight="1" x14ac:dyDescent="0.25">
      <c r="A48" s="2">
        <v>44</v>
      </c>
      <c r="B48" s="10" t="s">
        <v>321</v>
      </c>
      <c r="C48" s="11" t="s">
        <v>47</v>
      </c>
      <c r="D48" s="12">
        <v>46164</v>
      </c>
      <c r="E48" s="13" t="s">
        <v>132</v>
      </c>
      <c r="F48" s="13" t="s">
        <v>101</v>
      </c>
      <c r="G48" s="10">
        <v>49010</v>
      </c>
      <c r="H48" s="10">
        <v>17120</v>
      </c>
      <c r="I48" s="10">
        <f t="shared" si="1"/>
        <v>31890</v>
      </c>
    </row>
    <row r="49" spans="1:9" s="7" customFormat="1" ht="15" customHeight="1" x14ac:dyDescent="0.25">
      <c r="A49" s="2">
        <v>45</v>
      </c>
      <c r="B49" s="10" t="s">
        <v>277</v>
      </c>
      <c r="C49" s="11" t="s">
        <v>195</v>
      </c>
      <c r="D49" s="12">
        <v>46164</v>
      </c>
      <c r="E49" s="13" t="s">
        <v>133</v>
      </c>
      <c r="F49" s="13" t="s">
        <v>101</v>
      </c>
      <c r="G49" s="10">
        <v>46670</v>
      </c>
      <c r="H49" s="10">
        <v>15600</v>
      </c>
      <c r="I49" s="10">
        <f t="shared" si="1"/>
        <v>31070</v>
      </c>
    </row>
    <row r="50" spans="1:9" s="7" customFormat="1" ht="15" customHeight="1" x14ac:dyDescent="0.25">
      <c r="A50" s="2">
        <v>46</v>
      </c>
      <c r="B50" s="10" t="s">
        <v>279</v>
      </c>
      <c r="C50" s="11" t="s">
        <v>196</v>
      </c>
      <c r="D50" s="12">
        <v>46164</v>
      </c>
      <c r="E50" s="13" t="s">
        <v>134</v>
      </c>
      <c r="F50" s="13" t="s">
        <v>101</v>
      </c>
      <c r="G50" s="10">
        <v>48040</v>
      </c>
      <c r="H50" s="10">
        <v>15630</v>
      </c>
      <c r="I50" s="10">
        <f t="shared" si="1"/>
        <v>32410</v>
      </c>
    </row>
    <row r="51" spans="1:9" s="7" customFormat="1" ht="15" customHeight="1" x14ac:dyDescent="0.25">
      <c r="A51" s="2">
        <v>47</v>
      </c>
      <c r="B51" s="10" t="s">
        <v>233</v>
      </c>
      <c r="C51" s="11" t="s">
        <v>57</v>
      </c>
      <c r="D51" s="12">
        <v>46164</v>
      </c>
      <c r="E51" s="13" t="s">
        <v>358</v>
      </c>
      <c r="F51" s="13" t="s">
        <v>101</v>
      </c>
      <c r="G51" s="10">
        <v>49500</v>
      </c>
      <c r="H51" s="10">
        <v>15240</v>
      </c>
      <c r="I51" s="10">
        <f t="shared" si="1"/>
        <v>34260</v>
      </c>
    </row>
    <row r="52" spans="1:9" s="7" customFormat="1" ht="15" customHeight="1" x14ac:dyDescent="0.25">
      <c r="A52" s="2">
        <v>48</v>
      </c>
      <c r="B52" s="10" t="s">
        <v>213</v>
      </c>
      <c r="C52" s="11" t="s">
        <v>59</v>
      </c>
      <c r="D52" s="12">
        <v>46164</v>
      </c>
      <c r="E52" s="13" t="s">
        <v>355</v>
      </c>
      <c r="F52" s="13" t="s">
        <v>101</v>
      </c>
      <c r="G52" s="10">
        <v>47400</v>
      </c>
      <c r="H52" s="10">
        <v>14760</v>
      </c>
      <c r="I52" s="10">
        <f t="shared" si="1"/>
        <v>32640</v>
      </c>
    </row>
    <row r="53" spans="1:9" s="7" customFormat="1" ht="15" customHeight="1" x14ac:dyDescent="0.25">
      <c r="A53" s="2">
        <v>49</v>
      </c>
      <c r="B53" s="10" t="s">
        <v>248</v>
      </c>
      <c r="C53" s="11" t="s">
        <v>119</v>
      </c>
      <c r="D53" s="12">
        <v>46164</v>
      </c>
      <c r="E53" s="13" t="s">
        <v>197</v>
      </c>
      <c r="F53" s="13" t="s">
        <v>101</v>
      </c>
      <c r="G53" s="10">
        <v>50020</v>
      </c>
      <c r="H53" s="10">
        <v>16040</v>
      </c>
      <c r="I53" s="10">
        <f t="shared" si="1"/>
        <v>33980</v>
      </c>
    </row>
    <row r="54" spans="1:9" s="7" customFormat="1" ht="15" customHeight="1" x14ac:dyDescent="0.25">
      <c r="A54" s="2">
        <v>50</v>
      </c>
      <c r="B54" s="10" t="s">
        <v>255</v>
      </c>
      <c r="C54" s="11" t="s">
        <v>69</v>
      </c>
      <c r="D54" s="12">
        <v>46164</v>
      </c>
      <c r="E54" s="13" t="s">
        <v>187</v>
      </c>
      <c r="F54" s="13" t="s">
        <v>101</v>
      </c>
      <c r="G54" s="10">
        <v>47400</v>
      </c>
      <c r="H54" s="10">
        <v>15470</v>
      </c>
      <c r="I54" s="10">
        <f t="shared" si="1"/>
        <v>31930</v>
      </c>
    </row>
    <row r="55" spans="1:9" s="7" customFormat="1" ht="15" customHeight="1" x14ac:dyDescent="0.25">
      <c r="A55" s="2">
        <v>51</v>
      </c>
      <c r="B55" s="10" t="s">
        <v>346</v>
      </c>
      <c r="C55" s="11" t="s">
        <v>127</v>
      </c>
      <c r="D55" s="12">
        <v>46164</v>
      </c>
      <c r="E55" s="13" t="s">
        <v>109</v>
      </c>
      <c r="F55" s="13" t="s">
        <v>101</v>
      </c>
      <c r="G55" s="10">
        <v>70590</v>
      </c>
      <c r="H55" s="10">
        <v>24210</v>
      </c>
      <c r="I55" s="10">
        <f t="shared" si="1"/>
        <v>46380</v>
      </c>
    </row>
    <row r="56" spans="1:9" s="7" customFormat="1" ht="15" customHeight="1" x14ac:dyDescent="0.25">
      <c r="A56" s="2">
        <v>52</v>
      </c>
      <c r="B56" s="10" t="s">
        <v>261</v>
      </c>
      <c r="C56" s="11" t="s">
        <v>46</v>
      </c>
      <c r="D56" s="12">
        <v>46164</v>
      </c>
      <c r="E56" s="13" t="s">
        <v>110</v>
      </c>
      <c r="F56" s="13" t="s">
        <v>101</v>
      </c>
      <c r="G56" s="10">
        <v>49670</v>
      </c>
      <c r="H56" s="10">
        <v>15010</v>
      </c>
      <c r="I56" s="10">
        <f t="shared" si="1"/>
        <v>34660</v>
      </c>
    </row>
    <row r="57" spans="1:9" s="7" customFormat="1" ht="15" customHeight="1" x14ac:dyDescent="0.25">
      <c r="A57" s="2">
        <v>53</v>
      </c>
      <c r="B57" s="10" t="s">
        <v>259</v>
      </c>
      <c r="C57" s="11" t="s">
        <v>60</v>
      </c>
      <c r="D57" s="12">
        <v>46164</v>
      </c>
      <c r="E57" s="13" t="s">
        <v>111</v>
      </c>
      <c r="F57" s="13" t="s">
        <v>101</v>
      </c>
      <c r="G57" s="10">
        <v>50110</v>
      </c>
      <c r="H57" s="10">
        <v>15480</v>
      </c>
      <c r="I57" s="10">
        <f t="shared" si="1"/>
        <v>34630</v>
      </c>
    </row>
    <row r="58" spans="1:9" s="7" customFormat="1" ht="15" customHeight="1" x14ac:dyDescent="0.25">
      <c r="A58" s="2">
        <v>54</v>
      </c>
      <c r="B58" s="10" t="s">
        <v>343</v>
      </c>
      <c r="C58" s="11" t="s">
        <v>77</v>
      </c>
      <c r="D58" s="12">
        <v>46164</v>
      </c>
      <c r="E58" s="13" t="s">
        <v>112</v>
      </c>
      <c r="F58" s="13" t="s">
        <v>101</v>
      </c>
      <c r="G58" s="10">
        <v>48160</v>
      </c>
      <c r="H58" s="10">
        <v>16440</v>
      </c>
      <c r="I58" s="10">
        <f t="shared" si="1"/>
        <v>31720</v>
      </c>
    </row>
    <row r="59" spans="1:9" s="7" customFormat="1" ht="15" customHeight="1" x14ac:dyDescent="0.25">
      <c r="A59" s="2">
        <v>55</v>
      </c>
      <c r="B59" s="10" t="s">
        <v>348</v>
      </c>
      <c r="C59" s="11" t="s">
        <v>30</v>
      </c>
      <c r="D59" s="12">
        <v>46164</v>
      </c>
      <c r="E59" s="13" t="s">
        <v>359</v>
      </c>
      <c r="F59" s="13" t="s">
        <v>101</v>
      </c>
      <c r="G59" s="10">
        <v>65920</v>
      </c>
      <c r="H59" s="10">
        <v>18300</v>
      </c>
      <c r="I59" s="10">
        <f t="shared" si="1"/>
        <v>47620</v>
      </c>
    </row>
    <row r="60" spans="1:9" s="7" customFormat="1" ht="15" customHeight="1" x14ac:dyDescent="0.25">
      <c r="A60" s="2">
        <v>56</v>
      </c>
      <c r="B60" s="10" t="s">
        <v>222</v>
      </c>
      <c r="C60" s="11" t="s">
        <v>29</v>
      </c>
      <c r="D60" s="12">
        <v>46164</v>
      </c>
      <c r="E60" s="13" t="s">
        <v>154</v>
      </c>
      <c r="F60" s="13" t="s">
        <v>101</v>
      </c>
      <c r="G60" s="10">
        <v>45190</v>
      </c>
      <c r="H60" s="10">
        <v>15340</v>
      </c>
      <c r="I60" s="10">
        <f t="shared" si="1"/>
        <v>29850</v>
      </c>
    </row>
    <row r="61" spans="1:9" s="7" customFormat="1" ht="15" customHeight="1" x14ac:dyDescent="0.25">
      <c r="A61" s="2">
        <v>57</v>
      </c>
      <c r="B61" s="10" t="s">
        <v>239</v>
      </c>
      <c r="C61" s="11" t="s">
        <v>182</v>
      </c>
      <c r="D61" s="12">
        <v>46164</v>
      </c>
      <c r="E61" s="13" t="s">
        <v>189</v>
      </c>
      <c r="F61" s="13" t="s">
        <v>101</v>
      </c>
      <c r="G61" s="10">
        <v>51540</v>
      </c>
      <c r="H61" s="10">
        <v>16330</v>
      </c>
      <c r="I61" s="10">
        <f t="shared" si="1"/>
        <v>35210</v>
      </c>
    </row>
    <row r="62" spans="1:9" s="7" customFormat="1" ht="15" customHeight="1" x14ac:dyDescent="0.25">
      <c r="A62" s="2">
        <v>58</v>
      </c>
      <c r="B62" s="10" t="s">
        <v>214</v>
      </c>
      <c r="C62" s="11" t="s">
        <v>40</v>
      </c>
      <c r="D62" s="12">
        <v>46164</v>
      </c>
      <c r="E62" s="13" t="s">
        <v>115</v>
      </c>
      <c r="F62" s="13" t="s">
        <v>101</v>
      </c>
      <c r="G62" s="10">
        <v>47890</v>
      </c>
      <c r="H62" s="10">
        <v>13950</v>
      </c>
      <c r="I62" s="10">
        <f t="shared" si="1"/>
        <v>33940</v>
      </c>
    </row>
    <row r="63" spans="1:9" s="7" customFormat="1" ht="15" customHeight="1" x14ac:dyDescent="0.25">
      <c r="A63" s="2">
        <v>59</v>
      </c>
      <c r="B63" s="10" t="s">
        <v>240</v>
      </c>
      <c r="C63" s="11" t="s">
        <v>126</v>
      </c>
      <c r="D63" s="12">
        <v>46164</v>
      </c>
      <c r="E63" s="13" t="s">
        <v>163</v>
      </c>
      <c r="F63" s="13" t="s">
        <v>101</v>
      </c>
      <c r="G63" s="10">
        <v>46090</v>
      </c>
      <c r="H63" s="10">
        <v>14490</v>
      </c>
      <c r="I63" s="10">
        <f t="shared" si="1"/>
        <v>31600</v>
      </c>
    </row>
    <row r="64" spans="1:9" s="7" customFormat="1" ht="15" customHeight="1" x14ac:dyDescent="0.25">
      <c r="A64" s="2">
        <v>60</v>
      </c>
      <c r="B64" s="10" t="s">
        <v>206</v>
      </c>
      <c r="C64" s="11" t="s">
        <v>38</v>
      </c>
      <c r="D64" s="12">
        <v>46164</v>
      </c>
      <c r="E64" s="13" t="s">
        <v>183</v>
      </c>
      <c r="F64" s="13" t="s">
        <v>101</v>
      </c>
      <c r="G64" s="10">
        <v>47130</v>
      </c>
      <c r="H64" s="10">
        <v>15030</v>
      </c>
      <c r="I64" s="10">
        <f t="shared" si="1"/>
        <v>32100</v>
      </c>
    </row>
    <row r="65" spans="1:9" s="7" customFormat="1" ht="15" customHeight="1" x14ac:dyDescent="0.25">
      <c r="A65" s="2">
        <v>61</v>
      </c>
      <c r="B65" s="10" t="s">
        <v>257</v>
      </c>
      <c r="C65" s="11" t="s">
        <v>128</v>
      </c>
      <c r="D65" s="12">
        <v>46164</v>
      </c>
      <c r="E65" s="13" t="s">
        <v>164</v>
      </c>
      <c r="F65" s="13" t="s">
        <v>101</v>
      </c>
      <c r="G65" s="10">
        <v>49760</v>
      </c>
      <c r="H65" s="10">
        <v>15640</v>
      </c>
      <c r="I65" s="10">
        <f t="shared" si="1"/>
        <v>34120</v>
      </c>
    </row>
    <row r="66" spans="1:9" s="7" customFormat="1" ht="15" customHeight="1" x14ac:dyDescent="0.25">
      <c r="A66" s="2">
        <v>62</v>
      </c>
      <c r="B66" s="10" t="s">
        <v>267</v>
      </c>
      <c r="C66" s="11" t="s">
        <v>84</v>
      </c>
      <c r="D66" s="12">
        <v>46164</v>
      </c>
      <c r="E66" s="13" t="s">
        <v>165</v>
      </c>
      <c r="F66" s="13" t="s">
        <v>101</v>
      </c>
      <c r="G66" s="10">
        <v>46930</v>
      </c>
      <c r="H66" s="10">
        <v>14920</v>
      </c>
      <c r="I66" s="10">
        <f t="shared" si="1"/>
        <v>32010</v>
      </c>
    </row>
    <row r="67" spans="1:9" s="7" customFormat="1" ht="15" customHeight="1" x14ac:dyDescent="0.25">
      <c r="A67" s="2">
        <v>63</v>
      </c>
      <c r="B67" s="10" t="s">
        <v>226</v>
      </c>
      <c r="C67" s="11" t="s">
        <v>75</v>
      </c>
      <c r="D67" s="12">
        <v>46164</v>
      </c>
      <c r="E67" s="13" t="s">
        <v>116</v>
      </c>
      <c r="F67" s="13" t="s">
        <v>101</v>
      </c>
      <c r="G67" s="10">
        <v>48780</v>
      </c>
      <c r="H67" s="10">
        <v>16220</v>
      </c>
      <c r="I67" s="10">
        <f t="shared" si="1"/>
        <v>32560</v>
      </c>
    </row>
    <row r="68" spans="1:9" s="7" customFormat="1" ht="15" customHeight="1" x14ac:dyDescent="0.25">
      <c r="A68" s="2">
        <v>64</v>
      </c>
      <c r="B68" s="10" t="s">
        <v>252</v>
      </c>
      <c r="C68" s="11" t="s">
        <v>70</v>
      </c>
      <c r="D68" s="12">
        <v>46164</v>
      </c>
      <c r="E68" s="13" t="s">
        <v>117</v>
      </c>
      <c r="F68" s="13" t="s">
        <v>101</v>
      </c>
      <c r="G68" s="10">
        <v>47950</v>
      </c>
      <c r="H68" s="10">
        <v>14320</v>
      </c>
      <c r="I68" s="10">
        <f t="shared" si="1"/>
        <v>33630</v>
      </c>
    </row>
    <row r="69" spans="1:9" s="7" customFormat="1" ht="15" customHeight="1" x14ac:dyDescent="0.25">
      <c r="A69" s="2">
        <v>65</v>
      </c>
      <c r="B69" s="10" t="s">
        <v>207</v>
      </c>
      <c r="C69" s="11" t="s">
        <v>42</v>
      </c>
      <c r="D69" s="12">
        <v>46164</v>
      </c>
      <c r="E69" s="13" t="s">
        <v>166</v>
      </c>
      <c r="F69" s="13" t="s">
        <v>101</v>
      </c>
      <c r="G69" s="10">
        <v>46480</v>
      </c>
      <c r="H69" s="10">
        <v>14460</v>
      </c>
      <c r="I69" s="10">
        <f t="shared" ref="I69:I100" si="2">G69-H69</f>
        <v>32020</v>
      </c>
    </row>
    <row r="70" spans="1:9" s="7" customFormat="1" ht="15" customHeight="1" x14ac:dyDescent="0.25">
      <c r="A70" s="2">
        <v>66</v>
      </c>
      <c r="B70" s="10" t="s">
        <v>283</v>
      </c>
      <c r="C70" s="11" t="s">
        <v>124</v>
      </c>
      <c r="D70" s="12">
        <v>46164</v>
      </c>
      <c r="E70" s="13" t="s">
        <v>360</v>
      </c>
      <c r="F70" s="13" t="s">
        <v>101</v>
      </c>
      <c r="G70" s="10">
        <v>49670</v>
      </c>
      <c r="H70" s="10">
        <v>16190</v>
      </c>
      <c r="I70" s="10">
        <f t="shared" si="2"/>
        <v>33480</v>
      </c>
    </row>
    <row r="71" spans="1:9" s="7" customFormat="1" ht="15" customHeight="1" x14ac:dyDescent="0.25">
      <c r="A71" s="2">
        <v>67</v>
      </c>
      <c r="B71" s="10" t="s">
        <v>298</v>
      </c>
      <c r="C71" s="11" t="s">
        <v>73</v>
      </c>
      <c r="D71" s="12">
        <v>46164</v>
      </c>
      <c r="E71" s="13" t="s">
        <v>198</v>
      </c>
      <c r="F71" s="13" t="s">
        <v>101</v>
      </c>
      <c r="G71" s="10">
        <v>49100</v>
      </c>
      <c r="H71" s="10">
        <v>15760</v>
      </c>
      <c r="I71" s="10">
        <f t="shared" si="2"/>
        <v>33340</v>
      </c>
    </row>
    <row r="72" spans="1:9" s="7" customFormat="1" ht="15" customHeight="1" x14ac:dyDescent="0.25">
      <c r="A72" s="2">
        <v>68</v>
      </c>
      <c r="B72" s="10" t="s">
        <v>204</v>
      </c>
      <c r="C72" s="11" t="s">
        <v>35</v>
      </c>
      <c r="D72" s="12">
        <v>46164</v>
      </c>
      <c r="E72" s="13" t="s">
        <v>361</v>
      </c>
      <c r="F72" s="13" t="s">
        <v>101</v>
      </c>
      <c r="G72" s="10">
        <v>46310</v>
      </c>
      <c r="H72" s="10">
        <v>15190</v>
      </c>
      <c r="I72" s="10">
        <f t="shared" si="2"/>
        <v>31120</v>
      </c>
    </row>
    <row r="73" spans="1:9" s="7" customFormat="1" ht="15" customHeight="1" x14ac:dyDescent="0.25">
      <c r="A73" s="2">
        <v>69</v>
      </c>
      <c r="B73" s="10" t="s">
        <v>291</v>
      </c>
      <c r="C73" s="11" t="s">
        <v>79</v>
      </c>
      <c r="D73" s="12">
        <v>46164</v>
      </c>
      <c r="E73" s="13" t="s">
        <v>151</v>
      </c>
      <c r="F73" s="13" t="s">
        <v>101</v>
      </c>
      <c r="G73" s="10">
        <v>47480</v>
      </c>
      <c r="H73" s="10">
        <v>14730</v>
      </c>
      <c r="I73" s="10">
        <f t="shared" si="2"/>
        <v>32750</v>
      </c>
    </row>
    <row r="74" spans="1:9" s="7" customFormat="1" ht="15" customHeight="1" x14ac:dyDescent="0.25">
      <c r="A74" s="2">
        <v>70</v>
      </c>
      <c r="B74" s="10" t="s">
        <v>224</v>
      </c>
      <c r="C74" s="11" t="s">
        <v>92</v>
      </c>
      <c r="D74" s="12">
        <v>46164</v>
      </c>
      <c r="E74" s="13" t="s">
        <v>190</v>
      </c>
      <c r="F74" s="13" t="s">
        <v>101</v>
      </c>
      <c r="G74" s="10">
        <v>51050</v>
      </c>
      <c r="H74" s="10">
        <v>15870</v>
      </c>
      <c r="I74" s="10">
        <f t="shared" si="2"/>
        <v>35180</v>
      </c>
    </row>
    <row r="75" spans="1:9" s="7" customFormat="1" ht="15" customHeight="1" x14ac:dyDescent="0.25">
      <c r="A75" s="2">
        <v>71</v>
      </c>
      <c r="B75" s="10" t="s">
        <v>260</v>
      </c>
      <c r="C75" s="11" t="s">
        <v>80</v>
      </c>
      <c r="D75" s="12">
        <v>46164</v>
      </c>
      <c r="E75" s="13" t="s">
        <v>135</v>
      </c>
      <c r="F75" s="13" t="s">
        <v>101</v>
      </c>
      <c r="G75" s="10">
        <v>48910</v>
      </c>
      <c r="H75" s="10">
        <v>14650</v>
      </c>
      <c r="I75" s="10">
        <f t="shared" si="2"/>
        <v>34260</v>
      </c>
    </row>
    <row r="76" spans="1:9" s="7" customFormat="1" ht="15" customHeight="1" x14ac:dyDescent="0.25">
      <c r="A76" s="2">
        <v>72</v>
      </c>
      <c r="B76" s="10" t="s">
        <v>245</v>
      </c>
      <c r="C76" s="11" t="s">
        <v>78</v>
      </c>
      <c r="D76" s="12">
        <v>46164</v>
      </c>
      <c r="E76" s="13" t="s">
        <v>118</v>
      </c>
      <c r="F76" s="13" t="s">
        <v>101</v>
      </c>
      <c r="G76" s="10">
        <v>46430</v>
      </c>
      <c r="H76" s="10">
        <v>15440</v>
      </c>
      <c r="I76" s="10">
        <f t="shared" si="2"/>
        <v>30990</v>
      </c>
    </row>
    <row r="77" spans="1:9" s="7" customFormat="1" ht="15" customHeight="1" x14ac:dyDescent="0.25">
      <c r="A77" s="2">
        <v>73</v>
      </c>
      <c r="B77" s="10" t="s">
        <v>208</v>
      </c>
      <c r="C77" s="11" t="s">
        <v>33</v>
      </c>
      <c r="D77" s="12">
        <v>46164</v>
      </c>
      <c r="E77" s="13" t="s">
        <v>159</v>
      </c>
      <c r="F77" s="13" t="s">
        <v>101</v>
      </c>
      <c r="G77" s="10">
        <v>46820</v>
      </c>
      <c r="H77" s="10">
        <v>14110</v>
      </c>
      <c r="I77" s="10">
        <f t="shared" si="2"/>
        <v>32710</v>
      </c>
    </row>
    <row r="78" spans="1:9" s="7" customFormat="1" ht="15" customHeight="1" x14ac:dyDescent="0.25">
      <c r="A78" s="2">
        <v>74</v>
      </c>
      <c r="B78" s="10" t="s">
        <v>335</v>
      </c>
      <c r="C78" s="11" t="s">
        <v>31</v>
      </c>
      <c r="D78" s="12">
        <v>46164</v>
      </c>
      <c r="E78" s="13" t="s">
        <v>362</v>
      </c>
      <c r="F78" s="13" t="s">
        <v>101</v>
      </c>
      <c r="G78" s="10">
        <v>48040</v>
      </c>
      <c r="H78" s="10">
        <v>17740</v>
      </c>
      <c r="I78" s="10">
        <f t="shared" si="2"/>
        <v>30300</v>
      </c>
    </row>
    <row r="79" spans="1:9" s="7" customFormat="1" ht="15" customHeight="1" x14ac:dyDescent="0.25">
      <c r="A79" s="2">
        <v>75</v>
      </c>
      <c r="B79" s="10" t="s">
        <v>295</v>
      </c>
      <c r="C79" s="11" t="s">
        <v>81</v>
      </c>
      <c r="D79" s="12">
        <v>46164</v>
      </c>
      <c r="E79" s="13" t="s">
        <v>191</v>
      </c>
      <c r="F79" s="13" t="s">
        <v>101</v>
      </c>
      <c r="G79" s="10">
        <v>45920</v>
      </c>
      <c r="H79" s="10">
        <v>14190</v>
      </c>
      <c r="I79" s="10">
        <f t="shared" si="2"/>
        <v>31730</v>
      </c>
    </row>
    <row r="80" spans="1:9" s="7" customFormat="1" ht="15" customHeight="1" x14ac:dyDescent="0.25">
      <c r="A80" s="2">
        <v>76</v>
      </c>
      <c r="B80" s="10" t="s">
        <v>238</v>
      </c>
      <c r="C80" s="11" t="s">
        <v>66</v>
      </c>
      <c r="D80" s="12">
        <v>46164</v>
      </c>
      <c r="E80" s="13" t="s">
        <v>167</v>
      </c>
      <c r="F80" s="13" t="s">
        <v>101</v>
      </c>
      <c r="G80" s="10">
        <v>45920</v>
      </c>
      <c r="H80" s="10">
        <v>15110</v>
      </c>
      <c r="I80" s="10">
        <f t="shared" si="2"/>
        <v>30810</v>
      </c>
    </row>
    <row r="81" spans="1:9" s="7" customFormat="1" ht="15" customHeight="1" x14ac:dyDescent="0.25">
      <c r="A81" s="2">
        <v>77</v>
      </c>
      <c r="B81" s="10" t="s">
        <v>217</v>
      </c>
      <c r="C81" s="11" t="s">
        <v>52</v>
      </c>
      <c r="D81" s="12">
        <v>46164</v>
      </c>
      <c r="E81" s="13" t="s">
        <v>363</v>
      </c>
      <c r="F81" s="13" t="s">
        <v>101</v>
      </c>
      <c r="G81" s="10">
        <v>46500</v>
      </c>
      <c r="H81" s="10">
        <v>14380</v>
      </c>
      <c r="I81" s="10">
        <f t="shared" si="2"/>
        <v>32120</v>
      </c>
    </row>
    <row r="82" spans="1:9" s="7" customFormat="1" ht="15" customHeight="1" x14ac:dyDescent="0.25">
      <c r="A82" s="2">
        <v>78</v>
      </c>
      <c r="B82" s="10" t="s">
        <v>220</v>
      </c>
      <c r="C82" s="11" t="s">
        <v>58</v>
      </c>
      <c r="D82" s="12">
        <v>46164</v>
      </c>
      <c r="E82" s="13" t="s">
        <v>168</v>
      </c>
      <c r="F82" s="13" t="s">
        <v>101</v>
      </c>
      <c r="G82" s="10">
        <v>45770</v>
      </c>
      <c r="H82" s="10">
        <v>14920</v>
      </c>
      <c r="I82" s="10">
        <f t="shared" si="2"/>
        <v>30850</v>
      </c>
    </row>
    <row r="83" spans="1:9" s="7" customFormat="1" ht="15" customHeight="1" x14ac:dyDescent="0.25">
      <c r="A83" s="2">
        <v>79</v>
      </c>
      <c r="B83" s="10" t="s">
        <v>337</v>
      </c>
      <c r="C83" s="11" t="s">
        <v>37</v>
      </c>
      <c r="D83" s="12">
        <v>46164</v>
      </c>
      <c r="E83" s="13" t="s">
        <v>169</v>
      </c>
      <c r="F83" s="13" t="s">
        <v>101</v>
      </c>
      <c r="G83" s="10">
        <v>50640</v>
      </c>
      <c r="H83" s="10">
        <v>18010</v>
      </c>
      <c r="I83" s="10">
        <f t="shared" si="2"/>
        <v>32630</v>
      </c>
    </row>
    <row r="84" spans="1:9" s="7" customFormat="1" ht="15" customHeight="1" x14ac:dyDescent="0.25">
      <c r="A84" s="2">
        <v>80</v>
      </c>
      <c r="B84" s="10" t="s">
        <v>320</v>
      </c>
      <c r="C84" s="11" t="s">
        <v>149</v>
      </c>
      <c r="D84" s="12">
        <v>46164</v>
      </c>
      <c r="E84" s="13" t="s">
        <v>170</v>
      </c>
      <c r="F84" s="13" t="s">
        <v>101</v>
      </c>
      <c r="G84" s="10">
        <v>44620</v>
      </c>
      <c r="H84" s="10">
        <v>14490</v>
      </c>
      <c r="I84" s="10">
        <f t="shared" si="2"/>
        <v>30130</v>
      </c>
    </row>
    <row r="85" spans="1:9" s="7" customFormat="1" ht="15" customHeight="1" x14ac:dyDescent="0.25">
      <c r="A85" s="2">
        <v>81</v>
      </c>
      <c r="B85" s="10" t="s">
        <v>212</v>
      </c>
      <c r="C85" s="11" t="s">
        <v>36</v>
      </c>
      <c r="D85" s="12">
        <v>46164</v>
      </c>
      <c r="E85" s="13" t="s">
        <v>364</v>
      </c>
      <c r="F85" s="13" t="s">
        <v>101</v>
      </c>
      <c r="G85" s="10">
        <v>44270</v>
      </c>
      <c r="H85" s="10">
        <v>13810</v>
      </c>
      <c r="I85" s="10">
        <f t="shared" si="2"/>
        <v>30460</v>
      </c>
    </row>
    <row r="86" spans="1:9" s="7" customFormat="1" ht="15" customHeight="1" x14ac:dyDescent="0.25">
      <c r="A86" s="2">
        <v>82</v>
      </c>
      <c r="B86" s="10" t="s">
        <v>251</v>
      </c>
      <c r="C86" s="11" t="s">
        <v>71</v>
      </c>
      <c r="D86" s="12">
        <v>46164</v>
      </c>
      <c r="E86" s="13" t="s">
        <v>136</v>
      </c>
      <c r="F86" s="13" t="s">
        <v>101</v>
      </c>
      <c r="G86" s="10">
        <v>44980</v>
      </c>
      <c r="H86" s="10">
        <v>13850</v>
      </c>
      <c r="I86" s="10">
        <f t="shared" si="2"/>
        <v>31130</v>
      </c>
    </row>
    <row r="87" spans="1:9" s="7" customFormat="1" ht="15" customHeight="1" x14ac:dyDescent="0.25">
      <c r="A87" s="2">
        <v>83</v>
      </c>
      <c r="B87" s="10" t="s">
        <v>230</v>
      </c>
      <c r="C87" s="11" t="s">
        <v>96</v>
      </c>
      <c r="D87" s="12">
        <v>46164</v>
      </c>
      <c r="E87" s="13" t="s">
        <v>365</v>
      </c>
      <c r="F87" s="13" t="s">
        <v>101</v>
      </c>
      <c r="G87" s="10">
        <v>49450</v>
      </c>
      <c r="H87" s="10">
        <v>14230</v>
      </c>
      <c r="I87" s="10">
        <f t="shared" si="2"/>
        <v>35220</v>
      </c>
    </row>
    <row r="88" spans="1:9" s="7" customFormat="1" ht="15" customHeight="1" x14ac:dyDescent="0.25">
      <c r="A88" s="2">
        <v>84</v>
      </c>
      <c r="B88" s="10" t="s">
        <v>247</v>
      </c>
      <c r="C88" s="11" t="s">
        <v>32</v>
      </c>
      <c r="D88" s="12">
        <v>46164</v>
      </c>
      <c r="E88" s="13" t="s">
        <v>153</v>
      </c>
      <c r="F88" s="13" t="s">
        <v>101</v>
      </c>
      <c r="G88" s="10">
        <v>68680</v>
      </c>
      <c r="H88" s="10">
        <v>23910</v>
      </c>
      <c r="I88" s="10">
        <f t="shared" si="2"/>
        <v>44770</v>
      </c>
    </row>
    <row r="89" spans="1:9" s="7" customFormat="1" ht="15" customHeight="1" x14ac:dyDescent="0.25">
      <c r="A89" s="2">
        <v>85</v>
      </c>
      <c r="B89" s="10" t="s">
        <v>209</v>
      </c>
      <c r="C89" s="11" t="s">
        <v>54</v>
      </c>
      <c r="D89" s="12">
        <v>46164</v>
      </c>
      <c r="E89" s="13" t="s">
        <v>199</v>
      </c>
      <c r="F89" s="13" t="s">
        <v>101</v>
      </c>
      <c r="G89" s="10">
        <v>42270</v>
      </c>
      <c r="H89" s="10">
        <v>13890</v>
      </c>
      <c r="I89" s="10">
        <f t="shared" si="2"/>
        <v>28380</v>
      </c>
    </row>
    <row r="90" spans="1:9" s="7" customFormat="1" ht="15" customHeight="1" x14ac:dyDescent="0.25">
      <c r="A90" s="2">
        <v>86</v>
      </c>
      <c r="B90" s="10" t="s">
        <v>331</v>
      </c>
      <c r="C90" s="11" t="s">
        <v>76</v>
      </c>
      <c r="D90" s="12">
        <v>46164</v>
      </c>
      <c r="E90" s="13" t="s">
        <v>171</v>
      </c>
      <c r="F90" s="13" t="s">
        <v>101</v>
      </c>
      <c r="G90" s="10">
        <v>50220</v>
      </c>
      <c r="H90" s="10">
        <v>17820</v>
      </c>
      <c r="I90" s="10">
        <f t="shared" si="2"/>
        <v>32400</v>
      </c>
    </row>
    <row r="91" spans="1:9" s="7" customFormat="1" ht="15" customHeight="1" x14ac:dyDescent="0.25">
      <c r="A91" s="2">
        <v>87</v>
      </c>
      <c r="B91" s="10" t="s">
        <v>338</v>
      </c>
      <c r="C91" s="11" t="s">
        <v>148</v>
      </c>
      <c r="D91" s="12">
        <v>46164</v>
      </c>
      <c r="E91" s="13" t="s">
        <v>172</v>
      </c>
      <c r="F91" s="13" t="s">
        <v>101</v>
      </c>
      <c r="G91" s="10">
        <v>49010</v>
      </c>
      <c r="H91" s="10">
        <v>17590</v>
      </c>
      <c r="I91" s="10">
        <f t="shared" si="2"/>
        <v>31420</v>
      </c>
    </row>
    <row r="92" spans="1:9" s="7" customFormat="1" ht="15" customHeight="1" x14ac:dyDescent="0.25">
      <c r="A92" s="2">
        <v>88</v>
      </c>
      <c r="B92" s="10" t="s">
        <v>294</v>
      </c>
      <c r="C92" s="11" t="s">
        <v>65</v>
      </c>
      <c r="D92" s="12">
        <v>46164</v>
      </c>
      <c r="E92" s="13" t="s">
        <v>366</v>
      </c>
      <c r="F92" s="13" t="s">
        <v>101</v>
      </c>
      <c r="G92" s="10">
        <v>46320</v>
      </c>
      <c r="H92" s="10">
        <v>14870</v>
      </c>
      <c r="I92" s="10">
        <f t="shared" si="2"/>
        <v>31450</v>
      </c>
    </row>
    <row r="93" spans="1:9" s="7" customFormat="1" ht="15" customHeight="1" x14ac:dyDescent="0.25">
      <c r="A93" s="2">
        <v>89</v>
      </c>
      <c r="B93" s="10" t="s">
        <v>250</v>
      </c>
      <c r="C93" s="11" t="s">
        <v>41</v>
      </c>
      <c r="D93" s="12">
        <v>46164</v>
      </c>
      <c r="E93" s="13" t="s">
        <v>173</v>
      </c>
      <c r="F93" s="13" t="s">
        <v>101</v>
      </c>
      <c r="G93" s="10">
        <v>48010</v>
      </c>
      <c r="H93" s="10">
        <v>15190</v>
      </c>
      <c r="I93" s="10">
        <f t="shared" si="2"/>
        <v>32820</v>
      </c>
    </row>
    <row r="94" spans="1:9" s="7" customFormat="1" ht="15" customHeight="1" x14ac:dyDescent="0.25">
      <c r="A94" s="2">
        <v>90</v>
      </c>
      <c r="B94" s="10" t="s">
        <v>271</v>
      </c>
      <c r="C94" s="11" t="s">
        <v>55</v>
      </c>
      <c r="D94" s="12">
        <v>46164</v>
      </c>
      <c r="E94" s="13" t="s">
        <v>174</v>
      </c>
      <c r="F94" s="13" t="s">
        <v>101</v>
      </c>
      <c r="G94" s="10">
        <v>49050</v>
      </c>
      <c r="H94" s="10">
        <v>15720</v>
      </c>
      <c r="I94" s="10">
        <f t="shared" si="2"/>
        <v>33330</v>
      </c>
    </row>
    <row r="95" spans="1:9" s="7" customFormat="1" ht="15" customHeight="1" x14ac:dyDescent="0.25">
      <c r="A95" s="2">
        <v>91</v>
      </c>
      <c r="B95" s="10" t="s">
        <v>350</v>
      </c>
      <c r="C95" s="11" t="s">
        <v>25</v>
      </c>
      <c r="D95" s="12">
        <v>46164</v>
      </c>
      <c r="E95" s="13" t="s">
        <v>175</v>
      </c>
      <c r="F95" s="13" t="s">
        <v>101</v>
      </c>
      <c r="G95" s="10">
        <v>68840</v>
      </c>
      <c r="H95" s="10">
        <v>24700</v>
      </c>
      <c r="I95" s="10">
        <f t="shared" si="2"/>
        <v>44140</v>
      </c>
    </row>
    <row r="96" spans="1:9" s="7" customFormat="1" ht="15" customHeight="1" x14ac:dyDescent="0.25">
      <c r="A96" s="2">
        <v>92</v>
      </c>
      <c r="B96" s="10" t="s">
        <v>329</v>
      </c>
      <c r="C96" s="11" t="s">
        <v>34</v>
      </c>
      <c r="D96" s="12">
        <v>46164</v>
      </c>
      <c r="E96" s="13" t="s">
        <v>184</v>
      </c>
      <c r="F96" s="13" t="s">
        <v>101</v>
      </c>
      <c r="G96" s="10">
        <v>48300</v>
      </c>
      <c r="H96" s="10">
        <v>16830</v>
      </c>
      <c r="I96" s="10">
        <f t="shared" si="2"/>
        <v>31470</v>
      </c>
    </row>
    <row r="97" spans="1:9" s="7" customFormat="1" ht="15" customHeight="1" x14ac:dyDescent="0.25">
      <c r="A97" s="2">
        <v>93</v>
      </c>
      <c r="B97" s="10" t="s">
        <v>266</v>
      </c>
      <c r="C97" s="11" t="s">
        <v>98</v>
      </c>
      <c r="D97" s="12">
        <v>46164</v>
      </c>
      <c r="E97" s="13" t="s">
        <v>157</v>
      </c>
      <c r="F97" s="13" t="s">
        <v>101</v>
      </c>
      <c r="G97" s="10">
        <v>46090</v>
      </c>
      <c r="H97" s="10">
        <v>14560</v>
      </c>
      <c r="I97" s="10">
        <f t="shared" si="2"/>
        <v>31530</v>
      </c>
    </row>
    <row r="98" spans="1:9" s="7" customFormat="1" ht="15" customHeight="1" x14ac:dyDescent="0.25">
      <c r="A98" s="2">
        <v>94</v>
      </c>
      <c r="B98" s="10" t="s">
        <v>265</v>
      </c>
      <c r="C98" s="11" t="s">
        <v>99</v>
      </c>
      <c r="D98" s="12">
        <v>46164</v>
      </c>
      <c r="E98" s="13" t="s">
        <v>367</v>
      </c>
      <c r="F98" s="13" t="s">
        <v>101</v>
      </c>
      <c r="G98" s="10">
        <v>43520</v>
      </c>
      <c r="H98" s="10">
        <v>13620</v>
      </c>
      <c r="I98" s="10">
        <f t="shared" si="2"/>
        <v>29900</v>
      </c>
    </row>
    <row r="99" spans="1:9" s="7" customFormat="1" ht="15" customHeight="1" x14ac:dyDescent="0.25">
      <c r="A99" s="2">
        <v>95</v>
      </c>
      <c r="B99" s="10" t="s">
        <v>253</v>
      </c>
      <c r="C99" s="11" t="s">
        <v>254</v>
      </c>
      <c r="D99" s="12">
        <v>46164</v>
      </c>
      <c r="E99" s="13" t="s">
        <v>368</v>
      </c>
      <c r="F99" s="13" t="s">
        <v>101</v>
      </c>
      <c r="G99" s="10">
        <v>45130</v>
      </c>
      <c r="H99" s="10">
        <v>14730</v>
      </c>
      <c r="I99" s="10">
        <f t="shared" si="2"/>
        <v>30400</v>
      </c>
    </row>
    <row r="100" spans="1:9" s="7" customFormat="1" ht="15" customHeight="1" x14ac:dyDescent="0.25">
      <c r="A100" s="2">
        <v>96</v>
      </c>
      <c r="B100" s="10" t="s">
        <v>205</v>
      </c>
      <c r="C100" s="11" t="s">
        <v>94</v>
      </c>
      <c r="D100" s="12">
        <v>46164</v>
      </c>
      <c r="E100" s="13" t="s">
        <v>150</v>
      </c>
      <c r="F100" s="13" t="s">
        <v>101</v>
      </c>
      <c r="G100" s="10">
        <v>46570</v>
      </c>
      <c r="H100" s="10">
        <v>14270</v>
      </c>
      <c r="I100" s="10">
        <f t="shared" si="2"/>
        <v>32300</v>
      </c>
    </row>
    <row r="101" spans="1:9" s="7" customFormat="1" ht="15" customHeight="1" x14ac:dyDescent="0.25">
      <c r="A101" s="2">
        <v>97</v>
      </c>
      <c r="B101" s="10" t="s">
        <v>219</v>
      </c>
      <c r="C101" s="11" t="s">
        <v>56</v>
      </c>
      <c r="D101" s="12">
        <v>46164</v>
      </c>
      <c r="E101" s="13" t="s">
        <v>369</v>
      </c>
      <c r="F101" s="13" t="s">
        <v>101</v>
      </c>
      <c r="G101" s="10">
        <v>45090</v>
      </c>
      <c r="H101" s="10">
        <v>14570</v>
      </c>
      <c r="I101" s="10">
        <f t="shared" ref="I101:I132" si="3">G101-H101</f>
        <v>30520</v>
      </c>
    </row>
    <row r="102" spans="1:9" s="7" customFormat="1" ht="15" customHeight="1" x14ac:dyDescent="0.25">
      <c r="A102" s="2">
        <v>98</v>
      </c>
      <c r="B102" s="10" t="s">
        <v>319</v>
      </c>
      <c r="C102" s="11" t="s">
        <v>63</v>
      </c>
      <c r="D102" s="12">
        <v>46164</v>
      </c>
      <c r="E102" s="13" t="s">
        <v>370</v>
      </c>
      <c r="F102" s="13" t="s">
        <v>101</v>
      </c>
      <c r="G102" s="10">
        <v>47190</v>
      </c>
      <c r="H102" s="10">
        <v>14780</v>
      </c>
      <c r="I102" s="10">
        <f t="shared" si="3"/>
        <v>32410</v>
      </c>
    </row>
    <row r="103" spans="1:9" s="7" customFormat="1" ht="15" customHeight="1" x14ac:dyDescent="0.25">
      <c r="A103" s="2">
        <v>99</v>
      </c>
      <c r="B103" s="10" t="s">
        <v>297</v>
      </c>
      <c r="C103" s="11" t="s">
        <v>64</v>
      </c>
      <c r="D103" s="12">
        <v>46164</v>
      </c>
      <c r="E103" s="13" t="s">
        <v>137</v>
      </c>
      <c r="F103" s="13" t="s">
        <v>101</v>
      </c>
      <c r="G103" s="10">
        <v>46910</v>
      </c>
      <c r="H103" s="10">
        <v>15120</v>
      </c>
      <c r="I103" s="10">
        <f t="shared" si="3"/>
        <v>31790</v>
      </c>
    </row>
    <row r="104" spans="1:9" s="7" customFormat="1" ht="15" customHeight="1" x14ac:dyDescent="0.25">
      <c r="A104" s="2">
        <v>100</v>
      </c>
      <c r="B104" s="10" t="s">
        <v>242</v>
      </c>
      <c r="C104" s="11" t="s">
        <v>125</v>
      </c>
      <c r="D104" s="12">
        <v>46164</v>
      </c>
      <c r="E104" s="13" t="s">
        <v>138</v>
      </c>
      <c r="F104" s="13" t="s">
        <v>101</v>
      </c>
      <c r="G104" s="10">
        <v>45660</v>
      </c>
      <c r="H104" s="10">
        <v>15240</v>
      </c>
      <c r="I104" s="10">
        <f t="shared" si="3"/>
        <v>30420</v>
      </c>
    </row>
    <row r="105" spans="1:9" s="7" customFormat="1" ht="15" customHeight="1" x14ac:dyDescent="0.25">
      <c r="A105" s="2">
        <v>101</v>
      </c>
      <c r="B105" s="10" t="s">
        <v>307</v>
      </c>
      <c r="C105" s="11" t="s">
        <v>48</v>
      </c>
      <c r="D105" s="12">
        <v>46164</v>
      </c>
      <c r="E105" s="13" t="s">
        <v>371</v>
      </c>
      <c r="F105" s="13" t="s">
        <v>101</v>
      </c>
      <c r="G105" s="10">
        <v>45870</v>
      </c>
      <c r="H105" s="10">
        <v>15290</v>
      </c>
      <c r="I105" s="10">
        <f t="shared" si="3"/>
        <v>30580</v>
      </c>
    </row>
    <row r="106" spans="1:9" s="7" customFormat="1" ht="15" customHeight="1" x14ac:dyDescent="0.25">
      <c r="A106" s="2">
        <v>102</v>
      </c>
      <c r="B106" s="10" t="s">
        <v>202</v>
      </c>
      <c r="C106" s="11" t="s">
        <v>50</v>
      </c>
      <c r="D106" s="12">
        <v>46164</v>
      </c>
      <c r="E106" s="13" t="s">
        <v>372</v>
      </c>
      <c r="F106" s="13" t="s">
        <v>101</v>
      </c>
      <c r="G106" s="10">
        <v>46630</v>
      </c>
      <c r="H106" s="10">
        <v>14930</v>
      </c>
      <c r="I106" s="10">
        <f t="shared" si="3"/>
        <v>31700</v>
      </c>
    </row>
    <row r="107" spans="1:9" s="7" customFormat="1" ht="15" customHeight="1" x14ac:dyDescent="0.25">
      <c r="A107" s="2">
        <v>103</v>
      </c>
      <c r="B107" s="10" t="s">
        <v>272</v>
      </c>
      <c r="C107" s="11" t="s">
        <v>120</v>
      </c>
      <c r="D107" s="12">
        <v>46164</v>
      </c>
      <c r="E107" s="13" t="s">
        <v>373</v>
      </c>
      <c r="F107" s="13" t="s">
        <v>101</v>
      </c>
      <c r="G107" s="10">
        <v>47550</v>
      </c>
      <c r="H107" s="10">
        <v>15180</v>
      </c>
      <c r="I107" s="10">
        <f t="shared" si="3"/>
        <v>32370</v>
      </c>
    </row>
    <row r="108" spans="1:9" s="7" customFormat="1" ht="15" customHeight="1" x14ac:dyDescent="0.25">
      <c r="A108" s="2">
        <v>104</v>
      </c>
      <c r="B108" s="10" t="s">
        <v>234</v>
      </c>
      <c r="C108" s="11" t="s">
        <v>57</v>
      </c>
      <c r="D108" s="12">
        <v>46164</v>
      </c>
      <c r="E108" s="13" t="s">
        <v>374</v>
      </c>
      <c r="F108" s="13" t="s">
        <v>101</v>
      </c>
      <c r="G108" s="10">
        <v>44310</v>
      </c>
      <c r="H108" s="10">
        <v>15760</v>
      </c>
      <c r="I108" s="10">
        <f t="shared" si="3"/>
        <v>28550</v>
      </c>
    </row>
    <row r="109" spans="1:9" s="7" customFormat="1" ht="15" customHeight="1" x14ac:dyDescent="0.25">
      <c r="A109" s="2">
        <v>105</v>
      </c>
      <c r="B109" s="10" t="s">
        <v>333</v>
      </c>
      <c r="C109" s="11" t="s">
        <v>51</v>
      </c>
      <c r="D109" s="12">
        <v>46164</v>
      </c>
      <c r="E109" s="13" t="s">
        <v>139</v>
      </c>
      <c r="F109" s="13" t="s">
        <v>101</v>
      </c>
      <c r="G109" s="10">
        <v>50070</v>
      </c>
      <c r="H109" s="10">
        <v>17940</v>
      </c>
      <c r="I109" s="10">
        <f t="shared" si="3"/>
        <v>32130</v>
      </c>
    </row>
    <row r="110" spans="1:9" s="7" customFormat="1" ht="15" customHeight="1" x14ac:dyDescent="0.25">
      <c r="A110" s="2">
        <v>106</v>
      </c>
      <c r="B110" s="10" t="s">
        <v>223</v>
      </c>
      <c r="C110" s="11" t="s">
        <v>29</v>
      </c>
      <c r="D110" s="12">
        <v>46164</v>
      </c>
      <c r="E110" s="13" t="s">
        <v>140</v>
      </c>
      <c r="F110" s="13" t="s">
        <v>101</v>
      </c>
      <c r="G110" s="10">
        <v>43020</v>
      </c>
      <c r="H110" s="10">
        <v>15340</v>
      </c>
      <c r="I110" s="10">
        <f t="shared" si="3"/>
        <v>27680</v>
      </c>
    </row>
    <row r="111" spans="1:9" s="7" customFormat="1" ht="15" customHeight="1" x14ac:dyDescent="0.25">
      <c r="A111" s="2">
        <v>107</v>
      </c>
      <c r="B111" s="10" t="s">
        <v>340</v>
      </c>
      <c r="C111" s="11" t="s">
        <v>194</v>
      </c>
      <c r="D111" s="12">
        <v>46164</v>
      </c>
      <c r="E111" s="13" t="s">
        <v>141</v>
      </c>
      <c r="F111" s="13" t="s">
        <v>101</v>
      </c>
      <c r="G111" s="10">
        <v>47490</v>
      </c>
      <c r="H111" s="10">
        <v>17610</v>
      </c>
      <c r="I111" s="10">
        <f t="shared" si="3"/>
        <v>29880</v>
      </c>
    </row>
    <row r="112" spans="1:9" s="7" customFormat="1" ht="15" customHeight="1" x14ac:dyDescent="0.25">
      <c r="A112" s="2">
        <v>108</v>
      </c>
      <c r="B112" s="10" t="s">
        <v>264</v>
      </c>
      <c r="C112" s="11" t="s">
        <v>130</v>
      </c>
      <c r="D112" s="12">
        <v>46164</v>
      </c>
      <c r="E112" s="13" t="s">
        <v>185</v>
      </c>
      <c r="F112" s="13" t="s">
        <v>101</v>
      </c>
      <c r="G112" s="10">
        <v>46960</v>
      </c>
      <c r="H112" s="10">
        <v>13290</v>
      </c>
      <c r="I112" s="10">
        <f t="shared" si="3"/>
        <v>33670</v>
      </c>
    </row>
    <row r="113" spans="1:9" s="7" customFormat="1" ht="15" customHeight="1" x14ac:dyDescent="0.25">
      <c r="A113" s="2">
        <v>109</v>
      </c>
      <c r="B113" s="10" t="s">
        <v>211</v>
      </c>
      <c r="C113" s="11" t="s">
        <v>27</v>
      </c>
      <c r="D113" s="12">
        <v>46164</v>
      </c>
      <c r="E113" s="13" t="s">
        <v>142</v>
      </c>
      <c r="F113" s="13" t="s">
        <v>101</v>
      </c>
      <c r="G113" s="10">
        <v>49050</v>
      </c>
      <c r="H113" s="10">
        <v>15030</v>
      </c>
      <c r="I113" s="10">
        <f t="shared" si="3"/>
        <v>34020</v>
      </c>
    </row>
    <row r="114" spans="1:9" s="7" customFormat="1" ht="15" customHeight="1" x14ac:dyDescent="0.25">
      <c r="A114" s="2">
        <v>110</v>
      </c>
      <c r="B114" s="10" t="s">
        <v>342</v>
      </c>
      <c r="C114" s="11" t="s">
        <v>28</v>
      </c>
      <c r="D114" s="12">
        <v>46164</v>
      </c>
      <c r="E114" s="13" t="s">
        <v>143</v>
      </c>
      <c r="F114" s="13" t="s">
        <v>101</v>
      </c>
      <c r="G114" s="10">
        <v>45190</v>
      </c>
      <c r="H114" s="10">
        <v>15170</v>
      </c>
      <c r="I114" s="10">
        <f t="shared" si="3"/>
        <v>30020</v>
      </c>
    </row>
    <row r="115" spans="1:9" s="7" customFormat="1" ht="15" customHeight="1" x14ac:dyDescent="0.25">
      <c r="A115" s="2">
        <v>111</v>
      </c>
      <c r="B115" s="10" t="s">
        <v>309</v>
      </c>
      <c r="C115" s="11" t="s">
        <v>90</v>
      </c>
      <c r="D115" s="12">
        <v>46164</v>
      </c>
      <c r="E115" s="13" t="s">
        <v>176</v>
      </c>
      <c r="F115" s="13" t="s">
        <v>101</v>
      </c>
      <c r="G115" s="10">
        <v>45150</v>
      </c>
      <c r="H115" s="10">
        <v>14460</v>
      </c>
      <c r="I115" s="10">
        <f t="shared" si="3"/>
        <v>30690</v>
      </c>
    </row>
    <row r="116" spans="1:9" s="7" customFormat="1" ht="15" customHeight="1" x14ac:dyDescent="0.25">
      <c r="A116" s="2">
        <v>112</v>
      </c>
      <c r="B116" s="10" t="s">
        <v>258</v>
      </c>
      <c r="C116" s="11" t="s">
        <v>128</v>
      </c>
      <c r="D116" s="12">
        <v>46165</v>
      </c>
      <c r="E116" s="13" t="s">
        <v>152</v>
      </c>
      <c r="F116" s="13" t="s">
        <v>101</v>
      </c>
      <c r="G116" s="10">
        <v>46030</v>
      </c>
      <c r="H116" s="10">
        <v>15090</v>
      </c>
      <c r="I116" s="10">
        <f t="shared" si="3"/>
        <v>30940</v>
      </c>
    </row>
    <row r="117" spans="1:9" s="7" customFormat="1" ht="15" customHeight="1" x14ac:dyDescent="0.25">
      <c r="A117" s="2">
        <v>113</v>
      </c>
      <c r="B117" s="10" t="s">
        <v>256</v>
      </c>
      <c r="C117" s="11" t="s">
        <v>69</v>
      </c>
      <c r="D117" s="12">
        <v>46165</v>
      </c>
      <c r="E117" s="13" t="s">
        <v>177</v>
      </c>
      <c r="F117" s="13" t="s">
        <v>101</v>
      </c>
      <c r="G117" s="10">
        <v>48200</v>
      </c>
      <c r="H117" s="10">
        <v>15140</v>
      </c>
      <c r="I117" s="10">
        <f t="shared" si="3"/>
        <v>33060</v>
      </c>
    </row>
    <row r="118" spans="1:9" s="7" customFormat="1" ht="15" customHeight="1" x14ac:dyDescent="0.25">
      <c r="A118" s="2">
        <v>114</v>
      </c>
      <c r="B118" s="10" t="s">
        <v>249</v>
      </c>
      <c r="C118" s="11" t="s">
        <v>119</v>
      </c>
      <c r="D118" s="12">
        <v>46165</v>
      </c>
      <c r="E118" s="13" t="s">
        <v>144</v>
      </c>
      <c r="F118" s="13" t="s">
        <v>101</v>
      </c>
      <c r="G118" s="10">
        <v>49610</v>
      </c>
      <c r="H118" s="10">
        <v>16040</v>
      </c>
      <c r="I118" s="10">
        <f t="shared" si="3"/>
        <v>33570</v>
      </c>
    </row>
    <row r="119" spans="1:9" s="7" customFormat="1" ht="15" customHeight="1" x14ac:dyDescent="0.25">
      <c r="A119" s="2">
        <v>115</v>
      </c>
      <c r="B119" s="10" t="s">
        <v>326</v>
      </c>
      <c r="C119" s="11" t="s">
        <v>74</v>
      </c>
      <c r="D119" s="12">
        <v>46165</v>
      </c>
      <c r="E119" s="13" t="s">
        <v>375</v>
      </c>
      <c r="F119" s="13" t="s">
        <v>101</v>
      </c>
      <c r="G119" s="10">
        <v>46720</v>
      </c>
      <c r="H119" s="10">
        <v>15290</v>
      </c>
      <c r="I119" s="10">
        <f t="shared" si="3"/>
        <v>31430</v>
      </c>
    </row>
    <row r="120" spans="1:9" s="7" customFormat="1" ht="15" customHeight="1" x14ac:dyDescent="0.25">
      <c r="A120" s="2">
        <v>116</v>
      </c>
      <c r="B120" s="10" t="s">
        <v>304</v>
      </c>
      <c r="C120" s="11" t="s">
        <v>82</v>
      </c>
      <c r="D120" s="12">
        <v>46165</v>
      </c>
      <c r="E120" s="13" t="s">
        <v>376</v>
      </c>
      <c r="F120" s="13" t="s">
        <v>101</v>
      </c>
      <c r="G120" s="10">
        <v>48610</v>
      </c>
      <c r="H120" s="10">
        <v>15750</v>
      </c>
      <c r="I120" s="10">
        <f t="shared" si="3"/>
        <v>32860</v>
      </c>
    </row>
    <row r="121" spans="1:9" s="7" customFormat="1" ht="15" customHeight="1" x14ac:dyDescent="0.25">
      <c r="A121" s="2">
        <v>117</v>
      </c>
      <c r="B121" s="10" t="s">
        <v>300</v>
      </c>
      <c r="C121" s="11" t="s">
        <v>121</v>
      </c>
      <c r="D121" s="12">
        <v>46165</v>
      </c>
      <c r="E121" s="13" t="s">
        <v>377</v>
      </c>
      <c r="F121" s="13" t="s">
        <v>101</v>
      </c>
      <c r="G121" s="10">
        <v>60930</v>
      </c>
      <c r="H121" s="10">
        <v>20310</v>
      </c>
      <c r="I121" s="10">
        <f t="shared" si="3"/>
        <v>40620</v>
      </c>
    </row>
    <row r="122" spans="1:9" s="7" customFormat="1" ht="15" customHeight="1" x14ac:dyDescent="0.25">
      <c r="A122" s="2">
        <v>118</v>
      </c>
      <c r="B122" s="10" t="s">
        <v>322</v>
      </c>
      <c r="C122" s="11" t="s">
        <v>47</v>
      </c>
      <c r="D122" s="12">
        <v>46165</v>
      </c>
      <c r="E122" s="13" t="s">
        <v>378</v>
      </c>
      <c r="F122" s="13" t="s">
        <v>101</v>
      </c>
      <c r="G122" s="10">
        <v>46310</v>
      </c>
      <c r="H122" s="10">
        <v>15340</v>
      </c>
      <c r="I122" s="10">
        <f t="shared" si="3"/>
        <v>30970</v>
      </c>
    </row>
    <row r="123" spans="1:9" s="7" customFormat="1" ht="15" customHeight="1" x14ac:dyDescent="0.25">
      <c r="A123" s="2">
        <v>119</v>
      </c>
      <c r="B123" s="10" t="s">
        <v>347</v>
      </c>
      <c r="C123" s="11" t="s">
        <v>127</v>
      </c>
      <c r="D123" s="12">
        <v>46165</v>
      </c>
      <c r="E123" s="13" t="s">
        <v>379</v>
      </c>
      <c r="F123" s="13" t="s">
        <v>101</v>
      </c>
      <c r="G123" s="10">
        <v>68370</v>
      </c>
      <c r="H123" s="10">
        <v>24220</v>
      </c>
      <c r="I123" s="10">
        <f t="shared" si="3"/>
        <v>44150</v>
      </c>
    </row>
    <row r="124" spans="1:9" s="7" customFormat="1" ht="15" customHeight="1" x14ac:dyDescent="0.25">
      <c r="A124" s="2">
        <v>120</v>
      </c>
      <c r="B124" s="10" t="s">
        <v>349</v>
      </c>
      <c r="C124" s="11" t="s">
        <v>30</v>
      </c>
      <c r="D124" s="12">
        <v>46165</v>
      </c>
      <c r="E124" s="13" t="s">
        <v>380</v>
      </c>
      <c r="F124" s="13" t="s">
        <v>101</v>
      </c>
      <c r="G124" s="10">
        <v>66770</v>
      </c>
      <c r="H124" s="10">
        <v>24200</v>
      </c>
      <c r="I124" s="10">
        <f t="shared" si="3"/>
        <v>42570</v>
      </c>
    </row>
    <row r="125" spans="1:9" s="7" customFormat="1" ht="15" customHeight="1" x14ac:dyDescent="0.25">
      <c r="A125" s="2">
        <v>121</v>
      </c>
      <c r="B125" s="10" t="s">
        <v>314</v>
      </c>
      <c r="C125" s="11" t="s">
        <v>72</v>
      </c>
      <c r="D125" s="12">
        <v>46165</v>
      </c>
      <c r="E125" s="13" t="s">
        <v>381</v>
      </c>
      <c r="F125" s="13" t="s">
        <v>101</v>
      </c>
      <c r="G125" s="10">
        <v>46710</v>
      </c>
      <c r="H125" s="10">
        <v>16330</v>
      </c>
      <c r="I125" s="10">
        <f t="shared" si="3"/>
        <v>30380</v>
      </c>
    </row>
    <row r="126" spans="1:9" s="7" customFormat="1" ht="15" customHeight="1" x14ac:dyDescent="0.25">
      <c r="A126" s="2">
        <v>122</v>
      </c>
      <c r="B126" s="10" t="s">
        <v>203</v>
      </c>
      <c r="C126" s="11" t="s">
        <v>93</v>
      </c>
      <c r="D126" s="12">
        <v>46165</v>
      </c>
      <c r="E126" s="13" t="s">
        <v>382</v>
      </c>
      <c r="F126" s="13" t="s">
        <v>101</v>
      </c>
      <c r="G126" s="10">
        <v>46850</v>
      </c>
      <c r="H126" s="10">
        <v>14990</v>
      </c>
      <c r="I126" s="10">
        <f t="shared" si="3"/>
        <v>31860</v>
      </c>
    </row>
    <row r="127" spans="1:9" s="7" customFormat="1" ht="15" customHeight="1" x14ac:dyDescent="0.25">
      <c r="A127" s="2">
        <v>123</v>
      </c>
      <c r="B127" s="10" t="s">
        <v>237</v>
      </c>
      <c r="C127" s="11" t="s">
        <v>43</v>
      </c>
      <c r="D127" s="12">
        <v>46165</v>
      </c>
      <c r="E127" s="13" t="s">
        <v>178</v>
      </c>
      <c r="F127" s="13" t="s">
        <v>101</v>
      </c>
      <c r="G127" s="10">
        <v>48850</v>
      </c>
      <c r="H127" s="10">
        <v>15010</v>
      </c>
      <c r="I127" s="10">
        <f t="shared" si="3"/>
        <v>33840</v>
      </c>
    </row>
    <row r="128" spans="1:9" s="7" customFormat="1" ht="15" customHeight="1" x14ac:dyDescent="0.25">
      <c r="A128" s="2">
        <v>124</v>
      </c>
      <c r="B128" s="10" t="s">
        <v>312</v>
      </c>
      <c r="C128" s="11" t="s">
        <v>62</v>
      </c>
      <c r="D128" s="12">
        <v>46165</v>
      </c>
      <c r="E128" s="13" t="s">
        <v>179</v>
      </c>
      <c r="F128" s="13" t="s">
        <v>101</v>
      </c>
      <c r="G128" s="10">
        <v>48940</v>
      </c>
      <c r="H128" s="10">
        <v>15080</v>
      </c>
      <c r="I128" s="10">
        <f t="shared" si="3"/>
        <v>33860</v>
      </c>
    </row>
    <row r="129" spans="1:9" s="7" customFormat="1" ht="15" customHeight="1" x14ac:dyDescent="0.25">
      <c r="A129" s="2">
        <v>125</v>
      </c>
      <c r="B129" s="10" t="s">
        <v>306</v>
      </c>
      <c r="C129" s="11" t="s">
        <v>83</v>
      </c>
      <c r="D129" s="12">
        <v>46165</v>
      </c>
      <c r="E129" s="13" t="s">
        <v>145</v>
      </c>
      <c r="F129" s="13" t="s">
        <v>101</v>
      </c>
      <c r="G129" s="10">
        <v>45920</v>
      </c>
      <c r="H129" s="10">
        <v>11040</v>
      </c>
      <c r="I129" s="10">
        <f t="shared" si="3"/>
        <v>34880</v>
      </c>
    </row>
    <row r="130" spans="1:9" s="7" customFormat="1" ht="15" customHeight="1" x14ac:dyDescent="0.25">
      <c r="A130" s="2">
        <v>126</v>
      </c>
      <c r="B130" s="10" t="s">
        <v>216</v>
      </c>
      <c r="C130" s="11" t="s">
        <v>86</v>
      </c>
      <c r="D130" s="12">
        <v>46165</v>
      </c>
      <c r="E130" s="13" t="s">
        <v>383</v>
      </c>
      <c r="F130" s="13" t="s">
        <v>101</v>
      </c>
      <c r="G130" s="10">
        <v>47290</v>
      </c>
      <c r="H130" s="10">
        <v>15630</v>
      </c>
      <c r="I130" s="10">
        <f t="shared" si="3"/>
        <v>31660</v>
      </c>
    </row>
    <row r="131" spans="1:9" s="7" customFormat="1" ht="15" customHeight="1" x14ac:dyDescent="0.25">
      <c r="A131" s="2">
        <v>127</v>
      </c>
      <c r="B131" s="10" t="s">
        <v>270</v>
      </c>
      <c r="C131" s="11" t="s">
        <v>95</v>
      </c>
      <c r="D131" s="12">
        <v>46165</v>
      </c>
      <c r="E131" s="13" t="s">
        <v>192</v>
      </c>
      <c r="F131" s="13" t="s">
        <v>101</v>
      </c>
      <c r="G131" s="10">
        <v>47470</v>
      </c>
      <c r="H131" s="10">
        <v>15580</v>
      </c>
      <c r="I131" s="10">
        <f t="shared" si="3"/>
        <v>31890</v>
      </c>
    </row>
    <row r="132" spans="1:9" s="7" customFormat="1" ht="15" customHeight="1" x14ac:dyDescent="0.25">
      <c r="A132" s="2">
        <v>128</v>
      </c>
      <c r="B132" s="10" t="s">
        <v>288</v>
      </c>
      <c r="C132" s="11" t="s">
        <v>122</v>
      </c>
      <c r="D132" s="12">
        <v>46165</v>
      </c>
      <c r="E132" s="13" t="s">
        <v>193</v>
      </c>
      <c r="F132" s="13" t="s">
        <v>101</v>
      </c>
      <c r="G132" s="10">
        <v>46050</v>
      </c>
      <c r="H132" s="10">
        <v>15450</v>
      </c>
      <c r="I132" s="10">
        <f t="shared" si="3"/>
        <v>30600</v>
      </c>
    </row>
    <row r="133" spans="1:9" s="7" customFormat="1" ht="15" customHeight="1" x14ac:dyDescent="0.25">
      <c r="A133" s="2">
        <v>129</v>
      </c>
      <c r="B133" s="10" t="s">
        <v>302</v>
      </c>
      <c r="C133" s="11" t="s">
        <v>85</v>
      </c>
      <c r="D133" s="12">
        <v>46165</v>
      </c>
      <c r="E133" s="13" t="s">
        <v>180</v>
      </c>
      <c r="F133" s="13" t="s">
        <v>101</v>
      </c>
      <c r="G133" s="10">
        <v>46590</v>
      </c>
      <c r="H133" s="10">
        <v>15750</v>
      </c>
      <c r="I133" s="10">
        <f t="shared" ref="I133:I153" si="4">G133-H133</f>
        <v>30840</v>
      </c>
    </row>
    <row r="134" spans="1:9" s="7" customFormat="1" ht="15" customHeight="1" x14ac:dyDescent="0.25">
      <c r="A134" s="2">
        <v>130</v>
      </c>
      <c r="B134" s="10" t="s">
        <v>316</v>
      </c>
      <c r="C134" s="11" t="s">
        <v>88</v>
      </c>
      <c r="D134" s="12">
        <v>46165</v>
      </c>
      <c r="E134" s="13" t="s">
        <v>181</v>
      </c>
      <c r="F134" s="13" t="s">
        <v>101</v>
      </c>
      <c r="G134" s="10">
        <v>47550</v>
      </c>
      <c r="H134" s="10">
        <v>15590</v>
      </c>
      <c r="I134" s="10">
        <f t="shared" si="4"/>
        <v>31960</v>
      </c>
    </row>
    <row r="135" spans="1:9" s="7" customFormat="1" ht="15" customHeight="1" x14ac:dyDescent="0.25">
      <c r="A135" s="2">
        <v>131</v>
      </c>
      <c r="B135" s="10" t="s">
        <v>228</v>
      </c>
      <c r="C135" s="11" t="s">
        <v>53</v>
      </c>
      <c r="D135" s="12">
        <v>46165</v>
      </c>
      <c r="E135" s="13" t="s">
        <v>384</v>
      </c>
      <c r="F135" s="13" t="s">
        <v>101</v>
      </c>
      <c r="G135" s="10">
        <v>49270</v>
      </c>
      <c r="H135" s="10">
        <v>15720</v>
      </c>
      <c r="I135" s="10">
        <f t="shared" si="4"/>
        <v>33550</v>
      </c>
    </row>
    <row r="136" spans="1:9" s="7" customFormat="1" ht="15" customHeight="1" x14ac:dyDescent="0.25">
      <c r="A136" s="2">
        <v>132</v>
      </c>
      <c r="B136" s="10" t="s">
        <v>229</v>
      </c>
      <c r="C136" s="11" t="s">
        <v>91</v>
      </c>
      <c r="D136" s="12">
        <v>46165</v>
      </c>
      <c r="E136" s="13" t="s">
        <v>155</v>
      </c>
      <c r="F136" s="13" t="s">
        <v>101</v>
      </c>
      <c r="G136" s="10">
        <v>70540</v>
      </c>
      <c r="H136" s="10">
        <v>24000</v>
      </c>
      <c r="I136" s="10">
        <f t="shared" si="4"/>
        <v>46540</v>
      </c>
    </row>
    <row r="137" spans="1:9" s="7" customFormat="1" ht="15" customHeight="1" x14ac:dyDescent="0.25">
      <c r="A137" s="2">
        <v>133</v>
      </c>
      <c r="B137" s="10" t="s">
        <v>200</v>
      </c>
      <c r="C137" s="11" t="s">
        <v>129</v>
      </c>
      <c r="D137" s="12">
        <v>46165</v>
      </c>
      <c r="E137" s="13" t="s">
        <v>385</v>
      </c>
      <c r="F137" s="13" t="s">
        <v>101</v>
      </c>
      <c r="G137" s="10">
        <v>47920</v>
      </c>
      <c r="H137" s="10">
        <v>14590</v>
      </c>
      <c r="I137" s="10">
        <f t="shared" si="4"/>
        <v>33330</v>
      </c>
    </row>
    <row r="138" spans="1:9" s="7" customFormat="1" ht="15" customHeight="1" x14ac:dyDescent="0.25">
      <c r="A138" s="2">
        <v>134</v>
      </c>
      <c r="B138" s="10" t="s">
        <v>221</v>
      </c>
      <c r="C138" s="11" t="s">
        <v>97</v>
      </c>
      <c r="D138" s="12">
        <v>46165</v>
      </c>
      <c r="E138" s="13" t="s">
        <v>386</v>
      </c>
      <c r="F138" s="13" t="s">
        <v>101</v>
      </c>
      <c r="G138" s="10">
        <v>47200</v>
      </c>
      <c r="H138" s="10">
        <v>14340</v>
      </c>
      <c r="I138" s="10">
        <f t="shared" si="4"/>
        <v>32860</v>
      </c>
    </row>
    <row r="139" spans="1:9" s="7" customFormat="1" ht="15" customHeight="1" x14ac:dyDescent="0.25">
      <c r="A139" s="2">
        <v>135</v>
      </c>
      <c r="B139" s="10" t="s">
        <v>232</v>
      </c>
      <c r="C139" s="11" t="s">
        <v>100</v>
      </c>
      <c r="D139" s="12">
        <v>46165</v>
      </c>
      <c r="E139" s="13" t="s">
        <v>387</v>
      </c>
      <c r="F139" s="13" t="s">
        <v>101</v>
      </c>
      <c r="G139" s="10">
        <v>47850</v>
      </c>
      <c r="H139" s="10">
        <v>15190</v>
      </c>
      <c r="I139" s="10">
        <f t="shared" si="4"/>
        <v>32660</v>
      </c>
    </row>
    <row r="140" spans="1:9" s="7" customFormat="1" ht="15" customHeight="1" x14ac:dyDescent="0.25">
      <c r="A140" s="2">
        <v>136</v>
      </c>
      <c r="B140" s="10" t="s">
        <v>324</v>
      </c>
      <c r="C140" s="11" t="s">
        <v>49</v>
      </c>
      <c r="D140" s="12">
        <v>46165</v>
      </c>
      <c r="E140" s="13" t="s">
        <v>156</v>
      </c>
      <c r="F140" s="13" t="s">
        <v>101</v>
      </c>
      <c r="G140" s="10">
        <v>48140</v>
      </c>
      <c r="H140" s="10">
        <v>15520</v>
      </c>
      <c r="I140" s="10">
        <f t="shared" si="4"/>
        <v>32620</v>
      </c>
    </row>
    <row r="141" spans="1:9" s="7" customFormat="1" ht="15" customHeight="1" x14ac:dyDescent="0.25">
      <c r="A141" s="2">
        <v>137</v>
      </c>
      <c r="B141" s="10" t="s">
        <v>225</v>
      </c>
      <c r="C141" s="11" t="s">
        <v>92</v>
      </c>
      <c r="D141" s="12">
        <v>46165</v>
      </c>
      <c r="E141" s="13" t="s">
        <v>388</v>
      </c>
      <c r="F141" s="13" t="s">
        <v>101</v>
      </c>
      <c r="G141" s="10">
        <v>50500</v>
      </c>
      <c r="H141" s="10">
        <v>16270</v>
      </c>
      <c r="I141" s="10">
        <f t="shared" si="4"/>
        <v>34230</v>
      </c>
    </row>
    <row r="142" spans="1:9" s="7" customFormat="1" ht="15" customHeight="1" x14ac:dyDescent="0.25">
      <c r="A142" s="2">
        <v>138</v>
      </c>
      <c r="B142" s="10" t="s">
        <v>227</v>
      </c>
      <c r="C142" s="11" t="s">
        <v>75</v>
      </c>
      <c r="D142" s="12">
        <v>46165</v>
      </c>
      <c r="E142" s="13" t="s">
        <v>389</v>
      </c>
      <c r="F142" s="13" t="s">
        <v>101</v>
      </c>
      <c r="G142" s="10">
        <v>47620</v>
      </c>
      <c r="H142" s="10">
        <v>16220</v>
      </c>
      <c r="I142" s="10">
        <f t="shared" si="4"/>
        <v>31400</v>
      </c>
    </row>
    <row r="143" spans="1:9" s="7" customFormat="1" ht="15" customHeight="1" x14ac:dyDescent="0.25">
      <c r="A143" s="2">
        <v>139</v>
      </c>
      <c r="B143" s="10" t="s">
        <v>268</v>
      </c>
      <c r="C143" s="11" t="s">
        <v>84</v>
      </c>
      <c r="D143" s="12">
        <v>46165</v>
      </c>
      <c r="E143" s="13" t="s">
        <v>390</v>
      </c>
      <c r="F143" s="13" t="s">
        <v>101</v>
      </c>
      <c r="G143" s="10">
        <v>46410</v>
      </c>
      <c r="H143" s="10">
        <v>14920</v>
      </c>
      <c r="I143" s="10">
        <f t="shared" si="4"/>
        <v>31490</v>
      </c>
    </row>
    <row r="144" spans="1:9" s="7" customFormat="1" ht="15" customHeight="1" x14ac:dyDescent="0.25">
      <c r="A144" s="2">
        <v>140</v>
      </c>
      <c r="B144" s="10" t="s">
        <v>290</v>
      </c>
      <c r="C144" s="11" t="s">
        <v>39</v>
      </c>
      <c r="D144" s="12">
        <v>46165</v>
      </c>
      <c r="E144" s="13" t="s">
        <v>391</v>
      </c>
      <c r="F144" s="13" t="s">
        <v>101</v>
      </c>
      <c r="G144" s="10">
        <v>49070</v>
      </c>
      <c r="H144" s="10">
        <v>15650</v>
      </c>
      <c r="I144" s="10">
        <f t="shared" si="4"/>
        <v>33420</v>
      </c>
    </row>
    <row r="145" spans="1:9" s="7" customFormat="1" ht="15" customHeight="1" x14ac:dyDescent="0.25">
      <c r="A145" s="2">
        <v>141</v>
      </c>
      <c r="B145" s="10" t="s">
        <v>280</v>
      </c>
      <c r="C145" s="11" t="s">
        <v>196</v>
      </c>
      <c r="D145" s="12">
        <v>46165</v>
      </c>
      <c r="E145" s="13" t="s">
        <v>158</v>
      </c>
      <c r="F145" s="13" t="s">
        <v>101</v>
      </c>
      <c r="G145" s="10">
        <v>47280</v>
      </c>
      <c r="H145" s="10">
        <v>15530</v>
      </c>
      <c r="I145" s="10">
        <f t="shared" si="4"/>
        <v>31750</v>
      </c>
    </row>
    <row r="146" spans="1:9" s="7" customFormat="1" ht="15" customHeight="1" x14ac:dyDescent="0.25">
      <c r="A146" s="2">
        <v>142</v>
      </c>
      <c r="B146" s="10" t="s">
        <v>284</v>
      </c>
      <c r="C146" s="11" t="s">
        <v>124</v>
      </c>
      <c r="D146" s="12">
        <v>46165</v>
      </c>
      <c r="E146" s="13" t="s">
        <v>392</v>
      </c>
      <c r="F146" s="13" t="s">
        <v>101</v>
      </c>
      <c r="G146" s="10">
        <v>48370</v>
      </c>
      <c r="H146" s="10">
        <v>15250</v>
      </c>
      <c r="I146" s="10">
        <f t="shared" si="4"/>
        <v>33120</v>
      </c>
    </row>
    <row r="147" spans="1:9" s="7" customFormat="1" ht="15" customHeight="1" x14ac:dyDescent="0.25">
      <c r="A147" s="2">
        <v>143</v>
      </c>
      <c r="B147" s="10" t="s">
        <v>286</v>
      </c>
      <c r="C147" s="11" t="s">
        <v>87</v>
      </c>
      <c r="D147" s="12">
        <v>46165</v>
      </c>
      <c r="E147" s="13" t="s">
        <v>146</v>
      </c>
      <c r="F147" s="13" t="s">
        <v>101</v>
      </c>
      <c r="G147" s="10">
        <v>45080</v>
      </c>
      <c r="H147" s="10">
        <v>14950</v>
      </c>
      <c r="I147" s="10">
        <f t="shared" si="4"/>
        <v>30130</v>
      </c>
    </row>
    <row r="148" spans="1:9" s="7" customFormat="1" ht="15" customHeight="1" x14ac:dyDescent="0.25">
      <c r="A148" s="2">
        <v>144</v>
      </c>
      <c r="B148" s="10" t="s">
        <v>282</v>
      </c>
      <c r="C148" s="11" t="s">
        <v>186</v>
      </c>
      <c r="D148" s="12">
        <v>46165</v>
      </c>
      <c r="E148" s="13" t="s">
        <v>147</v>
      </c>
      <c r="F148" s="13" t="s">
        <v>101</v>
      </c>
      <c r="G148" s="10">
        <v>49300</v>
      </c>
      <c r="H148" s="10">
        <v>15380</v>
      </c>
      <c r="I148" s="10">
        <f t="shared" si="4"/>
        <v>33920</v>
      </c>
    </row>
    <row r="149" spans="1:9" s="7" customFormat="1" ht="15" customHeight="1" x14ac:dyDescent="0.25">
      <c r="A149" s="2">
        <v>145</v>
      </c>
      <c r="B149" s="10" t="s">
        <v>274</v>
      </c>
      <c r="C149" s="11" t="s">
        <v>123</v>
      </c>
      <c r="D149" s="12">
        <v>46165</v>
      </c>
      <c r="E149" s="13" t="s">
        <v>393</v>
      </c>
      <c r="F149" s="13" t="s">
        <v>101</v>
      </c>
      <c r="G149" s="10">
        <v>46680</v>
      </c>
      <c r="H149" s="10">
        <v>15930</v>
      </c>
      <c r="I149" s="10">
        <f t="shared" si="4"/>
        <v>30750</v>
      </c>
    </row>
    <row r="150" spans="1:9" s="7" customFormat="1" ht="15" customHeight="1" x14ac:dyDescent="0.25">
      <c r="A150" s="2">
        <v>146</v>
      </c>
      <c r="B150" s="10" t="s">
        <v>244</v>
      </c>
      <c r="C150" s="11" t="s">
        <v>26</v>
      </c>
      <c r="D150" s="12">
        <v>46165</v>
      </c>
      <c r="E150" s="13" t="s">
        <v>394</v>
      </c>
      <c r="F150" s="13" t="s">
        <v>101</v>
      </c>
      <c r="G150" s="10">
        <v>47830</v>
      </c>
      <c r="H150" s="10">
        <v>15500</v>
      </c>
      <c r="I150" s="10">
        <f t="shared" si="4"/>
        <v>32330</v>
      </c>
    </row>
    <row r="151" spans="1:9" s="7" customFormat="1" ht="15" customHeight="1" x14ac:dyDescent="0.25">
      <c r="A151" s="2">
        <v>147</v>
      </c>
      <c r="B151" s="10" t="s">
        <v>278</v>
      </c>
      <c r="C151" s="11" t="s">
        <v>195</v>
      </c>
      <c r="D151" s="12">
        <v>46165</v>
      </c>
      <c r="E151" s="13" t="s">
        <v>395</v>
      </c>
      <c r="F151" s="13" t="s">
        <v>101</v>
      </c>
      <c r="G151" s="10">
        <v>45740</v>
      </c>
      <c r="H151" s="10">
        <v>15600</v>
      </c>
      <c r="I151" s="10">
        <f t="shared" si="4"/>
        <v>30140</v>
      </c>
    </row>
    <row r="152" spans="1:9" s="7" customFormat="1" ht="15" customHeight="1" x14ac:dyDescent="0.25">
      <c r="A152" s="2">
        <v>148</v>
      </c>
      <c r="B152" s="10" t="s">
        <v>292</v>
      </c>
      <c r="C152" s="11" t="s">
        <v>79</v>
      </c>
      <c r="D152" s="12">
        <v>46165</v>
      </c>
      <c r="E152" s="13" t="s">
        <v>154</v>
      </c>
      <c r="F152" s="13" t="s">
        <v>101</v>
      </c>
      <c r="G152" s="10">
        <v>45770</v>
      </c>
      <c r="H152" s="10">
        <v>14730</v>
      </c>
      <c r="I152" s="10">
        <f t="shared" si="4"/>
        <v>31040</v>
      </c>
    </row>
    <row r="153" spans="1:9" s="7" customFormat="1" ht="15" customHeight="1" x14ac:dyDescent="0.25">
      <c r="A153" s="2">
        <v>149</v>
      </c>
      <c r="B153" s="10" t="s">
        <v>276</v>
      </c>
      <c r="C153" s="11" t="s">
        <v>24</v>
      </c>
      <c r="D153" s="12">
        <v>46165</v>
      </c>
      <c r="E153" s="13" t="s">
        <v>396</v>
      </c>
      <c r="F153" s="13" t="s">
        <v>101</v>
      </c>
      <c r="G153" s="10">
        <v>48260</v>
      </c>
      <c r="H153" s="10">
        <v>15730</v>
      </c>
      <c r="I153" s="10">
        <f t="shared" si="4"/>
        <v>32530</v>
      </c>
    </row>
    <row r="154" spans="1:9" s="7" customFormat="1" ht="15" customHeight="1" x14ac:dyDescent="0.25">
      <c r="B154" s="29"/>
      <c r="C154" s="30"/>
      <c r="D154" s="31"/>
      <c r="E154" s="32"/>
      <c r="F154" s="32"/>
      <c r="G154" s="29"/>
      <c r="H154" s="33"/>
      <c r="I154" s="33"/>
    </row>
    <row r="155" spans="1:9" s="7" customFormat="1" ht="15" customHeight="1" x14ac:dyDescent="0.25">
      <c r="G155" s="6" t="s">
        <v>9</v>
      </c>
      <c r="H155" s="6">
        <f>COUNTIF(I5:I153,"&gt;0")</f>
        <v>149</v>
      </c>
      <c r="I155" s="24">
        <f>SUM(I5:I153)/1000</f>
        <v>4925.43</v>
      </c>
    </row>
    <row r="156" spans="1:9" s="7" customFormat="1" ht="15" customHeight="1" x14ac:dyDescent="0.25">
      <c r="H156" s="27"/>
      <c r="I156" s="28"/>
    </row>
    <row r="157" spans="1:9" s="7" customFormat="1" ht="15" customHeight="1" x14ac:dyDescent="0.25"/>
    <row r="158" spans="1:9" s="7" customFormat="1" ht="15" customHeight="1" x14ac:dyDescent="0.25">
      <c r="A158" s="45" t="s">
        <v>11</v>
      </c>
      <c r="B158" s="45"/>
      <c r="C158" s="45"/>
      <c r="D158" s="38"/>
      <c r="E158" s="38"/>
      <c r="F158" s="38"/>
      <c r="G158" s="45" t="s">
        <v>10</v>
      </c>
      <c r="H158" s="45"/>
      <c r="I158" s="45"/>
    </row>
    <row r="159" spans="1:9" s="7" customFormat="1" ht="15" customHeight="1" x14ac:dyDescent="0.25">
      <c r="A159" s="45" t="s">
        <v>22</v>
      </c>
      <c r="B159" s="45"/>
      <c r="C159" s="45"/>
      <c r="D159" s="38"/>
      <c r="E159" s="38"/>
      <c r="F159" s="38"/>
      <c r="G159" s="45" t="s">
        <v>23</v>
      </c>
      <c r="H159" s="45"/>
      <c r="I159" s="45"/>
    </row>
    <row r="160" spans="1:9" s="7" customFormat="1" ht="15" customHeight="1" x14ac:dyDescent="0.25">
      <c r="A160" s="38"/>
      <c r="B160" s="38"/>
      <c r="C160" s="38"/>
      <c r="D160" s="38"/>
      <c r="E160" s="38"/>
      <c r="F160" s="38"/>
      <c r="G160" s="38"/>
      <c r="H160" s="38"/>
      <c r="I160" s="38"/>
    </row>
    <row r="161" spans="1:9" s="7" customFormat="1" ht="15" customHeight="1" x14ac:dyDescent="0.25">
      <c r="A161" s="8"/>
      <c r="B161" s="8"/>
      <c r="C161" s="38"/>
      <c r="D161" s="38"/>
      <c r="E161" s="38"/>
      <c r="F161" s="38"/>
      <c r="G161" s="38"/>
      <c r="H161" s="8"/>
      <c r="I161" s="8"/>
    </row>
    <row r="162" spans="1:9" ht="15" customHeight="1" x14ac:dyDescent="0.2">
      <c r="A162" s="9"/>
      <c r="B162" s="9"/>
      <c r="C162" s="9"/>
      <c r="D162" s="9"/>
      <c r="E162" s="9"/>
      <c r="F162" s="9"/>
      <c r="G162" s="9"/>
      <c r="H162" s="9"/>
      <c r="I162" s="9"/>
    </row>
    <row r="163" spans="1:9" ht="15" customHeight="1" x14ac:dyDescent="0.2">
      <c r="A163" s="9"/>
      <c r="B163" s="9"/>
      <c r="C163" s="9"/>
      <c r="D163" s="9"/>
      <c r="E163" s="9"/>
      <c r="F163" s="9"/>
      <c r="G163" s="9"/>
      <c r="H163" s="9"/>
      <c r="I163" s="9"/>
    </row>
    <row r="164" spans="1:9" ht="12.95" customHeight="1" x14ac:dyDescent="0.2">
      <c r="A164" s="46" t="s">
        <v>16</v>
      </c>
      <c r="B164" s="46"/>
      <c r="C164" s="46"/>
      <c r="D164" s="9"/>
      <c r="E164" s="9"/>
      <c r="F164" s="9"/>
      <c r="G164" s="39"/>
      <c r="H164" s="39" t="s">
        <v>19</v>
      </c>
      <c r="I164" s="26"/>
    </row>
    <row r="165" spans="1:9" ht="12.95" customHeight="1" x14ac:dyDescent="0.2">
      <c r="A165" s="47" t="s">
        <v>17</v>
      </c>
      <c r="B165" s="47"/>
      <c r="C165" s="47"/>
      <c r="D165" s="9"/>
      <c r="E165" s="9"/>
      <c r="F165" s="9"/>
      <c r="G165" s="40"/>
      <c r="H165" s="40" t="s">
        <v>20</v>
      </c>
      <c r="I165" s="26"/>
    </row>
    <row r="166" spans="1:9" ht="15" customHeight="1" x14ac:dyDescent="0.2"/>
    <row r="167" spans="1:9" ht="15" customHeight="1" x14ac:dyDescent="0.2"/>
    <row r="168" spans="1:9" ht="15" customHeight="1" x14ac:dyDescent="0.2"/>
    <row r="169" spans="1:9" ht="15" customHeight="1" x14ac:dyDescent="0.2"/>
    <row r="170" spans="1:9" ht="15" customHeight="1" x14ac:dyDescent="0.2"/>
    <row r="171" spans="1:9" ht="15" customHeight="1" x14ac:dyDescent="0.2"/>
    <row r="172" spans="1:9" ht="15" customHeight="1" x14ac:dyDescent="0.2"/>
    <row r="173" spans="1:9" ht="15" customHeight="1" x14ac:dyDescent="0.2"/>
    <row r="174" spans="1:9" ht="15" customHeight="1" x14ac:dyDescent="0.2"/>
    <row r="175" spans="1:9" ht="15" customHeight="1" x14ac:dyDescent="0.2"/>
    <row r="176" spans="1:9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9" ht="15" customHeight="1" x14ac:dyDescent="0.2"/>
    <row r="190" ht="15" customHeight="1" x14ac:dyDescent="0.2"/>
    <row r="196" ht="11.25" customHeight="1" x14ac:dyDescent="0.2"/>
    <row r="205" ht="11.25" customHeight="1" x14ac:dyDescent="0.2"/>
  </sheetData>
  <autoFilter ref="A4:I4" xr:uid="{BF3B743E-25DC-40A5-B24B-BB0A686F5BE7}">
    <sortState xmlns:xlrd2="http://schemas.microsoft.com/office/spreadsheetml/2017/richdata2" ref="A5:I153">
      <sortCondition ref="B4"/>
    </sortState>
  </autoFilter>
  <mergeCells count="7">
    <mergeCell ref="A159:C159"/>
    <mergeCell ref="G159:I159"/>
    <mergeCell ref="A164:C164"/>
    <mergeCell ref="A165:C165"/>
    <mergeCell ref="A2:I2"/>
    <mergeCell ref="A158:C158"/>
    <mergeCell ref="G158:I158"/>
  </mergeCells>
  <conditionalFormatting sqref="B221">
    <cfRule type="expression" dxfId="77" priority="62" stopIfTrue="1">
      <formula>$A221="Visa"</formula>
    </cfRule>
  </conditionalFormatting>
  <conditionalFormatting sqref="B227">
    <cfRule type="expression" dxfId="76" priority="53" stopIfTrue="1">
      <formula>$A227="Visa"</formula>
    </cfRule>
  </conditionalFormatting>
  <conditionalFormatting sqref="B259">
    <cfRule type="expression" dxfId="75" priority="69" stopIfTrue="1">
      <formula>$A259="Visa"</formula>
    </cfRule>
  </conditionalFormatting>
  <conditionalFormatting sqref="C5:C157">
    <cfRule type="expression" dxfId="74" priority="7" stopIfTrue="1">
      <formula>$B5="Visa"</formula>
    </cfRule>
    <cfRule type="expression" dxfId="73" priority="38" stopIfTrue="1">
      <formula>$B5="Visa"</formula>
    </cfRule>
    <cfRule type="expression" dxfId="72" priority="61" stopIfTrue="1">
      <formula>$B5="Visa"</formula>
    </cfRule>
    <cfRule type="expression" dxfId="71" priority="76" stopIfTrue="1">
      <formula>$B5="Visa"</formula>
    </cfRule>
  </conditionalFormatting>
  <conditionalFormatting sqref="C13:C20">
    <cfRule type="expression" dxfId="70" priority="6" stopIfTrue="1">
      <formula>$B12="Visa"</formula>
    </cfRule>
    <cfRule type="expression" dxfId="69" priority="60" stopIfTrue="1">
      <formula>$B12="Visa"</formula>
    </cfRule>
  </conditionalFormatting>
  <conditionalFormatting sqref="C13:C54 C56:C84 C86:C114 C116:C144 C146:C153">
    <cfRule type="expression" dxfId="68" priority="75" stopIfTrue="1">
      <formula>$B12="Visa"</formula>
    </cfRule>
  </conditionalFormatting>
  <conditionalFormatting sqref="C17">
    <cfRule type="expression" dxfId="67" priority="34" stopIfTrue="1">
      <formula>$B15="Visa"</formula>
    </cfRule>
    <cfRule type="expression" dxfId="66" priority="74" stopIfTrue="1">
      <formula>$B15="Visa"</formula>
    </cfRule>
  </conditionalFormatting>
  <conditionalFormatting sqref="C21">
    <cfRule type="expression" dxfId="65" priority="12" stopIfTrue="1">
      <formula>#REF!="Visa"</formula>
    </cfRule>
  </conditionalFormatting>
  <conditionalFormatting sqref="C55">
    <cfRule type="expression" dxfId="64" priority="249" stopIfTrue="1">
      <formula>$B24="Visa"</formula>
    </cfRule>
  </conditionalFormatting>
  <conditionalFormatting sqref="C85">
    <cfRule type="expression" dxfId="63" priority="247" stopIfTrue="1">
      <formula>$B24="Visa"</formula>
    </cfRule>
  </conditionalFormatting>
  <conditionalFormatting sqref="C115">
    <cfRule type="expression" dxfId="62" priority="245" stopIfTrue="1">
      <formula>$B24="Visa"</formula>
    </cfRule>
  </conditionalFormatting>
  <conditionalFormatting sqref="C145">
    <cfRule type="expression" dxfId="61" priority="243" stopIfTrue="1">
      <formula>$B24="Visa"</formula>
    </cfRule>
  </conditionalFormatting>
  <conditionalFormatting sqref="C154">
    <cfRule type="expression" dxfId="60" priority="179" stopIfTrue="1">
      <formula>#REF!="Visa"</formula>
    </cfRule>
  </conditionalFormatting>
  <conditionalFormatting sqref="C155:C157">
    <cfRule type="expression" dxfId="59" priority="77" stopIfTrue="1">
      <formula>$B154="Visa"</formula>
    </cfRule>
  </conditionalFormatting>
  <conditionalFormatting sqref="C158:C163">
    <cfRule type="expression" dxfId="58" priority="1" stopIfTrue="1">
      <formula>$B158="Visa"</formula>
    </cfRule>
    <cfRule type="expression" dxfId="57" priority="5" stopIfTrue="1">
      <formula>$B157="Visa"</formula>
    </cfRule>
  </conditionalFormatting>
  <conditionalFormatting sqref="C166:C167 C169:C170 C12:C20">
    <cfRule type="expression" dxfId="56" priority="14" stopIfTrue="1">
      <formula>$B11="Visa"</formula>
    </cfRule>
  </conditionalFormatting>
  <conditionalFormatting sqref="C166:C168">
    <cfRule type="expression" dxfId="55" priority="19" stopIfTrue="1">
      <formula>$B165="Visa"</formula>
    </cfRule>
    <cfRule type="expression" dxfId="54" priority="20" stopIfTrue="1">
      <formula>$B166="Visa"</formula>
    </cfRule>
  </conditionalFormatting>
  <conditionalFormatting sqref="C166:C169 C171:C172">
    <cfRule type="expression" dxfId="53" priority="10" stopIfTrue="1">
      <formula>$B165="Visa"</formula>
    </cfRule>
    <cfRule type="expression" dxfId="52" priority="17" stopIfTrue="1">
      <formula>$B165="Visa"</formula>
    </cfRule>
    <cfRule type="expression" dxfId="51" priority="23" stopIfTrue="1">
      <formula>$B165="Visa"</formula>
    </cfRule>
    <cfRule type="expression" dxfId="50" priority="40" stopIfTrue="1">
      <formula>$B165="Visa"</formula>
    </cfRule>
  </conditionalFormatting>
  <conditionalFormatting sqref="C166:C173">
    <cfRule type="expression" dxfId="49" priority="18" stopIfTrue="1">
      <formula>$B166="Visa"</formula>
    </cfRule>
  </conditionalFormatting>
  <conditionalFormatting sqref="C166:C174">
    <cfRule type="expression" dxfId="48" priority="45" stopIfTrue="1">
      <formula>$B165="Visa"</formula>
    </cfRule>
    <cfRule type="expression" dxfId="47" priority="46" stopIfTrue="1">
      <formula>$B166="Visa"</formula>
    </cfRule>
  </conditionalFormatting>
  <conditionalFormatting sqref="C166:C179 C181:C192">
    <cfRule type="expression" dxfId="46" priority="27" stopIfTrue="1">
      <formula>$B165="Visa"</formula>
    </cfRule>
  </conditionalFormatting>
  <conditionalFormatting sqref="C166:C181">
    <cfRule type="expression" dxfId="45" priority="41" stopIfTrue="1">
      <formula>$B166="Visa"</formula>
    </cfRule>
  </conditionalFormatting>
  <conditionalFormatting sqref="C166:C182 C184:C196 C198:C199">
    <cfRule type="expression" dxfId="44" priority="32" stopIfTrue="1">
      <formula>$B165="Visa"</formula>
    </cfRule>
  </conditionalFormatting>
  <conditionalFormatting sqref="C166:C182 C221:C222">
    <cfRule type="expression" dxfId="43" priority="57" stopIfTrue="1">
      <formula>$B165="Visa"</formula>
    </cfRule>
  </conditionalFormatting>
  <conditionalFormatting sqref="C166:C182">
    <cfRule type="expression" dxfId="42" priority="15" stopIfTrue="1">
      <formula>$B166="Visa"</formula>
    </cfRule>
    <cfRule type="expression" dxfId="41" priority="49" stopIfTrue="1">
      <formula>$B165="Visa"</formula>
    </cfRule>
    <cfRule type="expression" dxfId="40" priority="71" stopIfTrue="1">
      <formula>$B165="Visa"</formula>
    </cfRule>
  </conditionalFormatting>
  <conditionalFormatting sqref="C166:C183">
    <cfRule type="expression" dxfId="39" priority="65" stopIfTrue="1">
      <formula>$B165="Visa"</formula>
    </cfRule>
  </conditionalFormatting>
  <conditionalFormatting sqref="C166:C184">
    <cfRule type="expression" dxfId="38" priority="11" stopIfTrue="1">
      <formula>$B166="Visa"</formula>
    </cfRule>
  </conditionalFormatting>
  <conditionalFormatting sqref="C166:C193">
    <cfRule type="expression" dxfId="37" priority="28" stopIfTrue="1">
      <formula>$B166="Visa"</formula>
    </cfRule>
  </conditionalFormatting>
  <conditionalFormatting sqref="C166:C194">
    <cfRule type="expression" dxfId="36" priority="24" stopIfTrue="1">
      <formula>$B166="Visa"</formula>
    </cfRule>
  </conditionalFormatting>
  <conditionalFormatting sqref="C166:C206">
    <cfRule type="expression" dxfId="35" priority="43" stopIfTrue="1">
      <formula>$B165="Visa"</formula>
    </cfRule>
  </conditionalFormatting>
  <conditionalFormatting sqref="C166:C207">
    <cfRule type="expression" dxfId="34" priority="44" stopIfTrue="1">
      <formula>$B166="Visa"</formula>
    </cfRule>
  </conditionalFormatting>
  <conditionalFormatting sqref="C166:C208">
    <cfRule type="expression" dxfId="33" priority="51" stopIfTrue="1">
      <formula>$B165="Visa"</formula>
    </cfRule>
  </conditionalFormatting>
  <conditionalFormatting sqref="C166:C209">
    <cfRule type="expression" dxfId="32" priority="52" stopIfTrue="1">
      <formula>$B166="Visa"</formula>
    </cfRule>
  </conditionalFormatting>
  <conditionalFormatting sqref="C166:C211">
    <cfRule type="expression" dxfId="31" priority="33" stopIfTrue="1">
      <formula>$B166="Visa"</formula>
    </cfRule>
  </conditionalFormatting>
  <conditionalFormatting sqref="C166:C220">
    <cfRule type="expression" dxfId="30" priority="67" stopIfTrue="1">
      <formula>$B166="Visa"</formula>
    </cfRule>
  </conditionalFormatting>
  <conditionalFormatting sqref="C166:C226">
    <cfRule type="expression" dxfId="29" priority="59" stopIfTrue="1">
      <formula>$B166="Visa"</formula>
    </cfRule>
  </conditionalFormatting>
  <conditionalFormatting sqref="C166:C238">
    <cfRule type="expression" dxfId="28" priority="73" stopIfTrue="1">
      <formula>$B166="Visa"</formula>
    </cfRule>
  </conditionalFormatting>
  <conditionalFormatting sqref="C168">
    <cfRule type="expression" dxfId="27" priority="13" stopIfTrue="1">
      <formula>$B16="Visa"</formula>
    </cfRule>
  </conditionalFormatting>
  <conditionalFormatting sqref="C170">
    <cfRule type="expression" dxfId="26" priority="9" stopIfTrue="1">
      <formula>$B17="Visa"</formula>
    </cfRule>
    <cfRule type="expression" dxfId="25" priority="16" stopIfTrue="1">
      <formula>$B17="Visa"</formula>
    </cfRule>
    <cfRule type="expression" dxfId="24" priority="22" stopIfTrue="1">
      <formula>$B17="Visa"</formula>
    </cfRule>
    <cfRule type="expression" dxfId="23" priority="39" stopIfTrue="1">
      <formula>$B17="Visa"</formula>
    </cfRule>
  </conditionalFormatting>
  <conditionalFormatting sqref="C180">
    <cfRule type="expression" dxfId="22" priority="25" stopIfTrue="1">
      <formula>$B156="Visa"</formula>
    </cfRule>
  </conditionalFormatting>
  <conditionalFormatting sqref="C182:C198">
    <cfRule type="expression" dxfId="21" priority="36" stopIfTrue="1">
      <formula>$B182="Visa"</formula>
    </cfRule>
  </conditionalFormatting>
  <conditionalFormatting sqref="C183">
    <cfRule type="expression" dxfId="20" priority="30" stopIfTrue="1">
      <formula>$B155="Visa"</formula>
    </cfRule>
    <cfRule type="expression" dxfId="19" priority="48" stopIfTrue="1">
      <formula>$B155="Visa"</formula>
    </cfRule>
    <cfRule type="expression" dxfId="18" priority="55" stopIfTrue="1">
      <formula>$B155="Visa"</formula>
    </cfRule>
    <cfRule type="expression" dxfId="17" priority="70" stopIfTrue="1">
      <formula>$B155="Visa"</formula>
    </cfRule>
  </conditionalFormatting>
  <conditionalFormatting sqref="C183:C198">
    <cfRule type="expression" dxfId="16" priority="35" stopIfTrue="1">
      <formula>$B182="Visa"</formula>
    </cfRule>
  </conditionalFormatting>
  <conditionalFormatting sqref="C184">
    <cfRule type="expression" dxfId="15" priority="64" stopIfTrue="1">
      <formula>$B156="Visa"</formula>
    </cfRule>
  </conditionalFormatting>
  <conditionalFormatting sqref="C184:C207 C209:C219">
    <cfRule type="expression" dxfId="14" priority="58" stopIfTrue="1">
      <formula>$B183="Visa"</formula>
    </cfRule>
  </conditionalFormatting>
  <conditionalFormatting sqref="C184:C226 C228:C238">
    <cfRule type="expression" dxfId="13" priority="72" stopIfTrue="1">
      <formula>$B183="Visa"</formula>
    </cfRule>
  </conditionalFormatting>
  <conditionalFormatting sqref="C185">
    <cfRule type="expression" dxfId="12" priority="8" stopIfTrue="1">
      <formula>$B185="Visa"</formula>
    </cfRule>
  </conditionalFormatting>
  <conditionalFormatting sqref="C185:C208 C210:C220">
    <cfRule type="expression" dxfId="11" priority="66" stopIfTrue="1">
      <formula>$B184="Visa"</formula>
    </cfRule>
  </conditionalFormatting>
  <conditionalFormatting sqref="C190">
    <cfRule type="expression" dxfId="10" priority="50" stopIfTrue="1">
      <formula>$B161="Visa"</formula>
    </cfRule>
  </conditionalFormatting>
  <conditionalFormatting sqref="C193">
    <cfRule type="expression" dxfId="9" priority="26" stopIfTrue="1">
      <formula>$B17="Visa"</formula>
    </cfRule>
  </conditionalFormatting>
  <conditionalFormatting sqref="C194">
    <cfRule type="expression" dxfId="8" priority="21" stopIfTrue="1">
      <formula>$B194="Visa"</formula>
    </cfRule>
  </conditionalFormatting>
  <conditionalFormatting sqref="C197">
    <cfRule type="expression" dxfId="7" priority="31" stopIfTrue="1">
      <formula>$B17="Visa"</formula>
    </cfRule>
  </conditionalFormatting>
  <conditionalFormatting sqref="C207">
    <cfRule type="expression" dxfId="6" priority="42" stopIfTrue="1">
      <formula>$B21="Visa"</formula>
    </cfRule>
  </conditionalFormatting>
  <conditionalFormatting sqref="C208">
    <cfRule type="expression" dxfId="5" priority="54" stopIfTrue="1">
      <formula>$B184="Visa"</formula>
    </cfRule>
  </conditionalFormatting>
  <conditionalFormatting sqref="C209">
    <cfRule type="expression" dxfId="4" priority="47" stopIfTrue="1">
      <formula>$B208="Visa"</formula>
    </cfRule>
    <cfRule type="expression" dxfId="3" priority="63" stopIfTrue="1">
      <formula>$B185="Visa"</formula>
    </cfRule>
  </conditionalFormatting>
  <conditionalFormatting sqref="C212">
    <cfRule type="expression" dxfId="2" priority="29" stopIfTrue="1">
      <formula>$B212="Visa"</formula>
    </cfRule>
  </conditionalFormatting>
  <conditionalFormatting sqref="C220">
    <cfRule type="expression" dxfId="1" priority="56" stopIfTrue="1">
      <formula>$B17="Visa"</formula>
    </cfRule>
  </conditionalFormatting>
  <conditionalFormatting sqref="C227">
    <cfRule type="expression" dxfId="0" priority="68" stopIfTrue="1">
      <formula>$B194="Visa"</formula>
    </cfRule>
  </conditionalFormatting>
  <pageMargins left="0.9055118110236221" right="0.70866141732283472" top="0.74803149606299213" bottom="0.74803149606299213" header="0.31496062992125984" footer="0.31496062992125984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22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2026-05-29T01:37:46Z</dcterms:modified>
</cp:coreProperties>
</file>