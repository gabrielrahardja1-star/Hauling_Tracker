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codeName="ThisWorkbook" defaultThemeVersion="124226"/>
  <xr:revisionPtr revIDLastSave="0" documentId="13_ncr:1_{AFE7580C-6314-4322-BBA5-87444FFFB68C}" xr6:coauthVersionLast="47" xr6:coauthVersionMax="47" xr10:uidLastSave="{00000000-0000-0000-0000-000000000000}"/>
  <bookViews>
    <workbookView xWindow="-120" yWindow="-120" windowWidth="29040" windowHeight="1572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4" sheetId="227" r:id="rId7"/>
  </sheets>
  <definedNames>
    <definedName name="_xlnm._FilterDatabase" localSheetId="6" hidden="1">'24'!$A$4:$I$4</definedName>
    <definedName name="_xlnm.Print_Area" localSheetId="0">'1'!$A$174:$I$187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27" l="1"/>
  <c r="I12" i="227"/>
  <c r="I13" i="227"/>
  <c r="I14" i="227"/>
  <c r="I15" i="227"/>
  <c r="I16" i="227"/>
  <c r="I17" i="227"/>
  <c r="I18" i="227"/>
  <c r="I19" i="227"/>
  <c r="I20" i="227"/>
  <c r="I21" i="227"/>
  <c r="I22" i="227"/>
  <c r="I23" i="227"/>
  <c r="I24" i="227"/>
  <c r="I25" i="227"/>
  <c r="I26" i="227"/>
  <c r="I27" i="227"/>
  <c r="I28" i="227"/>
  <c r="I29" i="227"/>
  <c r="I30" i="227"/>
  <c r="I31" i="227"/>
  <c r="I32" i="227"/>
  <c r="I33" i="227"/>
  <c r="I34" i="227"/>
  <c r="I35" i="227"/>
  <c r="I36" i="227"/>
  <c r="I37" i="227"/>
  <c r="I38" i="227"/>
  <c r="I39" i="227"/>
  <c r="I40" i="227"/>
  <c r="I41" i="227"/>
  <c r="I42" i="227"/>
  <c r="I43" i="227"/>
  <c r="I44" i="227"/>
  <c r="I45" i="227"/>
  <c r="I46" i="227"/>
  <c r="I47" i="227"/>
  <c r="I48" i="227"/>
  <c r="I49" i="227"/>
  <c r="I50" i="227"/>
  <c r="I51" i="227"/>
  <c r="I52" i="227"/>
  <c r="I53" i="227"/>
  <c r="I54" i="227"/>
  <c r="I55" i="227"/>
  <c r="I56" i="227"/>
  <c r="I57" i="227"/>
  <c r="I58" i="227"/>
  <c r="I59" i="227"/>
  <c r="I60" i="227"/>
  <c r="I61" i="227"/>
  <c r="I62" i="227"/>
  <c r="I63" i="227"/>
  <c r="I64" i="227"/>
  <c r="I65" i="227"/>
  <c r="I66" i="227"/>
  <c r="I67" i="227"/>
  <c r="I68" i="227"/>
  <c r="I69" i="227"/>
  <c r="I70" i="227"/>
  <c r="I71" i="227"/>
  <c r="I72" i="227"/>
  <c r="I73" i="227"/>
  <c r="I74" i="227"/>
  <c r="I75" i="227"/>
  <c r="I76" i="227"/>
  <c r="I77" i="227"/>
  <c r="I78" i="227"/>
  <c r="I79" i="227"/>
  <c r="I80" i="227"/>
  <c r="I81" i="227"/>
  <c r="I82" i="227"/>
  <c r="I83" i="227"/>
  <c r="I84" i="227"/>
  <c r="I85" i="227"/>
  <c r="I86" i="227"/>
  <c r="I87" i="227"/>
  <c r="I88" i="227"/>
  <c r="I89" i="227"/>
  <c r="I90" i="227"/>
  <c r="I91" i="227"/>
  <c r="I92" i="227"/>
  <c r="I93" i="227"/>
  <c r="I94" i="227"/>
  <c r="I95" i="227"/>
  <c r="I96" i="227"/>
  <c r="I97" i="227"/>
  <c r="I98" i="227"/>
  <c r="I99" i="227"/>
  <c r="I100" i="227"/>
  <c r="I101" i="227"/>
  <c r="I102" i="227"/>
  <c r="I103" i="227"/>
  <c r="I104" i="227"/>
  <c r="I105" i="227"/>
  <c r="I106" i="227"/>
  <c r="I107" i="227"/>
  <c r="I108" i="227"/>
  <c r="I109" i="227"/>
  <c r="I110" i="227"/>
  <c r="I111" i="227"/>
  <c r="I112" i="227"/>
  <c r="I113" i="227"/>
  <c r="I114" i="227"/>
  <c r="I115" i="227"/>
  <c r="I116" i="227"/>
  <c r="I117" i="227"/>
  <c r="I118" i="227"/>
  <c r="I119" i="227"/>
  <c r="I120" i="227"/>
  <c r="I121" i="227"/>
  <c r="I122" i="227"/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I20" i="203"/>
  <c r="Q20" i="203" s="1"/>
  <c r="I21" i="203"/>
  <c r="I22" i="203"/>
  <c r="I23" i="203"/>
  <c r="Q23" i="203" s="1"/>
  <c r="I24" i="203"/>
  <c r="Q24" i="203" s="1"/>
  <c r="I25" i="203"/>
  <c r="I26" i="203"/>
  <c r="I27" i="203"/>
  <c r="I28" i="203"/>
  <c r="Q28" i="203" s="1"/>
  <c r="I29" i="203"/>
  <c r="Q29" i="203" s="1"/>
  <c r="I30" i="203"/>
  <c r="Q30" i="203" s="1"/>
  <c r="I31" i="203"/>
  <c r="I32" i="203"/>
  <c r="I33" i="203"/>
  <c r="I34" i="203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I44" i="203"/>
  <c r="Q44" i="203" s="1"/>
  <c r="I45" i="203"/>
  <c r="I46" i="203"/>
  <c r="I47" i="203"/>
  <c r="Q47" i="203" s="1"/>
  <c r="I48" i="203"/>
  <c r="Q48" i="203" s="1"/>
  <c r="I49" i="203"/>
  <c r="I50" i="203"/>
  <c r="I51" i="203"/>
  <c r="I52" i="203"/>
  <c r="Q52" i="203" s="1"/>
  <c r="I53" i="203"/>
  <c r="Q53" i="203" s="1"/>
  <c r="I54" i="203"/>
  <c r="Q54" i="203" s="1"/>
  <c r="I55" i="203"/>
  <c r="I56" i="203"/>
  <c r="I57" i="203"/>
  <c r="I58" i="203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Q68" i="203" s="1"/>
  <c r="I69" i="203"/>
  <c r="I70" i="203"/>
  <c r="I71" i="203"/>
  <c r="Q71" i="203" s="1"/>
  <c r="I72" i="203"/>
  <c r="Q72" i="203" s="1"/>
  <c r="I73" i="203"/>
  <c r="I74" i="203"/>
  <c r="I75" i="203"/>
  <c r="I76" i="203"/>
  <c r="Q76" i="203" s="1"/>
  <c r="I77" i="203"/>
  <c r="Q77" i="203" s="1"/>
  <c r="I78" i="203"/>
  <c r="Q78" i="203" s="1"/>
  <c r="I79" i="203"/>
  <c r="Q79" i="203" s="1"/>
  <c r="I80" i="203"/>
  <c r="I81" i="203"/>
  <c r="I82" i="203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I95" i="203"/>
  <c r="Q95" i="203" s="1"/>
  <c r="I96" i="203"/>
  <c r="Q96" i="203" s="1"/>
  <c r="I97" i="203"/>
  <c r="I98" i="203"/>
  <c r="I99" i="203"/>
  <c r="I100" i="203"/>
  <c r="Q100" i="203" s="1"/>
  <c r="I101" i="203"/>
  <c r="Q101" i="203" s="1"/>
  <c r="I102" i="203"/>
  <c r="Q102" i="203" s="1"/>
  <c r="I103" i="203"/>
  <c r="Q103" i="203" s="1"/>
  <c r="I104" i="203"/>
  <c r="I105" i="203"/>
  <c r="I106" i="203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I119" i="203"/>
  <c r="Q119" i="203" s="1"/>
  <c r="I120" i="203"/>
  <c r="Q120" i="203" s="1"/>
  <c r="I121" i="203"/>
  <c r="I122" i="203"/>
  <c r="I123" i="203"/>
  <c r="I124" i="203"/>
  <c r="Q124" i="203" s="1"/>
  <c r="I125" i="203"/>
  <c r="Q125" i="203" s="1"/>
  <c r="I126" i="203"/>
  <c r="Q126" i="203" s="1"/>
  <c r="I127" i="203"/>
  <c r="Q127" i="203" s="1"/>
  <c r="I128" i="203"/>
  <c r="I129" i="203"/>
  <c r="I130" i="203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55" i="203" l="1"/>
  <c r="Q43" i="203"/>
  <c r="Q31" i="203"/>
  <c r="Q19" i="203"/>
  <c r="Q130" i="203"/>
  <c r="Q106" i="203"/>
  <c r="Q94" i="203"/>
  <c r="Q70" i="203"/>
  <c r="Q58" i="203"/>
  <c r="Q46" i="203"/>
  <c r="Q34" i="203"/>
  <c r="Q22" i="203"/>
  <c r="Q10" i="203"/>
  <c r="Q133" i="203"/>
  <c r="Q121" i="203"/>
  <c r="Q109" i="203"/>
  <c r="Q97" i="203"/>
  <c r="Q85" i="203"/>
  <c r="Q73" i="203"/>
  <c r="Q61" i="203"/>
  <c r="Q49" i="203"/>
  <c r="Q37" i="203"/>
  <c r="Q25" i="203"/>
  <c r="Q13" i="203"/>
  <c r="Q118" i="203"/>
  <c r="Q82" i="203"/>
  <c r="Q129" i="203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Q174" i="203" l="1"/>
  <c r="I10" i="227" l="1"/>
  <c r="I9" i="227"/>
  <c r="I8" i="227"/>
  <c r="I7" i="227"/>
  <c r="I6" i="227"/>
  <c r="I5" i="227"/>
  <c r="N204" i="209"/>
  <c r="I204" i="209"/>
  <c r="Q204" i="209" s="1"/>
  <c r="N203" i="209"/>
  <c r="I203" i="209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N204" i="208"/>
  <c r="I204" i="208"/>
  <c r="N203" i="208"/>
  <c r="I203" i="208"/>
  <c r="N202" i="208"/>
  <c r="I202" i="208"/>
  <c r="Q202" i="208" s="1"/>
  <c r="N201" i="208"/>
  <c r="I201" i="208"/>
  <c r="N200" i="208"/>
  <c r="I200" i="208"/>
  <c r="N199" i="208"/>
  <c r="I199" i="208"/>
  <c r="N198" i="208"/>
  <c r="I198" i="208"/>
  <c r="N197" i="208"/>
  <c r="I197" i="208"/>
  <c r="N196" i="208"/>
  <c r="I196" i="208"/>
  <c r="Q196" i="208" s="1"/>
  <c r="N195" i="208"/>
  <c r="I195" i="208"/>
  <c r="N194" i="208"/>
  <c r="I194" i="208"/>
  <c r="N193" i="208"/>
  <c r="I193" i="208"/>
  <c r="N192" i="208"/>
  <c r="I192" i="208"/>
  <c r="N191" i="208"/>
  <c r="I191" i="208"/>
  <c r="N190" i="208"/>
  <c r="I190" i="208"/>
  <c r="Q190" i="208" s="1"/>
  <c r="N189" i="208"/>
  <c r="I189" i="208"/>
  <c r="N188" i="208"/>
  <c r="I188" i="208"/>
  <c r="N187" i="208"/>
  <c r="I187" i="208"/>
  <c r="N186" i="208"/>
  <c r="I186" i="208"/>
  <c r="N185" i="208"/>
  <c r="I185" i="208"/>
  <c r="N184" i="208"/>
  <c r="I184" i="208"/>
  <c r="Q184" i="208" s="1"/>
  <c r="N183" i="208"/>
  <c r="I183" i="208"/>
  <c r="N182" i="208"/>
  <c r="I182" i="208"/>
  <c r="N181" i="208"/>
  <c r="I181" i="208"/>
  <c r="N180" i="208"/>
  <c r="I180" i="208"/>
  <c r="N179" i="208"/>
  <c r="I179" i="208"/>
  <c r="N178" i="208"/>
  <c r="I178" i="208"/>
  <c r="Q178" i="208" s="1"/>
  <c r="N177" i="208"/>
  <c r="I177" i="208"/>
  <c r="N176" i="208"/>
  <c r="I176" i="208"/>
  <c r="N175" i="208"/>
  <c r="I175" i="208"/>
  <c r="N174" i="208"/>
  <c r="I174" i="208"/>
  <c r="N173" i="208"/>
  <c r="I173" i="208"/>
  <c r="N172" i="208"/>
  <c r="I172" i="208"/>
  <c r="Q172" i="208" s="1"/>
  <c r="N171" i="208"/>
  <c r="I171" i="208"/>
  <c r="N170" i="208"/>
  <c r="I170" i="208"/>
  <c r="N169" i="208"/>
  <c r="I169" i="208"/>
  <c r="N168" i="208"/>
  <c r="I168" i="208"/>
  <c r="N167" i="208"/>
  <c r="I167" i="208"/>
  <c r="N166" i="208"/>
  <c r="I166" i="208"/>
  <c r="Q166" i="208" s="1"/>
  <c r="N165" i="208"/>
  <c r="I165" i="208"/>
  <c r="N164" i="208"/>
  <c r="I164" i="208"/>
  <c r="N163" i="208"/>
  <c r="I163" i="208"/>
  <c r="N162" i="208"/>
  <c r="I162" i="208"/>
  <c r="N161" i="208"/>
  <c r="I161" i="208"/>
  <c r="N160" i="208"/>
  <c r="I160" i="208"/>
  <c r="Q160" i="208" s="1"/>
  <c r="N159" i="208"/>
  <c r="I159" i="208"/>
  <c r="N158" i="208"/>
  <c r="I158" i="208"/>
  <c r="N157" i="208"/>
  <c r="I157" i="208"/>
  <c r="N156" i="208"/>
  <c r="I156" i="208"/>
  <c r="N155" i="208"/>
  <c r="I155" i="208"/>
  <c r="N154" i="208"/>
  <c r="I154" i="208"/>
  <c r="Q154" i="208" s="1"/>
  <c r="N153" i="208"/>
  <c r="I153" i="208"/>
  <c r="N152" i="208"/>
  <c r="I152" i="208"/>
  <c r="N151" i="208"/>
  <c r="I151" i="208"/>
  <c r="N150" i="208"/>
  <c r="I150" i="208"/>
  <c r="N149" i="208"/>
  <c r="I149" i="208"/>
  <c r="N148" i="208"/>
  <c r="I148" i="208"/>
  <c r="Q148" i="208" s="1"/>
  <c r="N147" i="208"/>
  <c r="I147" i="208"/>
  <c r="N146" i="208"/>
  <c r="I146" i="208"/>
  <c r="N145" i="208"/>
  <c r="I145" i="208"/>
  <c r="N144" i="208"/>
  <c r="I144" i="208"/>
  <c r="N143" i="208"/>
  <c r="I143" i="208"/>
  <c r="N142" i="208"/>
  <c r="I142" i="208"/>
  <c r="Q142" i="208" s="1"/>
  <c r="N141" i="208"/>
  <c r="I141" i="208"/>
  <c r="N140" i="208"/>
  <c r="I140" i="208"/>
  <c r="N139" i="208"/>
  <c r="I139" i="208"/>
  <c r="N138" i="208"/>
  <c r="I138" i="208"/>
  <c r="N137" i="208"/>
  <c r="I137" i="208"/>
  <c r="N136" i="208"/>
  <c r="I136" i="208"/>
  <c r="Q136" i="208" s="1"/>
  <c r="N135" i="208"/>
  <c r="I135" i="208"/>
  <c r="N134" i="208"/>
  <c r="I134" i="208"/>
  <c r="N133" i="208"/>
  <c r="I133" i="208"/>
  <c r="N132" i="208"/>
  <c r="I132" i="208"/>
  <c r="N131" i="208"/>
  <c r="I131" i="208"/>
  <c r="N130" i="208"/>
  <c r="I130" i="208"/>
  <c r="Q130" i="208" s="1"/>
  <c r="N129" i="208"/>
  <c r="I129" i="208"/>
  <c r="N128" i="208"/>
  <c r="I128" i="208"/>
  <c r="N127" i="208"/>
  <c r="I127" i="208"/>
  <c r="N126" i="208"/>
  <c r="I126" i="208"/>
  <c r="N125" i="208"/>
  <c r="I125" i="208"/>
  <c r="N124" i="208"/>
  <c r="I124" i="208"/>
  <c r="Q124" i="208" s="1"/>
  <c r="N123" i="208"/>
  <c r="I123" i="208"/>
  <c r="N122" i="208"/>
  <c r="I122" i="208"/>
  <c r="N121" i="208"/>
  <c r="I121" i="208"/>
  <c r="N120" i="208"/>
  <c r="I120" i="208"/>
  <c r="N119" i="208"/>
  <c r="I119" i="208"/>
  <c r="N118" i="208"/>
  <c r="I118" i="208"/>
  <c r="Q118" i="208" s="1"/>
  <c r="N117" i="208"/>
  <c r="I117" i="208"/>
  <c r="N116" i="208"/>
  <c r="I116" i="208"/>
  <c r="N115" i="208"/>
  <c r="I115" i="208"/>
  <c r="N114" i="208"/>
  <c r="I114" i="208"/>
  <c r="N113" i="208"/>
  <c r="I113" i="208"/>
  <c r="N112" i="208"/>
  <c r="I112" i="208"/>
  <c r="Q112" i="208" s="1"/>
  <c r="N111" i="208"/>
  <c r="I111" i="208"/>
  <c r="N110" i="208"/>
  <c r="I110" i="208"/>
  <c r="N109" i="208"/>
  <c r="I109" i="208"/>
  <c r="N108" i="208"/>
  <c r="I108" i="208"/>
  <c r="N107" i="208"/>
  <c r="I107" i="208"/>
  <c r="N106" i="208"/>
  <c r="I106" i="208"/>
  <c r="Q106" i="208" s="1"/>
  <c r="N105" i="208"/>
  <c r="I105" i="208"/>
  <c r="N104" i="208"/>
  <c r="I104" i="208"/>
  <c r="N103" i="208"/>
  <c r="I103" i="208"/>
  <c r="N102" i="208"/>
  <c r="I102" i="208"/>
  <c r="N101" i="208"/>
  <c r="I101" i="208"/>
  <c r="N100" i="208"/>
  <c r="I100" i="208"/>
  <c r="Q100" i="208" s="1"/>
  <c r="N99" i="208"/>
  <c r="I99" i="208"/>
  <c r="N98" i="208"/>
  <c r="I98" i="208"/>
  <c r="N97" i="208"/>
  <c r="I97" i="208"/>
  <c r="N96" i="208"/>
  <c r="I96" i="208"/>
  <c r="N95" i="208"/>
  <c r="I95" i="208"/>
  <c r="N94" i="208"/>
  <c r="I94" i="208"/>
  <c r="Q94" i="208" s="1"/>
  <c r="N93" i="208"/>
  <c r="I93" i="208"/>
  <c r="N92" i="208"/>
  <c r="I92" i="208"/>
  <c r="N91" i="208"/>
  <c r="I91" i="208"/>
  <c r="N90" i="208"/>
  <c r="I90" i="208"/>
  <c r="N89" i="208"/>
  <c r="I89" i="208"/>
  <c r="N88" i="208"/>
  <c r="I88" i="208"/>
  <c r="Q88" i="208" s="1"/>
  <c r="N87" i="208"/>
  <c r="I87" i="208"/>
  <c r="N86" i="208"/>
  <c r="I86" i="208"/>
  <c r="N85" i="208"/>
  <c r="I85" i="208"/>
  <c r="N84" i="208"/>
  <c r="I84" i="208"/>
  <c r="N83" i="208"/>
  <c r="I83" i="208"/>
  <c r="N82" i="208"/>
  <c r="I82" i="208"/>
  <c r="Q82" i="208" s="1"/>
  <c r="N81" i="208"/>
  <c r="I81" i="208"/>
  <c r="N80" i="208"/>
  <c r="I80" i="208"/>
  <c r="N79" i="208"/>
  <c r="I79" i="208"/>
  <c r="N78" i="208"/>
  <c r="I78" i="208"/>
  <c r="N77" i="208"/>
  <c r="I77" i="208"/>
  <c r="N76" i="208"/>
  <c r="I76" i="208"/>
  <c r="Q76" i="208" s="1"/>
  <c r="N75" i="208"/>
  <c r="I75" i="208"/>
  <c r="N74" i="208"/>
  <c r="I74" i="208"/>
  <c r="N73" i="208"/>
  <c r="I73" i="208"/>
  <c r="N72" i="208"/>
  <c r="I72" i="208"/>
  <c r="N71" i="208"/>
  <c r="I71" i="208"/>
  <c r="N70" i="208"/>
  <c r="I70" i="208"/>
  <c r="Q70" i="208" s="1"/>
  <c r="N69" i="208"/>
  <c r="I69" i="208"/>
  <c r="N68" i="208"/>
  <c r="I68" i="208"/>
  <c r="N67" i="208"/>
  <c r="I67" i="208"/>
  <c r="N66" i="208"/>
  <c r="I66" i="208"/>
  <c r="N65" i="208"/>
  <c r="I65" i="208"/>
  <c r="N64" i="208"/>
  <c r="I64" i="208"/>
  <c r="Q64" i="208" s="1"/>
  <c r="N63" i="208"/>
  <c r="I63" i="208"/>
  <c r="N62" i="208"/>
  <c r="I62" i="208"/>
  <c r="N61" i="208"/>
  <c r="I61" i="208"/>
  <c r="N60" i="208"/>
  <c r="I60" i="208"/>
  <c r="N59" i="208"/>
  <c r="I59" i="208"/>
  <c r="N58" i="208"/>
  <c r="I58" i="208"/>
  <c r="Q58" i="208" s="1"/>
  <c r="N57" i="208"/>
  <c r="I57" i="208"/>
  <c r="N56" i="208"/>
  <c r="I56" i="208"/>
  <c r="N55" i="208"/>
  <c r="I55" i="208"/>
  <c r="N54" i="208"/>
  <c r="I54" i="208"/>
  <c r="N53" i="208"/>
  <c r="I53" i="208"/>
  <c r="N52" i="208"/>
  <c r="I52" i="208"/>
  <c r="Q52" i="208" s="1"/>
  <c r="N51" i="208"/>
  <c r="I51" i="208"/>
  <c r="N50" i="208"/>
  <c r="I50" i="208"/>
  <c r="N49" i="208"/>
  <c r="I49" i="208"/>
  <c r="N48" i="208"/>
  <c r="I48" i="208"/>
  <c r="N47" i="208"/>
  <c r="I47" i="208"/>
  <c r="N46" i="208"/>
  <c r="I46" i="208"/>
  <c r="Q46" i="208" s="1"/>
  <c r="N45" i="208"/>
  <c r="I45" i="208"/>
  <c r="N44" i="208"/>
  <c r="I44" i="208"/>
  <c r="N43" i="208"/>
  <c r="I43" i="208"/>
  <c r="N42" i="208"/>
  <c r="I42" i="208"/>
  <c r="N41" i="208"/>
  <c r="I41" i="208"/>
  <c r="N40" i="208"/>
  <c r="I40" i="208"/>
  <c r="Q40" i="208" s="1"/>
  <c r="N39" i="208"/>
  <c r="I39" i="208"/>
  <c r="N38" i="208"/>
  <c r="I38" i="208"/>
  <c r="N37" i="208"/>
  <c r="I37" i="208"/>
  <c r="N36" i="208"/>
  <c r="I36" i="208"/>
  <c r="N35" i="208"/>
  <c r="I35" i="208"/>
  <c r="N34" i="208"/>
  <c r="I34" i="208"/>
  <c r="Q34" i="208" s="1"/>
  <c r="N33" i="208"/>
  <c r="I33" i="208"/>
  <c r="N32" i="208"/>
  <c r="I32" i="208"/>
  <c r="N31" i="208"/>
  <c r="I31" i="208"/>
  <c r="N30" i="208"/>
  <c r="I30" i="208"/>
  <c r="N29" i="208"/>
  <c r="I29" i="208"/>
  <c r="N28" i="208"/>
  <c r="I28" i="208"/>
  <c r="Q28" i="208" s="1"/>
  <c r="N27" i="208"/>
  <c r="I27" i="208"/>
  <c r="N26" i="208"/>
  <c r="I26" i="208"/>
  <c r="N25" i="208"/>
  <c r="I25" i="208"/>
  <c r="N24" i="208"/>
  <c r="I24" i="208"/>
  <c r="N23" i="208"/>
  <c r="I23" i="208"/>
  <c r="N22" i="208"/>
  <c r="I22" i="208"/>
  <c r="Q22" i="208" s="1"/>
  <c r="N21" i="208"/>
  <c r="I21" i="208"/>
  <c r="N20" i="208"/>
  <c r="I20" i="208"/>
  <c r="N19" i="208"/>
  <c r="I19" i="208"/>
  <c r="N18" i="208"/>
  <c r="I18" i="208"/>
  <c r="N17" i="208"/>
  <c r="I17" i="208"/>
  <c r="N16" i="208"/>
  <c r="I16" i="208"/>
  <c r="Q16" i="208" s="1"/>
  <c r="N15" i="208"/>
  <c r="I15" i="208"/>
  <c r="N14" i="208"/>
  <c r="I14" i="208"/>
  <c r="N13" i="208"/>
  <c r="I13" i="208"/>
  <c r="N12" i="208"/>
  <c r="I12" i="208"/>
  <c r="N11" i="208"/>
  <c r="I11" i="208"/>
  <c r="N10" i="208"/>
  <c r="I10" i="208"/>
  <c r="Q10" i="208" s="1"/>
  <c r="N9" i="208"/>
  <c r="I9" i="208"/>
  <c r="N8" i="208"/>
  <c r="I8" i="208"/>
  <c r="N7" i="208"/>
  <c r="I7" i="208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B3" i="204"/>
  <c r="Q11" i="206" l="1"/>
  <c r="Q18" i="206"/>
  <c r="Q24" i="206"/>
  <c r="Q30" i="206"/>
  <c r="Q36" i="206"/>
  <c r="Q42" i="206"/>
  <c r="Q48" i="206"/>
  <c r="Q54" i="206"/>
  <c r="Q60" i="206"/>
  <c r="Q66" i="206"/>
  <c r="Q72" i="206"/>
  <c r="Q78" i="206"/>
  <c r="Q84" i="206"/>
  <c r="Q90" i="206"/>
  <c r="Q96" i="206"/>
  <c r="Q102" i="206"/>
  <c r="Q108" i="206"/>
  <c r="Q114" i="206"/>
  <c r="Q120" i="206"/>
  <c r="Q126" i="206"/>
  <c r="Q132" i="206"/>
  <c r="Q9" i="208"/>
  <c r="Q15" i="208"/>
  <c r="Q21" i="208"/>
  <c r="Q27" i="208"/>
  <c r="Q33" i="208"/>
  <c r="Q39" i="208"/>
  <c r="Q45" i="208"/>
  <c r="Q51" i="208"/>
  <c r="Q57" i="208"/>
  <c r="Q63" i="208"/>
  <c r="Q69" i="208"/>
  <c r="Q75" i="208"/>
  <c r="Q5" i="206"/>
  <c r="Q8" i="207"/>
  <c r="Q14" i="207"/>
  <c r="Q20" i="207"/>
  <c r="Q26" i="207"/>
  <c r="Q32" i="207"/>
  <c r="Q38" i="207"/>
  <c r="Q44" i="207"/>
  <c r="Q50" i="207"/>
  <c r="Q56" i="207"/>
  <c r="Q62" i="207"/>
  <c r="Q68" i="207"/>
  <c r="Q74" i="207"/>
  <c r="Q80" i="207"/>
  <c r="Q86" i="207"/>
  <c r="Q92" i="207"/>
  <c r="Q98" i="207"/>
  <c r="Q104" i="207"/>
  <c r="Q110" i="207"/>
  <c r="Q116" i="207"/>
  <c r="Q122" i="207"/>
  <c r="Q128" i="207"/>
  <c r="Q134" i="207"/>
  <c r="Q140" i="207"/>
  <c r="Q146" i="207"/>
  <c r="Q152" i="207"/>
  <c r="Q138" i="206"/>
  <c r="Q144" i="206"/>
  <c r="Q150" i="206"/>
  <c r="Q156" i="206"/>
  <c r="Q162" i="206"/>
  <c r="Q168" i="206"/>
  <c r="Q174" i="206"/>
  <c r="Q180" i="206"/>
  <c r="Q186" i="206"/>
  <c r="Q192" i="206"/>
  <c r="Q198" i="206"/>
  <c r="Q204" i="206"/>
  <c r="Q7" i="208"/>
  <c r="Q13" i="208"/>
  <c r="Q19" i="208"/>
  <c r="Q25" i="208"/>
  <c r="Q31" i="208"/>
  <c r="Q37" i="208"/>
  <c r="Q43" i="208"/>
  <c r="Q49" i="208"/>
  <c r="Q55" i="208"/>
  <c r="Q61" i="208"/>
  <c r="Q67" i="208"/>
  <c r="Q73" i="208"/>
  <c r="Q79" i="208"/>
  <c r="Q85" i="208"/>
  <c r="Q91" i="208"/>
  <c r="Q97" i="208"/>
  <c r="Q103" i="208"/>
  <c r="Q109" i="208"/>
  <c r="Q115" i="208"/>
  <c r="Q121" i="208"/>
  <c r="Q127" i="208"/>
  <c r="Q133" i="208"/>
  <c r="Q139" i="208"/>
  <c r="Q145" i="208"/>
  <c r="Q151" i="208"/>
  <c r="Q157" i="208"/>
  <c r="Q163" i="208"/>
  <c r="Q169" i="208"/>
  <c r="Q175" i="208"/>
  <c r="Q181" i="208"/>
  <c r="Q187" i="208"/>
  <c r="Q193" i="208"/>
  <c r="Q199" i="208"/>
  <c r="Q5" i="209"/>
  <c r="Q11" i="209"/>
  <c r="Q17" i="209"/>
  <c r="Q23" i="209"/>
  <c r="Q29" i="209"/>
  <c r="Q35" i="209"/>
  <c r="Q41" i="209"/>
  <c r="Q47" i="209"/>
  <c r="Q53" i="209"/>
  <c r="Q59" i="209"/>
  <c r="Q65" i="209"/>
  <c r="Q71" i="209"/>
  <c r="Q77" i="209"/>
  <c r="Q83" i="209"/>
  <c r="Q89" i="209"/>
  <c r="Q95" i="209"/>
  <c r="Q101" i="209"/>
  <c r="Q107" i="209"/>
  <c r="Q113" i="209"/>
  <c r="Q119" i="209"/>
  <c r="Q125" i="209"/>
  <c r="Q131" i="209"/>
  <c r="Q137" i="209"/>
  <c r="Q143" i="209"/>
  <c r="Q149" i="209"/>
  <c r="Q155" i="209"/>
  <c r="Q161" i="209"/>
  <c r="Q167" i="209"/>
  <c r="Q173" i="209"/>
  <c r="Q179" i="209"/>
  <c r="Q185" i="209"/>
  <c r="Q191" i="209"/>
  <c r="Q197" i="209"/>
  <c r="Q203" i="209"/>
  <c r="Q81" i="208"/>
  <c r="Q87" i="208"/>
  <c r="Q93" i="208"/>
  <c r="Q99" i="208"/>
  <c r="Q105" i="208"/>
  <c r="Q111" i="208"/>
  <c r="Q117" i="208"/>
  <c r="Q123" i="208"/>
  <c r="Q129" i="208"/>
  <c r="Q135" i="208"/>
  <c r="Q141" i="208"/>
  <c r="Q147" i="208"/>
  <c r="Q153" i="208"/>
  <c r="Q159" i="208"/>
  <c r="Q165" i="208"/>
  <c r="Q171" i="208"/>
  <c r="Q177" i="208"/>
  <c r="Q183" i="208"/>
  <c r="Q189" i="208"/>
  <c r="Q195" i="208"/>
  <c r="Q201" i="208"/>
  <c r="Q158" i="207"/>
  <c r="Q164" i="207"/>
  <c r="Q170" i="207"/>
  <c r="Q176" i="207"/>
  <c r="Q182" i="207"/>
  <c r="Q188" i="207"/>
  <c r="Q194" i="207"/>
  <c r="Q200" i="207"/>
  <c r="Q10" i="207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24" i="227"/>
  <c r="H124" i="227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N201" i="204"/>
  <c r="I201" i="204"/>
  <c r="Q201" i="204" s="1"/>
  <c r="N200" i="204"/>
  <c r="I200" i="204"/>
  <c r="Q200" i="204" s="1"/>
  <c r="N199" i="204"/>
  <c r="I199" i="204"/>
  <c r="N198" i="204"/>
  <c r="I198" i="204"/>
  <c r="Q198" i="204" s="1"/>
  <c r="N197" i="204"/>
  <c r="I197" i="204"/>
  <c r="N196" i="204"/>
  <c r="I196" i="204"/>
  <c r="N195" i="204"/>
  <c r="I195" i="204"/>
  <c r="Q195" i="204" s="1"/>
  <c r="N194" i="204"/>
  <c r="I194" i="204"/>
  <c r="Q194" i="204" s="1"/>
  <c r="N193" i="204"/>
  <c r="I193" i="204"/>
  <c r="N192" i="204"/>
  <c r="I192" i="204"/>
  <c r="Q192" i="204" s="1"/>
  <c r="N191" i="204"/>
  <c r="I191" i="204"/>
  <c r="N190" i="204"/>
  <c r="I190" i="204"/>
  <c r="N189" i="204"/>
  <c r="I189" i="204"/>
  <c r="Q189" i="204" s="1"/>
  <c r="N188" i="204"/>
  <c r="I188" i="204"/>
  <c r="Q188" i="204" s="1"/>
  <c r="N187" i="204"/>
  <c r="I187" i="204"/>
  <c r="N186" i="204"/>
  <c r="I186" i="204"/>
  <c r="Q186" i="204" s="1"/>
  <c r="N185" i="204"/>
  <c r="I185" i="204"/>
  <c r="N184" i="204"/>
  <c r="I184" i="204"/>
  <c r="N183" i="204"/>
  <c r="I183" i="204"/>
  <c r="Q183" i="204" s="1"/>
  <c r="N182" i="204"/>
  <c r="I182" i="204"/>
  <c r="Q182" i="204" s="1"/>
  <c r="N181" i="204"/>
  <c r="I181" i="204"/>
  <c r="N180" i="204"/>
  <c r="I180" i="204"/>
  <c r="Q180" i="204" s="1"/>
  <c r="N179" i="204"/>
  <c r="I179" i="204"/>
  <c r="N178" i="204"/>
  <c r="I178" i="204"/>
  <c r="N177" i="204"/>
  <c r="I177" i="204"/>
  <c r="Q177" i="204" s="1"/>
  <c r="N176" i="204"/>
  <c r="I176" i="204"/>
  <c r="Q176" i="204" s="1"/>
  <c r="N175" i="204"/>
  <c r="I175" i="204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N144" i="204"/>
  <c r="I144" i="204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N78" i="204"/>
  <c r="I78" i="204"/>
  <c r="Q78" i="204" s="1"/>
  <c r="N77" i="204"/>
  <c r="I77" i="204"/>
  <c r="N76" i="204"/>
  <c r="I76" i="204"/>
  <c r="N75" i="204"/>
  <c r="I75" i="204"/>
  <c r="Q75" i="204" s="1"/>
  <c r="N74" i="204"/>
  <c r="I74" i="204"/>
  <c r="Q74" i="204" s="1"/>
  <c r="N73" i="204"/>
  <c r="I73" i="204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44" i="204" l="1"/>
  <c r="Q7" i="204"/>
  <c r="Q13" i="204"/>
  <c r="Q19" i="204"/>
  <c r="Q25" i="204"/>
  <c r="Q31" i="204"/>
  <c r="Q37" i="204"/>
  <c r="Q43" i="204"/>
  <c r="Q49" i="204"/>
  <c r="Q55" i="204"/>
  <c r="Q61" i="204"/>
  <c r="Q67" i="204"/>
  <c r="Q73" i="204"/>
  <c r="Q79" i="204"/>
  <c r="Q85" i="204"/>
  <c r="Q91" i="204"/>
  <c r="Q97" i="204"/>
  <c r="Q103" i="204"/>
  <c r="Q109" i="204"/>
  <c r="Q115" i="204"/>
  <c r="Q121" i="204"/>
  <c r="Q127" i="204"/>
  <c r="Q133" i="204"/>
  <c r="Q139" i="204"/>
  <c r="Q145" i="204"/>
  <c r="Q151" i="204"/>
  <c r="Q157" i="204"/>
  <c r="Q163" i="204"/>
  <c r="Q169" i="204"/>
  <c r="Q175" i="204"/>
  <c r="Q181" i="204"/>
  <c r="Q187" i="204"/>
  <c r="Q193" i="204"/>
  <c r="Q199" i="204"/>
  <c r="Q76" i="204"/>
  <c r="Q178" i="204"/>
  <c r="Q184" i="204"/>
  <c r="Q190" i="204"/>
  <c r="Q196" i="204"/>
  <c r="Q202" i="204"/>
  <c r="Q5" i="204"/>
  <c r="Q11" i="204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  <c r="A6" i="227" l="1"/>
  <c r="A7" i="227" s="1"/>
  <c r="A8" i="227" s="1"/>
  <c r="A9" i="227" s="1"/>
  <c r="A10" i="227" s="1"/>
  <c r="A11" i="227" s="1"/>
  <c r="A12" i="227" s="1"/>
  <c r="A13" i="227" s="1"/>
  <c r="A14" i="227" s="1"/>
  <c r="A15" i="227" s="1"/>
  <c r="A16" i="227" s="1"/>
  <c r="A17" i="227" s="1"/>
  <c r="A18" i="227" s="1"/>
  <c r="A19" i="227" s="1"/>
  <c r="A20" i="227" s="1"/>
  <c r="A21" i="227" s="1"/>
  <c r="A22" i="227" s="1"/>
  <c r="A23" i="227" s="1"/>
  <c r="A24" i="227" s="1"/>
  <c r="A25" i="227" s="1"/>
  <c r="A26" i="227" s="1"/>
  <c r="A27" i="227" s="1"/>
  <c r="A28" i="227" s="1"/>
  <c r="A29" i="227" s="1"/>
  <c r="A30" i="227" s="1"/>
  <c r="A31" i="227" s="1"/>
  <c r="A32" i="227" s="1"/>
  <c r="A33" i="227" s="1"/>
  <c r="A34" i="227" s="1"/>
  <c r="A35" i="227" s="1"/>
  <c r="A36" i="227" s="1"/>
  <c r="A37" i="227" s="1"/>
  <c r="A38" i="227" s="1"/>
  <c r="A39" i="227" s="1"/>
  <c r="A40" i="227" s="1"/>
  <c r="A41" i="227" s="1"/>
  <c r="A42" i="227" s="1"/>
  <c r="A43" i="227" s="1"/>
  <c r="A44" i="227" s="1"/>
  <c r="A45" i="227" s="1"/>
  <c r="A46" i="227" s="1"/>
  <c r="A47" i="227" s="1"/>
  <c r="A48" i="227" s="1"/>
  <c r="A49" i="227" s="1"/>
  <c r="A50" i="227" s="1"/>
  <c r="A51" i="227" s="1"/>
  <c r="A52" i="227" s="1"/>
  <c r="A53" i="227" s="1"/>
  <c r="A54" i="227" s="1"/>
  <c r="A55" i="227" s="1"/>
  <c r="A56" i="227" s="1"/>
  <c r="A57" i="227" s="1"/>
  <c r="A58" i="227" s="1"/>
  <c r="A59" i="227" s="1"/>
  <c r="A60" i="227" s="1"/>
  <c r="A61" i="227" s="1"/>
  <c r="A62" i="227" s="1"/>
  <c r="A63" i="227" s="1"/>
  <c r="A64" i="227" s="1"/>
  <c r="A65" i="227" s="1"/>
  <c r="A66" i="227" s="1"/>
  <c r="A67" i="227" s="1"/>
  <c r="A68" i="227" s="1"/>
  <c r="A69" i="227" s="1"/>
  <c r="A70" i="227" s="1"/>
  <c r="A71" i="227" s="1"/>
  <c r="A72" i="227" s="1"/>
  <c r="A73" i="227" s="1"/>
  <c r="A74" i="227" s="1"/>
  <c r="A75" i="227" s="1"/>
  <c r="A76" i="227" s="1"/>
  <c r="A77" i="227" s="1"/>
  <c r="A78" i="227" s="1"/>
  <c r="A79" i="227" s="1"/>
  <c r="A80" i="227" s="1"/>
  <c r="A81" i="227" s="1"/>
  <c r="A82" i="227" s="1"/>
  <c r="A83" i="227" s="1"/>
  <c r="A84" i="227" s="1"/>
  <c r="A85" i="227" s="1"/>
  <c r="A86" i="227" s="1"/>
  <c r="A87" i="227" s="1"/>
  <c r="A88" i="227" s="1"/>
  <c r="A89" i="227" s="1"/>
  <c r="A90" i="227" s="1"/>
  <c r="A91" i="227" s="1"/>
  <c r="A92" i="227" s="1"/>
  <c r="A93" i="227" s="1"/>
  <c r="A94" i="227" s="1"/>
  <c r="A95" i="227" s="1"/>
  <c r="A96" i="227" s="1"/>
  <c r="A97" i="227" s="1"/>
  <c r="A98" i="227" s="1"/>
  <c r="A99" i="227" s="1"/>
  <c r="A100" i="227" s="1"/>
  <c r="A101" i="227" s="1"/>
  <c r="A102" i="227" s="1"/>
  <c r="A103" i="227" s="1"/>
  <c r="A104" i="227" s="1"/>
  <c r="A105" i="227" s="1"/>
  <c r="A106" i="227" s="1"/>
  <c r="A107" i="227" s="1"/>
  <c r="A108" i="227" s="1"/>
  <c r="A109" i="227" s="1"/>
  <c r="A110" i="227" s="1"/>
  <c r="A111" i="227" s="1"/>
  <c r="A112" i="227" s="1"/>
  <c r="A113" i="227" s="1"/>
  <c r="A114" i="227" s="1"/>
  <c r="A115" i="227" s="1"/>
  <c r="A116" i="227" s="1"/>
  <c r="A117" i="227" s="1"/>
  <c r="A118" i="227" s="1"/>
  <c r="A119" i="227" s="1"/>
  <c r="A120" i="227" s="1"/>
  <c r="A121" i="227" s="1"/>
  <c r="A122" i="227" s="1"/>
</calcChain>
</file>

<file path=xl/sharedStrings.xml><?xml version="1.0" encoding="utf-8"?>
<sst xmlns="http://schemas.openxmlformats.org/spreadsheetml/2006/main" count="664" uniqueCount="352">
  <si>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</si>
  <si>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</si>
  <si>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</si>
  <si>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</si>
  <si>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</si>
  <si>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</si>
  <si>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</si>
  <si>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</si>
  <si>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</si>
  <si>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</si>
  <si>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</si>
  <si>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</si>
  <si>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</si>
  <si>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</si>
  <si>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</si>
  <si>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</si>
  <si>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</si>
  <si>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</si>
  <si>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</si>
  <si>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</si>
  <si>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</si>
  <si>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</si>
  <si>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</si>
  <si>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</si>
  <si>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</si>
  <si>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</si>
  <si>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PJM036</t>
  </si>
  <si>
    <t>PJM012</t>
  </si>
  <si>
    <t>PJM114</t>
  </si>
  <si>
    <t>PJM022</t>
  </si>
  <si>
    <t>PJM153</t>
  </si>
  <si>
    <t>PJM110</t>
  </si>
  <si>
    <t>PJM038</t>
  </si>
  <si>
    <t>PJM010</t>
  </si>
  <si>
    <t>PJM106</t>
  </si>
  <si>
    <t>PJM013</t>
  </si>
  <si>
    <t>PJM111</t>
  </si>
  <si>
    <t>PJM008</t>
  </si>
  <si>
    <t>PJM070</t>
  </si>
  <si>
    <t>PJM015</t>
  </si>
  <si>
    <t>PJM041</t>
  </si>
  <si>
    <t>PJM009</t>
  </si>
  <si>
    <t>PJM031</t>
  </si>
  <si>
    <t>PJM030</t>
  </si>
  <si>
    <t>PJM052</t>
  </si>
  <si>
    <t>PJM101</t>
  </si>
  <si>
    <t>PJM085</t>
  </si>
  <si>
    <t>PJM102</t>
  </si>
  <si>
    <t>PJM003</t>
  </si>
  <si>
    <t>PJM108</t>
  </si>
  <si>
    <t>PJM018</t>
  </si>
  <si>
    <t>PJM025</t>
  </si>
  <si>
    <t>PJM059</t>
  </si>
  <si>
    <t>PJM019</t>
  </si>
  <si>
    <t>PJM020</t>
  </si>
  <si>
    <t>PJM006</t>
  </si>
  <si>
    <t>PJM014</t>
  </si>
  <si>
    <t>PJM049</t>
  </si>
  <si>
    <t>PJM088</t>
  </si>
  <si>
    <t>PJM089</t>
  </si>
  <si>
    <t>PJM105</t>
  </si>
  <si>
    <t>PJM095</t>
  </si>
  <si>
    <t>PJM079</t>
  </si>
  <si>
    <t>PJM072</t>
  </si>
  <si>
    <t>PJM032</t>
  </si>
  <si>
    <t>PJM086</t>
  </si>
  <si>
    <t>PJM045</t>
  </si>
  <si>
    <t>PJM043</t>
  </si>
  <si>
    <t>PJM042</t>
  </si>
  <si>
    <t>PJM090</t>
  </si>
  <si>
    <t>PJM080</t>
  </si>
  <si>
    <t>PJM103</t>
  </si>
  <si>
    <t>PJM001</t>
  </si>
  <si>
    <t>PJM024</t>
  </si>
  <si>
    <t>PJM107</t>
  </si>
  <si>
    <t>PJM115</t>
  </si>
  <si>
    <t>PJM037</t>
  </si>
  <si>
    <t>PJM071</t>
  </si>
  <si>
    <t>PJM050</t>
  </si>
  <si>
    <t>PJM073</t>
  </si>
  <si>
    <t>PJM083</t>
  </si>
  <si>
    <t>PJM084</t>
  </si>
  <si>
    <t>PJM057</t>
  </si>
  <si>
    <t>PJM082</t>
  </si>
  <si>
    <t>PJM017</t>
  </si>
  <si>
    <t>PJM067</t>
  </si>
  <si>
    <t>PJM091</t>
  </si>
  <si>
    <t>PJM104</t>
  </si>
  <si>
    <t>PJM087</t>
  </si>
  <si>
    <t>PJM026</t>
  </si>
  <si>
    <t>PJM023</t>
  </si>
  <si>
    <t>PJM004</t>
  </si>
  <si>
    <t>PJM007</t>
  </si>
  <si>
    <t>PJM058</t>
  </si>
  <si>
    <t>PJM027</t>
  </si>
  <si>
    <t>PJM021</t>
  </si>
  <si>
    <t>PJM056</t>
  </si>
  <si>
    <t>MMI</t>
  </si>
  <si>
    <t>14:12</t>
  </si>
  <si>
    <t>15:18</t>
  </si>
  <si>
    <t>15:20</t>
  </si>
  <si>
    <t>16:21</t>
  </si>
  <si>
    <t>17:20</t>
  </si>
  <si>
    <t>17:21</t>
  </si>
  <si>
    <t>19:04</t>
  </si>
  <si>
    <t>19:06</t>
  </si>
  <si>
    <t>19:07</t>
  </si>
  <si>
    <t>19:08</t>
  </si>
  <si>
    <t>19:09</t>
  </si>
  <si>
    <t>19:10</t>
  </si>
  <si>
    <t>19:11</t>
  </si>
  <si>
    <t>19:12</t>
  </si>
  <si>
    <t>19:13</t>
  </si>
  <si>
    <t>19:40</t>
  </si>
  <si>
    <t>20:14</t>
  </si>
  <si>
    <t>20:55</t>
  </si>
  <si>
    <t>20:56</t>
  </si>
  <si>
    <t>PJM092</t>
  </si>
  <si>
    <t>PJM039</t>
  </si>
  <si>
    <t>PJM099</t>
  </si>
  <si>
    <t>PJM060</t>
  </si>
  <si>
    <t>PJM081</t>
  </si>
  <si>
    <t>PJM016</t>
  </si>
  <si>
    <t>PJM069</t>
  </si>
  <si>
    <t>PJM061</t>
  </si>
  <si>
    <t>PJM066</t>
  </si>
  <si>
    <t>PJM035</t>
  </si>
  <si>
    <t>PJM034</t>
  </si>
  <si>
    <t>PJM152</t>
  </si>
  <si>
    <t>PJM047</t>
  </si>
  <si>
    <t>PJM002</t>
  </si>
  <si>
    <t>PJM048</t>
  </si>
  <si>
    <t>PJM054</t>
  </si>
  <si>
    <t>PJM053</t>
  </si>
  <si>
    <t>13:32</t>
  </si>
  <si>
    <t>13:33</t>
  </si>
  <si>
    <t>14:53</t>
  </si>
  <si>
    <t>16:01</t>
  </si>
  <si>
    <t>19:03</t>
  </si>
  <si>
    <t>22:35</t>
  </si>
  <si>
    <t>23:26</t>
  </si>
  <si>
    <t>03:04</t>
  </si>
  <si>
    <t>17:42</t>
  </si>
  <si>
    <t>00:31</t>
  </si>
  <si>
    <t>21:44</t>
  </si>
  <si>
    <t>21:12</t>
  </si>
  <si>
    <t>17:43</t>
  </si>
  <si>
    <t>22:49</t>
  </si>
  <si>
    <t>17:45</t>
  </si>
  <si>
    <t>21:25</t>
  </si>
  <si>
    <t>PJM125</t>
  </si>
  <si>
    <t>PJM078</t>
  </si>
  <si>
    <t>PJM124</t>
  </si>
  <si>
    <t>15:06</t>
  </si>
  <si>
    <t>15:42</t>
  </si>
  <si>
    <t>16:38</t>
  </si>
  <si>
    <t>19:05</t>
  </si>
  <si>
    <t>20:30</t>
  </si>
  <si>
    <t>20:31</t>
  </si>
  <si>
    <t>21:00</t>
  </si>
  <si>
    <t>21:01</t>
  </si>
  <si>
    <t>21:35</t>
  </si>
  <si>
    <t>22:13</t>
  </si>
  <si>
    <t>PJM077</t>
  </si>
  <si>
    <t>PJM033</t>
  </si>
  <si>
    <t>15:58</t>
  </si>
  <si>
    <t>20:16</t>
  </si>
  <si>
    <t>14:56</t>
  </si>
  <si>
    <t>15:34</t>
  </si>
  <si>
    <t>15:59</t>
  </si>
  <si>
    <t>16:00</t>
  </si>
  <si>
    <t>16:11</t>
  </si>
  <si>
    <t>16:48</t>
  </si>
  <si>
    <t>20:00</t>
  </si>
  <si>
    <t>22:12</t>
  </si>
  <si>
    <t>00:32</t>
  </si>
  <si>
    <t>PJM113</t>
  </si>
  <si>
    <t>PJM063</t>
  </si>
  <si>
    <t>PJM064</t>
  </si>
  <si>
    <t>15:35</t>
  </si>
  <si>
    <t>16:03</t>
  </si>
  <si>
    <t>17:19</t>
  </si>
  <si>
    <t>20:59</t>
  </si>
  <si>
    <t>21:34</t>
  </si>
  <si>
    <t>21:46</t>
  </si>
  <si>
    <t>PJM044</t>
  </si>
  <si>
    <t>17:40</t>
  </si>
  <si>
    <t>22:08</t>
  </si>
  <si>
    <t>22:27</t>
  </si>
  <si>
    <t>22:33</t>
  </si>
  <si>
    <t>02:53</t>
  </si>
  <si>
    <t>16:36</t>
  </si>
  <si>
    <t>PJM097</t>
  </si>
  <si>
    <t>15:32</t>
  </si>
  <si>
    <t>16:04</t>
  </si>
  <si>
    <t>16:46</t>
  </si>
  <si>
    <t>22:51</t>
  </si>
  <si>
    <t>23:25</t>
  </si>
  <si>
    <t>TB01-24/05/26/00002</t>
  </si>
  <si>
    <t>TB01-24/05/26/00003</t>
  </si>
  <si>
    <t>TB01-24/05/26/00004</t>
  </si>
  <si>
    <t>TB01-24/05/26/00005</t>
  </si>
  <si>
    <t>TB01-24/05/26/00006</t>
  </si>
  <si>
    <t>TB01-24/05/26/00024</t>
  </si>
  <si>
    <t>TB01-24/05/26/00027</t>
  </si>
  <si>
    <t>TB01-24/05/26/00035</t>
  </si>
  <si>
    <t>TB01-24/05/26/00045</t>
  </si>
  <si>
    <t>TB02-24/05/26/00053</t>
  </si>
  <si>
    <t>TB02-24/05/26/00054</t>
  </si>
  <si>
    <t>TB02-24/05/26/00056</t>
  </si>
  <si>
    <t>TB02-24/05/26/00058</t>
  </si>
  <si>
    <t>TB02-24/05/26/00059</t>
  </si>
  <si>
    <t>TB02-24/05/26/00060</t>
  </si>
  <si>
    <t>TB02-24/05/26/00063</t>
  </si>
  <si>
    <t>TB02-24/05/26/00064</t>
  </si>
  <si>
    <t>TB02-24/05/26/00065</t>
  </si>
  <si>
    <t>TB02-24/05/26/00066</t>
  </si>
  <si>
    <t>TB02-24/05/26/00067</t>
  </si>
  <si>
    <t>TB02-24/05/26/00069</t>
  </si>
  <si>
    <t>TB02-24/05/26/00070</t>
  </si>
  <si>
    <t>TB02-24/05/26/00075</t>
  </si>
  <si>
    <t>TB02-24/05/26/00076</t>
  </si>
  <si>
    <t>TB02-24/05/26/00077</t>
  </si>
  <si>
    <t>TB02-24/05/26/00078</t>
  </si>
  <si>
    <t>TB02-24/05/26/00080</t>
  </si>
  <si>
    <t>TB02-24/05/26/00081</t>
  </si>
  <si>
    <t>TB02-24/05/26/00082</t>
  </si>
  <si>
    <t>TB02-24/05/26/00083</t>
  </si>
  <si>
    <t>TB02-24/05/26/00084</t>
  </si>
  <si>
    <t>TB02-24/05/26/00087</t>
  </si>
  <si>
    <t>TB02-24/05/26/00091</t>
  </si>
  <si>
    <t>TB02-24/05/26/00092</t>
  </si>
  <si>
    <t>TB02-24/05/26/00093</t>
  </si>
  <si>
    <t>TB02-24/05/26/00094</t>
  </si>
  <si>
    <t>TB02-24/05/26/00095</t>
  </si>
  <si>
    <t>TB02-24/05/26/00099</t>
  </si>
  <si>
    <t>TB02-24/05/26/00100</t>
  </si>
  <si>
    <t>TB02-24/05/26/00101</t>
  </si>
  <si>
    <t>TB02-24/05/26/00103</t>
  </si>
  <si>
    <t>TB02-24/05/26/00104</t>
  </si>
  <si>
    <t>TB02-24/05/26/00105</t>
  </si>
  <si>
    <t>TB02-24/05/26/00106</t>
  </si>
  <si>
    <t>TB02-24/05/26/00107</t>
  </si>
  <si>
    <t>TB02-24/05/26/00108</t>
  </si>
  <si>
    <t>TB02-24/05/26/00109</t>
  </si>
  <si>
    <t>TB02-24/05/26/00111</t>
  </si>
  <si>
    <t>TB02-24/05/26/00112</t>
  </si>
  <si>
    <t>TB02-24/05/26/00113</t>
  </si>
  <si>
    <t>TB02-24/05/26/00114</t>
  </si>
  <si>
    <t>TB02-24/05/26/00115</t>
  </si>
  <si>
    <t>TB02-24/05/26/00116</t>
  </si>
  <si>
    <t>TB02-24/05/26/00117</t>
  </si>
  <si>
    <t>TB02-24/05/26/00118</t>
  </si>
  <si>
    <t>TB02-24/05/26/00119</t>
  </si>
  <si>
    <t>TB02-24/05/26/00120</t>
  </si>
  <si>
    <t>TB02-24/05/26/00121</t>
  </si>
  <si>
    <t>TB02-24/05/26/00130</t>
  </si>
  <si>
    <t>TB02-24/05/26/00133</t>
  </si>
  <si>
    <t>TB02-24/05/26/00135</t>
  </si>
  <si>
    <t>TB02-24/05/26/00136</t>
  </si>
  <si>
    <t>TB02-24/05/26/00137</t>
  </si>
  <si>
    <t>TB02-24/05/26/00138</t>
  </si>
  <si>
    <t>TB02-24/05/26/00139</t>
  </si>
  <si>
    <t>TB02-24/05/26/00152</t>
  </si>
  <si>
    <t>TB02-24/05/26/00153</t>
  </si>
  <si>
    <t>TB02-24/05/26/00155</t>
  </si>
  <si>
    <t>TB02-24/05/26/00156</t>
  </si>
  <si>
    <t>TB02-24/05/26/00157</t>
  </si>
  <si>
    <t>TB02-24/05/26/00159</t>
  </si>
  <si>
    <t>TB02-24/05/26/00160</t>
  </si>
  <si>
    <t>TB02-24/05/26/00161</t>
  </si>
  <si>
    <t>TB02-24/05/26/00162</t>
  </si>
  <si>
    <t>TB02-24/05/26/00165</t>
  </si>
  <si>
    <t>TB02-24/05/26/00169</t>
  </si>
  <si>
    <t>TB02-24/05/26/00179</t>
  </si>
  <si>
    <t>PJM133</t>
  </si>
  <si>
    <t>TB02-24/05/26/00180</t>
  </si>
  <si>
    <t>TB02-24/05/26/00184</t>
  </si>
  <si>
    <t>TB02-24/05/26/00185</t>
  </si>
  <si>
    <t>TB02-24/05/26/00186</t>
  </si>
  <si>
    <t>TB02-24/05/26/00187</t>
  </si>
  <si>
    <t>TB02-24/05/26/00188</t>
  </si>
  <si>
    <t>TB02-24/05/26/00198</t>
  </si>
  <si>
    <t>TB02-24/05/26/00201</t>
  </si>
  <si>
    <t>TB02-24/05/26/00202</t>
  </si>
  <si>
    <t>TB02-24/05/26/00210</t>
  </si>
  <si>
    <t>TB02-24/05/26/00212</t>
  </si>
  <si>
    <t>TB02-24/05/26/00213</t>
  </si>
  <si>
    <t>TB02-24/05/26/00214</t>
  </si>
  <si>
    <t>TB02-24/05/26/00215</t>
  </si>
  <si>
    <t>TB02-24/05/26/00216</t>
  </si>
  <si>
    <t>TB02-24/05/26/00220</t>
  </si>
  <si>
    <t>TB02-24/05/26/00221</t>
  </si>
  <si>
    <t>TB02-24/05/26/00225</t>
  </si>
  <si>
    <t>TB02-24/05/26/00237</t>
  </si>
  <si>
    <t>TB02-24/05/26/00250</t>
  </si>
  <si>
    <t>TB02-25/05/26/00001</t>
  </si>
  <si>
    <t>TB02-25/05/26/00002</t>
  </si>
  <si>
    <t>TB02-25/05/26/00005</t>
  </si>
  <si>
    <t>TB02-25/05/26/00006</t>
  </si>
  <si>
    <t>TB02-25/05/26/00007</t>
  </si>
  <si>
    <t>TB02-25/05/26/00008</t>
  </si>
  <si>
    <t>TB02-25/05/26/00010</t>
  </si>
  <si>
    <t>TB02-25/05/26/00014</t>
  </si>
  <si>
    <t>TB02-25/05/26/00015</t>
  </si>
  <si>
    <t>TB02-25/05/26/00016</t>
  </si>
  <si>
    <t>TB02-25/05/26/00017</t>
  </si>
  <si>
    <t>TB02-25/05/26/00018</t>
  </si>
  <si>
    <t>TB02-25/05/26/00019</t>
  </si>
  <si>
    <t>TB02-25/05/26/00020</t>
  </si>
  <si>
    <t>TB02-25/05/26/00022</t>
  </si>
  <si>
    <t>TB02-25/05/26/00023</t>
  </si>
  <si>
    <t>TB02-25/05/26/00024</t>
  </si>
  <si>
    <t>21:50</t>
  </si>
  <si>
    <t>21:51</t>
  </si>
  <si>
    <t>21:52</t>
  </si>
  <si>
    <t>15:40</t>
  </si>
  <si>
    <t>16:05</t>
  </si>
  <si>
    <t>16:09</t>
  </si>
  <si>
    <t>16:34</t>
  </si>
  <si>
    <t>17:41</t>
  </si>
  <si>
    <t>17:44</t>
  </si>
  <si>
    <t>17:46</t>
  </si>
  <si>
    <t>20:17</t>
  </si>
  <si>
    <t>21:05</t>
  </si>
  <si>
    <t>21:06</t>
  </si>
  <si>
    <t>21:07</t>
  </si>
  <si>
    <t>21:45</t>
  </si>
  <si>
    <t>22:29</t>
  </si>
  <si>
    <t>22:37</t>
  </si>
  <si>
    <t>22:38</t>
  </si>
  <si>
    <t>22:39</t>
  </si>
  <si>
    <t>22:48</t>
  </si>
  <si>
    <t>22:55</t>
  </si>
  <si>
    <t>00:02</t>
  </si>
  <si>
    <t>00:06</t>
  </si>
  <si>
    <t>00:07</t>
  </si>
  <si>
    <t>00:29</t>
  </si>
  <si>
    <t>00:33</t>
  </si>
  <si>
    <t>00:38</t>
  </si>
  <si>
    <t>01:53</t>
  </si>
  <si>
    <t>01:54</t>
  </si>
  <si>
    <t>02:03</t>
  </si>
  <si>
    <t>02:04</t>
  </si>
  <si>
    <t>02:12</t>
  </si>
  <si>
    <t>02:14</t>
  </si>
  <si>
    <t>02:15</t>
  </si>
  <si>
    <t>02:58</t>
  </si>
  <si>
    <t>TB02-25/05/26/00036</t>
  </si>
  <si>
    <t>TB02-25/05/26/00037</t>
  </si>
  <si>
    <t>TB02-25/05/26/00087</t>
  </si>
  <si>
    <t>TB02-25/05/26/00319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</si>
</sst>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5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20" fontId="1" fillId="2" borderId="1" xfId="3" applyNumberFormat="1" applyFill="1" applyBorder="1" applyAlignment="1">
      <alignment horizontal="center" vertical="center"/>
    </xf>
    <xf numFmtId="20" fontId="1" fillId="2" borderId="0" xfId="3" applyNumberForma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19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7" t="s">
        <v>11</v>
      </c>
      <c r="B180" s="47"/>
      <c r="C180" s="47"/>
      <c r="D180" s="38"/>
      <c r="E180" s="38"/>
      <c r="F180" s="38"/>
      <c r="G180" s="47" t="s">
        <v>10</v>
      </c>
      <c r="H180" s="47"/>
      <c r="I180" s="47"/>
    </row>
    <row r="181" spans="1:17" s="7" customFormat="1" ht="15" customHeight="1" x14ac:dyDescent="0.25">
      <c r="A181" s="47" t="s">
        <v>22</v>
      </c>
      <c r="B181" s="47"/>
      <c r="C181" s="47"/>
      <c r="D181" s="38"/>
      <c r="E181" s="38"/>
      <c r="F181" s="38"/>
      <c r="G181" s="47" t="s">
        <v>23</v>
      </c>
      <c r="H181" s="47"/>
      <c r="I181" s="47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8" t="s">
        <v>16</v>
      </c>
      <c r="B186" s="48"/>
      <c r="C186" s="48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9" t="s">
        <v>17</v>
      </c>
      <c r="B187" s="49"/>
      <c r="C187" s="49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18" priority="57" stopIfTrue="1">
      <formula>$A243="Visa"</formula>
    </cfRule>
  </conditionalFormatting>
  <conditionalFormatting sqref="B249">
    <cfRule type="expression" dxfId="517" priority="48" stopIfTrue="1">
      <formula>$A249="Visa"</formula>
    </cfRule>
  </conditionalFormatting>
  <conditionalFormatting sqref="B281">
    <cfRule type="expression" dxfId="516" priority="64" stopIfTrue="1">
      <formula>$A281="Visa"</formula>
    </cfRule>
  </conditionalFormatting>
  <conditionalFormatting sqref="C5:C149">
    <cfRule type="expression" dxfId="515" priority="73" stopIfTrue="1">
      <formula>$B5="Visa"</formula>
    </cfRule>
  </conditionalFormatting>
  <conditionalFormatting sqref="C5:C185">
    <cfRule type="expression" dxfId="514" priority="2" stopIfTrue="1">
      <formula>$B5="Visa"</formula>
    </cfRule>
    <cfRule type="expression" dxfId="513" priority="33" stopIfTrue="1">
      <formula>$B5="Visa"</formula>
    </cfRule>
    <cfRule type="expression" dxfId="512" priority="56" stopIfTrue="1">
      <formula>$B5="Visa"</formula>
    </cfRule>
    <cfRule type="expression" dxfId="511" priority="71" stopIfTrue="1">
      <formula>$B5="Visa"</formula>
    </cfRule>
  </conditionalFormatting>
  <conditionalFormatting sqref="C143:C145">
    <cfRule type="expression" dxfId="510" priority="70" stopIfTrue="1">
      <formula>$B142="Visa"</formula>
    </cfRule>
  </conditionalFormatting>
  <conditionalFormatting sqref="C143:C150">
    <cfRule type="expression" dxfId="509" priority="1" stopIfTrue="1">
      <formula>$B142="Visa"</formula>
    </cfRule>
    <cfRule type="expression" dxfId="508" priority="55" stopIfTrue="1">
      <formula>$B142="Visa"</formula>
    </cfRule>
  </conditionalFormatting>
  <conditionalFormatting sqref="C143:C173 C177:C185">
    <cfRule type="expression" dxfId="507" priority="72" stopIfTrue="1">
      <formula>$B142="Visa"</formula>
    </cfRule>
  </conditionalFormatting>
  <conditionalFormatting sqref="C147">
    <cfRule type="expression" dxfId="506" priority="29" stopIfTrue="1">
      <formula>$B145="Visa"</formula>
    </cfRule>
    <cfRule type="expression" dxfId="505" priority="69" stopIfTrue="1">
      <formula>$B145="Visa"</formula>
    </cfRule>
  </conditionalFormatting>
  <conditionalFormatting sqref="C151">
    <cfRule type="expression" dxfId="504" priority="7" stopIfTrue="1">
      <formula>#REF!="Visa"</formula>
    </cfRule>
  </conditionalFormatting>
  <conditionalFormatting sqref="C174:C175">
    <cfRule type="expression" dxfId="503" priority="270" stopIfTrue="1">
      <formula>$B172="Visa"</formula>
    </cfRule>
  </conditionalFormatting>
  <conditionalFormatting sqref="C176">
    <cfRule type="expression" dxfId="502" priority="268" stopIfTrue="1">
      <formula>#REF!="Visa"</formula>
    </cfRule>
  </conditionalFormatting>
  <conditionalFormatting sqref="C188:C189 C191:C192 C142:C150">
    <cfRule type="expression" dxfId="501" priority="9" stopIfTrue="1">
      <formula>$B141="Visa"</formula>
    </cfRule>
  </conditionalFormatting>
  <conditionalFormatting sqref="C188:C190">
    <cfRule type="expression" dxfId="500" priority="14" stopIfTrue="1">
      <formula>$B187="Visa"</formula>
    </cfRule>
    <cfRule type="expression" dxfId="499" priority="15" stopIfTrue="1">
      <formula>$B188="Visa"</formula>
    </cfRule>
  </conditionalFormatting>
  <conditionalFormatting sqref="C188:C191 C193:C194">
    <cfRule type="expression" dxfId="498" priority="5" stopIfTrue="1">
      <formula>$B187="Visa"</formula>
    </cfRule>
    <cfRule type="expression" dxfId="497" priority="12" stopIfTrue="1">
      <formula>$B187="Visa"</formula>
    </cfRule>
    <cfRule type="expression" dxfId="496" priority="18" stopIfTrue="1">
      <formula>$B187="Visa"</formula>
    </cfRule>
    <cfRule type="expression" dxfId="495" priority="35" stopIfTrue="1">
      <formula>$B187="Visa"</formula>
    </cfRule>
  </conditionalFormatting>
  <conditionalFormatting sqref="C188:C195">
    <cfRule type="expression" dxfId="494" priority="13" stopIfTrue="1">
      <formula>$B188="Visa"</formula>
    </cfRule>
  </conditionalFormatting>
  <conditionalFormatting sqref="C188:C196">
    <cfRule type="expression" dxfId="493" priority="40" stopIfTrue="1">
      <formula>$B187="Visa"</formula>
    </cfRule>
    <cfRule type="expression" dxfId="492" priority="41" stopIfTrue="1">
      <formula>$B188="Visa"</formula>
    </cfRule>
  </conditionalFormatting>
  <conditionalFormatting sqref="C188:C201 C203:C214">
    <cfRule type="expression" dxfId="491" priority="22" stopIfTrue="1">
      <formula>$B187="Visa"</formula>
    </cfRule>
  </conditionalFormatting>
  <conditionalFormatting sqref="C188:C203">
    <cfRule type="expression" dxfId="490" priority="36" stopIfTrue="1">
      <formula>$B188="Visa"</formula>
    </cfRule>
  </conditionalFormatting>
  <conditionalFormatting sqref="C188:C204 C206:C218 C220:C221">
    <cfRule type="expression" dxfId="489" priority="27" stopIfTrue="1">
      <formula>$B187="Visa"</formula>
    </cfRule>
  </conditionalFormatting>
  <conditionalFormatting sqref="C188:C204 C243:C244">
    <cfRule type="expression" dxfId="488" priority="52" stopIfTrue="1">
      <formula>$B187="Visa"</formula>
    </cfRule>
  </conditionalFormatting>
  <conditionalFormatting sqref="C188:C204">
    <cfRule type="expression" dxfId="487" priority="10" stopIfTrue="1">
      <formula>$B188="Visa"</formula>
    </cfRule>
    <cfRule type="expression" dxfId="486" priority="44" stopIfTrue="1">
      <formula>$B187="Visa"</formula>
    </cfRule>
    <cfRule type="expression" dxfId="485" priority="66" stopIfTrue="1">
      <formula>$B187="Visa"</formula>
    </cfRule>
  </conditionalFormatting>
  <conditionalFormatting sqref="C188:C205">
    <cfRule type="expression" dxfId="484" priority="60" stopIfTrue="1">
      <formula>$B187="Visa"</formula>
    </cfRule>
  </conditionalFormatting>
  <conditionalFormatting sqref="C188:C206">
    <cfRule type="expression" dxfId="483" priority="6" stopIfTrue="1">
      <formula>$B188="Visa"</formula>
    </cfRule>
  </conditionalFormatting>
  <conditionalFormatting sqref="C188:C215">
    <cfRule type="expression" dxfId="482" priority="23" stopIfTrue="1">
      <formula>$B188="Visa"</formula>
    </cfRule>
  </conditionalFormatting>
  <conditionalFormatting sqref="C188:C216">
    <cfRule type="expression" dxfId="481" priority="19" stopIfTrue="1">
      <formula>$B188="Visa"</formula>
    </cfRule>
  </conditionalFormatting>
  <conditionalFormatting sqref="C188:C228">
    <cfRule type="expression" dxfId="480" priority="38" stopIfTrue="1">
      <formula>$B187="Visa"</formula>
    </cfRule>
  </conditionalFormatting>
  <conditionalFormatting sqref="C188:C229">
    <cfRule type="expression" dxfId="479" priority="39" stopIfTrue="1">
      <formula>$B188="Visa"</formula>
    </cfRule>
  </conditionalFormatting>
  <conditionalFormatting sqref="C188:C230">
    <cfRule type="expression" dxfId="478" priority="46" stopIfTrue="1">
      <formula>$B187="Visa"</formula>
    </cfRule>
  </conditionalFormatting>
  <conditionalFormatting sqref="C188:C231">
    <cfRule type="expression" dxfId="477" priority="47" stopIfTrue="1">
      <formula>$B188="Visa"</formula>
    </cfRule>
  </conditionalFormatting>
  <conditionalFormatting sqref="C188:C233">
    <cfRule type="expression" dxfId="476" priority="28" stopIfTrue="1">
      <formula>$B188="Visa"</formula>
    </cfRule>
  </conditionalFormatting>
  <conditionalFormatting sqref="C188:C242">
    <cfRule type="expression" dxfId="475" priority="62" stopIfTrue="1">
      <formula>$B188="Visa"</formula>
    </cfRule>
  </conditionalFormatting>
  <conditionalFormatting sqref="C188:C248">
    <cfRule type="expression" dxfId="474" priority="54" stopIfTrue="1">
      <formula>$B188="Visa"</formula>
    </cfRule>
  </conditionalFormatting>
  <conditionalFormatting sqref="C188:C260">
    <cfRule type="expression" dxfId="473" priority="68" stopIfTrue="1">
      <formula>$B188="Visa"</formula>
    </cfRule>
  </conditionalFormatting>
  <conditionalFormatting sqref="C190">
    <cfRule type="expression" dxfId="472" priority="8" stopIfTrue="1">
      <formula>$B146="Visa"</formula>
    </cfRule>
  </conditionalFormatting>
  <conditionalFormatting sqref="C192">
    <cfRule type="expression" dxfId="471" priority="4" stopIfTrue="1">
      <formula>$B147="Visa"</formula>
    </cfRule>
    <cfRule type="expression" dxfId="470" priority="11" stopIfTrue="1">
      <formula>$B147="Visa"</formula>
    </cfRule>
    <cfRule type="expression" dxfId="469" priority="17" stopIfTrue="1">
      <formula>$B147="Visa"</formula>
    </cfRule>
    <cfRule type="expression" dxfId="468" priority="34" stopIfTrue="1">
      <formula>$B147="Visa"</formula>
    </cfRule>
  </conditionalFormatting>
  <conditionalFormatting sqref="C202">
    <cfRule type="expression" dxfId="467" priority="20" stopIfTrue="1">
      <formula>$B178="Visa"</formula>
    </cfRule>
  </conditionalFormatting>
  <conditionalFormatting sqref="C204:C220">
    <cfRule type="expression" dxfId="466" priority="31" stopIfTrue="1">
      <formula>$B204="Visa"</formula>
    </cfRule>
  </conditionalFormatting>
  <conditionalFormatting sqref="C205">
    <cfRule type="expression" dxfId="465" priority="25" stopIfTrue="1">
      <formula>$B177="Visa"</formula>
    </cfRule>
    <cfRule type="expression" dxfId="464" priority="43" stopIfTrue="1">
      <formula>$B177="Visa"</formula>
    </cfRule>
    <cfRule type="expression" dxfId="463" priority="50" stopIfTrue="1">
      <formula>$B177="Visa"</formula>
    </cfRule>
    <cfRule type="expression" dxfId="462" priority="65" stopIfTrue="1">
      <formula>$B177="Visa"</formula>
    </cfRule>
  </conditionalFormatting>
  <conditionalFormatting sqref="C205:C220">
    <cfRule type="expression" dxfId="461" priority="30" stopIfTrue="1">
      <formula>$B204="Visa"</formula>
    </cfRule>
  </conditionalFormatting>
  <conditionalFormatting sqref="C206">
    <cfRule type="expression" dxfId="460" priority="59" stopIfTrue="1">
      <formula>$B178="Visa"</formula>
    </cfRule>
  </conditionalFormatting>
  <conditionalFormatting sqref="C206:C229 C231:C241">
    <cfRule type="expression" dxfId="459" priority="53" stopIfTrue="1">
      <formula>$B205="Visa"</formula>
    </cfRule>
  </conditionalFormatting>
  <conditionalFormatting sqref="C206:C248 C250:C260">
    <cfRule type="expression" dxfId="458" priority="67" stopIfTrue="1">
      <formula>$B205="Visa"</formula>
    </cfRule>
  </conditionalFormatting>
  <conditionalFormatting sqref="C207">
    <cfRule type="expression" dxfId="457" priority="3" stopIfTrue="1">
      <formula>$B207="Visa"</formula>
    </cfRule>
  </conditionalFormatting>
  <conditionalFormatting sqref="C207:C230 C232:C242">
    <cfRule type="expression" dxfId="456" priority="61" stopIfTrue="1">
      <formula>$B206="Visa"</formula>
    </cfRule>
  </conditionalFormatting>
  <conditionalFormatting sqref="C212">
    <cfRule type="expression" dxfId="455" priority="45" stopIfTrue="1">
      <formula>$B183="Visa"</formula>
    </cfRule>
  </conditionalFormatting>
  <conditionalFormatting sqref="C215">
    <cfRule type="expression" dxfId="454" priority="21" stopIfTrue="1">
      <formula>$B147="Visa"</formula>
    </cfRule>
  </conditionalFormatting>
  <conditionalFormatting sqref="C216">
    <cfRule type="expression" dxfId="453" priority="16" stopIfTrue="1">
      <formula>$B216="Visa"</formula>
    </cfRule>
  </conditionalFormatting>
  <conditionalFormatting sqref="C219">
    <cfRule type="expression" dxfId="452" priority="26" stopIfTrue="1">
      <formula>$B147="Visa"</formula>
    </cfRule>
  </conditionalFormatting>
  <conditionalFormatting sqref="C229">
    <cfRule type="expression" dxfId="451" priority="37" stopIfTrue="1">
      <formula>$B151="Visa"</formula>
    </cfRule>
  </conditionalFormatting>
  <conditionalFormatting sqref="C230">
    <cfRule type="expression" dxfId="450" priority="49" stopIfTrue="1">
      <formula>$B206="Visa"</formula>
    </cfRule>
  </conditionalFormatting>
  <conditionalFormatting sqref="C231">
    <cfRule type="expression" dxfId="449" priority="42" stopIfTrue="1">
      <formula>$B230="Visa"</formula>
    </cfRule>
    <cfRule type="expression" dxfId="448" priority="58" stopIfTrue="1">
      <formula>$B207="Visa"</formula>
    </cfRule>
  </conditionalFormatting>
  <conditionalFormatting sqref="C234">
    <cfRule type="expression" dxfId="447" priority="24" stopIfTrue="1">
      <formula>$B234="Visa"</formula>
    </cfRule>
  </conditionalFormatting>
  <conditionalFormatting sqref="C242">
    <cfRule type="expression" dxfId="446" priority="51" stopIfTrue="1">
      <formula>$B147="Visa"</formula>
    </cfRule>
  </conditionalFormatting>
  <conditionalFormatting sqref="C249">
    <cfRule type="expression" dxfId="445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44" priority="62" stopIfTrue="1">
      <formula>$A272="Visa"</formula>
    </cfRule>
  </conditionalFormatting>
  <conditionalFormatting sqref="B278">
    <cfRule type="expression" dxfId="443" priority="53" stopIfTrue="1">
      <formula>$A278="Visa"</formula>
    </cfRule>
  </conditionalFormatting>
  <conditionalFormatting sqref="B310">
    <cfRule type="expression" dxfId="442" priority="69" stopIfTrue="1">
      <formula>$A310="Visa"</formula>
    </cfRule>
  </conditionalFormatting>
  <conditionalFormatting sqref="C5:C15 C17:C208">
    <cfRule type="expression" dxfId="441" priority="76" stopIfTrue="1">
      <formula>$B5="Visa"</formula>
    </cfRule>
  </conditionalFormatting>
  <conditionalFormatting sqref="C5:C19">
    <cfRule type="expression" dxfId="440" priority="78" stopIfTrue="1">
      <formula>$B5="Visa"</formula>
    </cfRule>
  </conditionalFormatting>
  <conditionalFormatting sqref="C5:C208 C217:C233">
    <cfRule type="expression" dxfId="439" priority="15" stopIfTrue="1">
      <formula>$B5="Visa"</formula>
    </cfRule>
  </conditionalFormatting>
  <conditionalFormatting sqref="C5:C208">
    <cfRule type="expression" dxfId="438" priority="7" stopIfTrue="1">
      <formula>$B5="Visa"</formula>
    </cfRule>
    <cfRule type="expression" dxfId="437" priority="38" stopIfTrue="1">
      <formula>$B5="Visa"</formula>
    </cfRule>
    <cfRule type="expression" dxfId="436" priority="61" stopIfTrue="1">
      <formula>$B5="Visa"</formula>
    </cfRule>
  </conditionalFormatting>
  <conditionalFormatting sqref="C13:C15">
    <cfRule type="expression" dxfId="435" priority="37" stopIfTrue="1">
      <formula>$B12="Visa"</formula>
    </cfRule>
    <cfRule type="expression" dxfId="434" priority="75" stopIfTrue="1">
      <formula>$B12="Visa"</formula>
    </cfRule>
  </conditionalFormatting>
  <conditionalFormatting sqref="C13:C20">
    <cfRule type="expression" dxfId="433" priority="6" stopIfTrue="1">
      <formula>$B12="Visa"</formula>
    </cfRule>
    <cfRule type="expression" dxfId="432" priority="60" stopIfTrue="1">
      <formula>$B12="Visa"</formula>
    </cfRule>
  </conditionalFormatting>
  <conditionalFormatting sqref="C13:C201 C203:C208">
    <cfRule type="expression" dxfId="431" priority="77" stopIfTrue="1">
      <formula>$B12="Visa"</formula>
    </cfRule>
  </conditionalFormatting>
  <conditionalFormatting sqref="C17">
    <cfRule type="expression" dxfId="430" priority="34" stopIfTrue="1">
      <formula>$B15="Visa"</formula>
    </cfRule>
    <cfRule type="expression" dxfId="429" priority="74" stopIfTrue="1">
      <formula>$B15="Visa"</formula>
    </cfRule>
  </conditionalFormatting>
  <conditionalFormatting sqref="C21">
    <cfRule type="expression" dxfId="428" priority="12" stopIfTrue="1">
      <formula>#REF!="Visa"</formula>
    </cfRule>
  </conditionalFormatting>
  <conditionalFormatting sqref="C202">
    <cfRule type="expression" dxfId="427" priority="79" stopIfTrue="1">
      <formula>$B29="Visa"</formula>
    </cfRule>
  </conditionalFormatting>
  <conditionalFormatting sqref="C209:C214">
    <cfRule type="expression" dxfId="426" priority="1" stopIfTrue="1">
      <formula>$B209="Visa"</formula>
    </cfRule>
    <cfRule type="expression" dxfId="425" priority="5" stopIfTrue="1">
      <formula>$B208="Visa"</formula>
    </cfRule>
  </conditionalFormatting>
  <conditionalFormatting sqref="C217:C218 C220:C221 C12:C20">
    <cfRule type="expression" dxfId="424" priority="14" stopIfTrue="1">
      <formula>$B11="Visa"</formula>
    </cfRule>
  </conditionalFormatting>
  <conditionalFormatting sqref="C217:C219">
    <cfRule type="expression" dxfId="423" priority="19" stopIfTrue="1">
      <formula>$B216="Visa"</formula>
    </cfRule>
    <cfRule type="expression" dxfId="422" priority="20" stopIfTrue="1">
      <formula>$B217="Visa"</formula>
    </cfRule>
  </conditionalFormatting>
  <conditionalFormatting sqref="C217:C220 C222:C223">
    <cfRule type="expression" dxfId="421" priority="10" stopIfTrue="1">
      <formula>$B216="Visa"</formula>
    </cfRule>
    <cfRule type="expression" dxfId="420" priority="17" stopIfTrue="1">
      <formula>$B216="Visa"</formula>
    </cfRule>
    <cfRule type="expression" dxfId="419" priority="23" stopIfTrue="1">
      <formula>$B216="Visa"</formula>
    </cfRule>
    <cfRule type="expression" dxfId="418" priority="40" stopIfTrue="1">
      <formula>$B216="Visa"</formula>
    </cfRule>
  </conditionalFormatting>
  <conditionalFormatting sqref="C217:C224">
    <cfRule type="expression" dxfId="417" priority="18" stopIfTrue="1">
      <formula>$B217="Visa"</formula>
    </cfRule>
  </conditionalFormatting>
  <conditionalFormatting sqref="C217:C225">
    <cfRule type="expression" dxfId="416" priority="45" stopIfTrue="1">
      <formula>$B216="Visa"</formula>
    </cfRule>
    <cfRule type="expression" dxfId="415" priority="46" stopIfTrue="1">
      <formula>$B217="Visa"</formula>
    </cfRule>
  </conditionalFormatting>
  <conditionalFormatting sqref="C217:C230 C232:C243">
    <cfRule type="expression" dxfId="414" priority="27" stopIfTrue="1">
      <formula>$B216="Visa"</formula>
    </cfRule>
  </conditionalFormatting>
  <conditionalFormatting sqref="C217:C232">
    <cfRule type="expression" dxfId="413" priority="41" stopIfTrue="1">
      <formula>$B217="Visa"</formula>
    </cfRule>
  </conditionalFormatting>
  <conditionalFormatting sqref="C217:C233 C235:C247 C249:C250">
    <cfRule type="expression" dxfId="412" priority="32" stopIfTrue="1">
      <formula>$B216="Visa"</formula>
    </cfRule>
  </conditionalFormatting>
  <conditionalFormatting sqref="C217:C233 C272:C273">
    <cfRule type="expression" dxfId="411" priority="57" stopIfTrue="1">
      <formula>$B216="Visa"</formula>
    </cfRule>
  </conditionalFormatting>
  <conditionalFormatting sqref="C217:C233">
    <cfRule type="expression" dxfId="410" priority="49" stopIfTrue="1">
      <formula>$B216="Visa"</formula>
    </cfRule>
    <cfRule type="expression" dxfId="409" priority="71" stopIfTrue="1">
      <formula>$B216="Visa"</formula>
    </cfRule>
  </conditionalFormatting>
  <conditionalFormatting sqref="C217:C234">
    <cfRule type="expression" dxfId="408" priority="65" stopIfTrue="1">
      <formula>$B216="Visa"</formula>
    </cfRule>
  </conditionalFormatting>
  <conditionalFormatting sqref="C217:C235">
    <cfRule type="expression" dxfId="407" priority="11" stopIfTrue="1">
      <formula>$B217="Visa"</formula>
    </cfRule>
  </conditionalFormatting>
  <conditionalFormatting sqref="C217:C244">
    <cfRule type="expression" dxfId="406" priority="28" stopIfTrue="1">
      <formula>$B217="Visa"</formula>
    </cfRule>
  </conditionalFormatting>
  <conditionalFormatting sqref="C217:C245">
    <cfRule type="expression" dxfId="405" priority="24" stopIfTrue="1">
      <formula>$B217="Visa"</formula>
    </cfRule>
  </conditionalFormatting>
  <conditionalFormatting sqref="C217:C257">
    <cfRule type="expression" dxfId="404" priority="43" stopIfTrue="1">
      <formula>$B216="Visa"</formula>
    </cfRule>
  </conditionalFormatting>
  <conditionalFormatting sqref="C217:C258">
    <cfRule type="expression" dxfId="403" priority="44" stopIfTrue="1">
      <formula>$B217="Visa"</formula>
    </cfRule>
  </conditionalFormatting>
  <conditionalFormatting sqref="C217:C259">
    <cfRule type="expression" dxfId="402" priority="51" stopIfTrue="1">
      <formula>$B216="Visa"</formula>
    </cfRule>
  </conditionalFormatting>
  <conditionalFormatting sqref="C217:C260">
    <cfRule type="expression" dxfId="401" priority="52" stopIfTrue="1">
      <formula>$B217="Visa"</formula>
    </cfRule>
  </conditionalFormatting>
  <conditionalFormatting sqref="C217:C262">
    <cfRule type="expression" dxfId="400" priority="33" stopIfTrue="1">
      <formula>$B217="Visa"</formula>
    </cfRule>
  </conditionalFormatting>
  <conditionalFormatting sqref="C217:C271">
    <cfRule type="expression" dxfId="399" priority="67" stopIfTrue="1">
      <formula>$B217="Visa"</formula>
    </cfRule>
  </conditionalFormatting>
  <conditionalFormatting sqref="C217:C277">
    <cfRule type="expression" dxfId="398" priority="59" stopIfTrue="1">
      <formula>$B217="Visa"</formula>
    </cfRule>
  </conditionalFormatting>
  <conditionalFormatting sqref="C217:C289">
    <cfRule type="expression" dxfId="397" priority="73" stopIfTrue="1">
      <formula>$B217="Visa"</formula>
    </cfRule>
  </conditionalFormatting>
  <conditionalFormatting sqref="C219">
    <cfRule type="expression" dxfId="396" priority="13" stopIfTrue="1">
      <formula>$B16="Visa"</formula>
    </cfRule>
  </conditionalFormatting>
  <conditionalFormatting sqref="C221">
    <cfRule type="expression" dxfId="395" priority="9" stopIfTrue="1">
      <formula>$B17="Visa"</formula>
    </cfRule>
    <cfRule type="expression" dxfId="394" priority="16" stopIfTrue="1">
      <formula>$B17="Visa"</formula>
    </cfRule>
    <cfRule type="expression" dxfId="393" priority="22" stopIfTrue="1">
      <formula>$B17="Visa"</formula>
    </cfRule>
    <cfRule type="expression" dxfId="392" priority="39" stopIfTrue="1">
      <formula>$B17="Visa"</formula>
    </cfRule>
  </conditionalFormatting>
  <conditionalFormatting sqref="C231">
    <cfRule type="expression" dxfId="391" priority="25" stopIfTrue="1">
      <formula>$B207="Visa"</formula>
    </cfRule>
  </conditionalFormatting>
  <conditionalFormatting sqref="C233:C249">
    <cfRule type="expression" dxfId="390" priority="36" stopIfTrue="1">
      <formula>$B233="Visa"</formula>
    </cfRule>
  </conditionalFormatting>
  <conditionalFormatting sqref="C234">
    <cfRule type="expression" dxfId="389" priority="30" stopIfTrue="1">
      <formula>$B206="Visa"</formula>
    </cfRule>
    <cfRule type="expression" dxfId="388" priority="48" stopIfTrue="1">
      <formula>$B206="Visa"</formula>
    </cfRule>
    <cfRule type="expression" dxfId="387" priority="55" stopIfTrue="1">
      <formula>$B206="Visa"</formula>
    </cfRule>
    <cfRule type="expression" dxfId="386" priority="70" stopIfTrue="1">
      <formula>$B206="Visa"</formula>
    </cfRule>
  </conditionalFormatting>
  <conditionalFormatting sqref="C234:C249">
    <cfRule type="expression" dxfId="385" priority="35" stopIfTrue="1">
      <formula>$B233="Visa"</formula>
    </cfRule>
  </conditionalFormatting>
  <conditionalFormatting sqref="C235">
    <cfRule type="expression" dxfId="384" priority="64" stopIfTrue="1">
      <formula>$B207="Visa"</formula>
    </cfRule>
  </conditionalFormatting>
  <conditionalFormatting sqref="C235:C258 C260:C270">
    <cfRule type="expression" dxfId="383" priority="58" stopIfTrue="1">
      <formula>$B234="Visa"</formula>
    </cfRule>
  </conditionalFormatting>
  <conditionalFormatting sqref="C235:C277 C279:C289">
    <cfRule type="expression" dxfId="382" priority="72" stopIfTrue="1">
      <formula>$B234="Visa"</formula>
    </cfRule>
  </conditionalFormatting>
  <conditionalFormatting sqref="C236">
    <cfRule type="expression" dxfId="381" priority="8" stopIfTrue="1">
      <formula>$B236="Visa"</formula>
    </cfRule>
  </conditionalFormatting>
  <conditionalFormatting sqref="C236:C259 C261:C271">
    <cfRule type="expression" dxfId="380" priority="66" stopIfTrue="1">
      <formula>$B235="Visa"</formula>
    </cfRule>
  </conditionalFormatting>
  <conditionalFormatting sqref="C241">
    <cfRule type="expression" dxfId="379" priority="50" stopIfTrue="1">
      <formula>$B212="Visa"</formula>
    </cfRule>
  </conditionalFormatting>
  <conditionalFormatting sqref="C244">
    <cfRule type="expression" dxfId="378" priority="26" stopIfTrue="1">
      <formula>$B17="Visa"</formula>
    </cfRule>
  </conditionalFormatting>
  <conditionalFormatting sqref="C245">
    <cfRule type="expression" dxfId="377" priority="21" stopIfTrue="1">
      <formula>$B245="Visa"</formula>
    </cfRule>
  </conditionalFormatting>
  <conditionalFormatting sqref="C248">
    <cfRule type="expression" dxfId="376" priority="31" stopIfTrue="1">
      <formula>$B17="Visa"</formula>
    </cfRule>
  </conditionalFormatting>
  <conditionalFormatting sqref="C258">
    <cfRule type="expression" dxfId="375" priority="42" stopIfTrue="1">
      <formula>$B21="Visa"</formula>
    </cfRule>
  </conditionalFormatting>
  <conditionalFormatting sqref="C259">
    <cfRule type="expression" dxfId="374" priority="54" stopIfTrue="1">
      <formula>$B235="Visa"</formula>
    </cfRule>
  </conditionalFormatting>
  <conditionalFormatting sqref="C260">
    <cfRule type="expression" dxfId="373" priority="47" stopIfTrue="1">
      <formula>$B259="Visa"</formula>
    </cfRule>
    <cfRule type="expression" dxfId="372" priority="63" stopIfTrue="1">
      <formula>$B236="Visa"</formula>
    </cfRule>
  </conditionalFormatting>
  <conditionalFormatting sqref="C263">
    <cfRule type="expression" dxfId="371" priority="29" stopIfTrue="1">
      <formula>$B263="Visa"</formula>
    </cfRule>
  </conditionalFormatting>
  <conditionalFormatting sqref="C271">
    <cfRule type="expression" dxfId="370" priority="56" stopIfTrue="1">
      <formula>$B17="Visa"</formula>
    </cfRule>
  </conditionalFormatting>
  <conditionalFormatting sqref="C278">
    <cfRule type="expression" dxfId="369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68" priority="62" stopIfTrue="1">
      <formula>$A272="Visa"</formula>
    </cfRule>
  </conditionalFormatting>
  <conditionalFormatting sqref="B278">
    <cfRule type="expression" dxfId="367" priority="53" stopIfTrue="1">
      <formula>$A278="Visa"</formula>
    </cfRule>
  </conditionalFormatting>
  <conditionalFormatting sqref="B310">
    <cfRule type="expression" dxfId="366" priority="69" stopIfTrue="1">
      <formula>$A310="Visa"</formula>
    </cfRule>
  </conditionalFormatting>
  <conditionalFormatting sqref="C5:C15 C17:C208">
    <cfRule type="expression" dxfId="365" priority="76" stopIfTrue="1">
      <formula>$B5="Visa"</formula>
    </cfRule>
  </conditionalFormatting>
  <conditionalFormatting sqref="C5:C19">
    <cfRule type="expression" dxfId="364" priority="78" stopIfTrue="1">
      <formula>$B5="Visa"</formula>
    </cfRule>
  </conditionalFormatting>
  <conditionalFormatting sqref="C5:C208 C217:C233">
    <cfRule type="expression" dxfId="363" priority="15" stopIfTrue="1">
      <formula>$B5="Visa"</formula>
    </cfRule>
  </conditionalFormatting>
  <conditionalFormatting sqref="C5:C208">
    <cfRule type="expression" dxfId="362" priority="7" stopIfTrue="1">
      <formula>$B5="Visa"</formula>
    </cfRule>
    <cfRule type="expression" dxfId="361" priority="38" stopIfTrue="1">
      <formula>$B5="Visa"</formula>
    </cfRule>
    <cfRule type="expression" dxfId="360" priority="61" stopIfTrue="1">
      <formula>$B5="Visa"</formula>
    </cfRule>
  </conditionalFormatting>
  <conditionalFormatting sqref="C13:C15">
    <cfRule type="expression" dxfId="359" priority="37" stopIfTrue="1">
      <formula>$B12="Visa"</formula>
    </cfRule>
    <cfRule type="expression" dxfId="358" priority="75" stopIfTrue="1">
      <formula>$B12="Visa"</formula>
    </cfRule>
  </conditionalFormatting>
  <conditionalFormatting sqref="C13:C20">
    <cfRule type="expression" dxfId="357" priority="6" stopIfTrue="1">
      <formula>$B12="Visa"</formula>
    </cfRule>
    <cfRule type="expression" dxfId="356" priority="60" stopIfTrue="1">
      <formula>$B12="Visa"</formula>
    </cfRule>
  </conditionalFormatting>
  <conditionalFormatting sqref="C13:C201 C203:C208">
    <cfRule type="expression" dxfId="355" priority="77" stopIfTrue="1">
      <formula>$B12="Visa"</formula>
    </cfRule>
  </conditionalFormatting>
  <conditionalFormatting sqref="C17">
    <cfRule type="expression" dxfId="354" priority="34" stopIfTrue="1">
      <formula>$B15="Visa"</formula>
    </cfRule>
    <cfRule type="expression" dxfId="353" priority="74" stopIfTrue="1">
      <formula>$B15="Visa"</formula>
    </cfRule>
  </conditionalFormatting>
  <conditionalFormatting sqref="C21">
    <cfRule type="expression" dxfId="352" priority="12" stopIfTrue="1">
      <formula>#REF!="Visa"</formula>
    </cfRule>
  </conditionalFormatting>
  <conditionalFormatting sqref="C202">
    <cfRule type="expression" dxfId="351" priority="79" stopIfTrue="1">
      <formula>$B29="Visa"</formula>
    </cfRule>
  </conditionalFormatting>
  <conditionalFormatting sqref="C209:C214">
    <cfRule type="expression" dxfId="350" priority="1" stopIfTrue="1">
      <formula>$B209="Visa"</formula>
    </cfRule>
    <cfRule type="expression" dxfId="349" priority="5" stopIfTrue="1">
      <formula>$B208="Visa"</formula>
    </cfRule>
  </conditionalFormatting>
  <conditionalFormatting sqref="C217:C218 C220:C221 C12:C20">
    <cfRule type="expression" dxfId="348" priority="14" stopIfTrue="1">
      <formula>$B11="Visa"</formula>
    </cfRule>
  </conditionalFormatting>
  <conditionalFormatting sqref="C217:C219">
    <cfRule type="expression" dxfId="347" priority="19" stopIfTrue="1">
      <formula>$B216="Visa"</formula>
    </cfRule>
    <cfRule type="expression" dxfId="346" priority="20" stopIfTrue="1">
      <formula>$B217="Visa"</formula>
    </cfRule>
  </conditionalFormatting>
  <conditionalFormatting sqref="C217:C220 C222:C223">
    <cfRule type="expression" dxfId="345" priority="10" stopIfTrue="1">
      <formula>$B216="Visa"</formula>
    </cfRule>
    <cfRule type="expression" dxfId="344" priority="17" stopIfTrue="1">
      <formula>$B216="Visa"</formula>
    </cfRule>
    <cfRule type="expression" dxfId="343" priority="23" stopIfTrue="1">
      <formula>$B216="Visa"</formula>
    </cfRule>
    <cfRule type="expression" dxfId="342" priority="40" stopIfTrue="1">
      <formula>$B216="Visa"</formula>
    </cfRule>
  </conditionalFormatting>
  <conditionalFormatting sqref="C217:C224">
    <cfRule type="expression" dxfId="341" priority="18" stopIfTrue="1">
      <formula>$B217="Visa"</formula>
    </cfRule>
  </conditionalFormatting>
  <conditionalFormatting sqref="C217:C225">
    <cfRule type="expression" dxfId="340" priority="45" stopIfTrue="1">
      <formula>$B216="Visa"</formula>
    </cfRule>
    <cfRule type="expression" dxfId="339" priority="46" stopIfTrue="1">
      <formula>$B217="Visa"</formula>
    </cfRule>
  </conditionalFormatting>
  <conditionalFormatting sqref="C217:C230 C232:C243">
    <cfRule type="expression" dxfId="338" priority="27" stopIfTrue="1">
      <formula>$B216="Visa"</formula>
    </cfRule>
  </conditionalFormatting>
  <conditionalFormatting sqref="C217:C232">
    <cfRule type="expression" dxfId="337" priority="41" stopIfTrue="1">
      <formula>$B217="Visa"</formula>
    </cfRule>
  </conditionalFormatting>
  <conditionalFormatting sqref="C217:C233 C235:C247 C249:C250">
    <cfRule type="expression" dxfId="336" priority="32" stopIfTrue="1">
      <formula>$B216="Visa"</formula>
    </cfRule>
  </conditionalFormatting>
  <conditionalFormatting sqref="C217:C233 C272:C273">
    <cfRule type="expression" dxfId="335" priority="57" stopIfTrue="1">
      <formula>$B216="Visa"</formula>
    </cfRule>
  </conditionalFormatting>
  <conditionalFormatting sqref="C217:C233">
    <cfRule type="expression" dxfId="334" priority="49" stopIfTrue="1">
      <formula>$B216="Visa"</formula>
    </cfRule>
    <cfRule type="expression" dxfId="333" priority="71" stopIfTrue="1">
      <formula>$B216="Visa"</formula>
    </cfRule>
  </conditionalFormatting>
  <conditionalFormatting sqref="C217:C234">
    <cfRule type="expression" dxfId="332" priority="65" stopIfTrue="1">
      <formula>$B216="Visa"</formula>
    </cfRule>
  </conditionalFormatting>
  <conditionalFormatting sqref="C217:C235">
    <cfRule type="expression" dxfId="331" priority="11" stopIfTrue="1">
      <formula>$B217="Visa"</formula>
    </cfRule>
  </conditionalFormatting>
  <conditionalFormatting sqref="C217:C244">
    <cfRule type="expression" dxfId="330" priority="28" stopIfTrue="1">
      <formula>$B217="Visa"</formula>
    </cfRule>
  </conditionalFormatting>
  <conditionalFormatting sqref="C217:C245">
    <cfRule type="expression" dxfId="329" priority="24" stopIfTrue="1">
      <formula>$B217="Visa"</formula>
    </cfRule>
  </conditionalFormatting>
  <conditionalFormatting sqref="C217:C257">
    <cfRule type="expression" dxfId="328" priority="43" stopIfTrue="1">
      <formula>$B216="Visa"</formula>
    </cfRule>
  </conditionalFormatting>
  <conditionalFormatting sqref="C217:C258">
    <cfRule type="expression" dxfId="327" priority="44" stopIfTrue="1">
      <formula>$B217="Visa"</formula>
    </cfRule>
  </conditionalFormatting>
  <conditionalFormatting sqref="C217:C259">
    <cfRule type="expression" dxfId="326" priority="51" stopIfTrue="1">
      <formula>$B216="Visa"</formula>
    </cfRule>
  </conditionalFormatting>
  <conditionalFormatting sqref="C217:C260">
    <cfRule type="expression" dxfId="325" priority="52" stopIfTrue="1">
      <formula>$B217="Visa"</formula>
    </cfRule>
  </conditionalFormatting>
  <conditionalFormatting sqref="C217:C262">
    <cfRule type="expression" dxfId="324" priority="33" stopIfTrue="1">
      <formula>$B217="Visa"</formula>
    </cfRule>
  </conditionalFormatting>
  <conditionalFormatting sqref="C217:C271">
    <cfRule type="expression" dxfId="323" priority="67" stopIfTrue="1">
      <formula>$B217="Visa"</formula>
    </cfRule>
  </conditionalFormatting>
  <conditionalFormatting sqref="C217:C277">
    <cfRule type="expression" dxfId="322" priority="59" stopIfTrue="1">
      <formula>$B217="Visa"</formula>
    </cfRule>
  </conditionalFormatting>
  <conditionalFormatting sqref="C217:C289">
    <cfRule type="expression" dxfId="321" priority="73" stopIfTrue="1">
      <formula>$B217="Visa"</formula>
    </cfRule>
  </conditionalFormatting>
  <conditionalFormatting sqref="C219">
    <cfRule type="expression" dxfId="320" priority="13" stopIfTrue="1">
      <formula>$B16="Visa"</formula>
    </cfRule>
  </conditionalFormatting>
  <conditionalFormatting sqref="C221">
    <cfRule type="expression" dxfId="319" priority="9" stopIfTrue="1">
      <formula>$B17="Visa"</formula>
    </cfRule>
    <cfRule type="expression" dxfId="318" priority="16" stopIfTrue="1">
      <formula>$B17="Visa"</formula>
    </cfRule>
    <cfRule type="expression" dxfId="317" priority="22" stopIfTrue="1">
      <formula>$B17="Visa"</formula>
    </cfRule>
    <cfRule type="expression" dxfId="316" priority="39" stopIfTrue="1">
      <formula>$B17="Visa"</formula>
    </cfRule>
  </conditionalFormatting>
  <conditionalFormatting sqref="C231">
    <cfRule type="expression" dxfId="315" priority="25" stopIfTrue="1">
      <formula>$B207="Visa"</formula>
    </cfRule>
  </conditionalFormatting>
  <conditionalFormatting sqref="C233:C249">
    <cfRule type="expression" dxfId="314" priority="36" stopIfTrue="1">
      <formula>$B233="Visa"</formula>
    </cfRule>
  </conditionalFormatting>
  <conditionalFormatting sqref="C234">
    <cfRule type="expression" dxfId="313" priority="30" stopIfTrue="1">
      <formula>$B206="Visa"</formula>
    </cfRule>
    <cfRule type="expression" dxfId="312" priority="48" stopIfTrue="1">
      <formula>$B206="Visa"</formula>
    </cfRule>
    <cfRule type="expression" dxfId="311" priority="55" stopIfTrue="1">
      <formula>$B206="Visa"</formula>
    </cfRule>
    <cfRule type="expression" dxfId="310" priority="70" stopIfTrue="1">
      <formula>$B206="Visa"</formula>
    </cfRule>
  </conditionalFormatting>
  <conditionalFormatting sqref="C234:C249">
    <cfRule type="expression" dxfId="309" priority="35" stopIfTrue="1">
      <formula>$B233="Visa"</formula>
    </cfRule>
  </conditionalFormatting>
  <conditionalFormatting sqref="C235">
    <cfRule type="expression" dxfId="308" priority="64" stopIfTrue="1">
      <formula>$B207="Visa"</formula>
    </cfRule>
  </conditionalFormatting>
  <conditionalFormatting sqref="C235:C258 C260:C270">
    <cfRule type="expression" dxfId="307" priority="58" stopIfTrue="1">
      <formula>$B234="Visa"</formula>
    </cfRule>
  </conditionalFormatting>
  <conditionalFormatting sqref="C235:C277 C279:C289">
    <cfRule type="expression" dxfId="306" priority="72" stopIfTrue="1">
      <formula>$B234="Visa"</formula>
    </cfRule>
  </conditionalFormatting>
  <conditionalFormatting sqref="C236">
    <cfRule type="expression" dxfId="305" priority="8" stopIfTrue="1">
      <formula>$B236="Visa"</formula>
    </cfRule>
  </conditionalFormatting>
  <conditionalFormatting sqref="C236:C259 C261:C271">
    <cfRule type="expression" dxfId="304" priority="66" stopIfTrue="1">
      <formula>$B235="Visa"</formula>
    </cfRule>
  </conditionalFormatting>
  <conditionalFormatting sqref="C241">
    <cfRule type="expression" dxfId="303" priority="50" stopIfTrue="1">
      <formula>$B212="Visa"</formula>
    </cfRule>
  </conditionalFormatting>
  <conditionalFormatting sqref="C244">
    <cfRule type="expression" dxfId="302" priority="26" stopIfTrue="1">
      <formula>$B17="Visa"</formula>
    </cfRule>
  </conditionalFormatting>
  <conditionalFormatting sqref="C245">
    <cfRule type="expression" dxfId="301" priority="21" stopIfTrue="1">
      <formula>$B245="Visa"</formula>
    </cfRule>
  </conditionalFormatting>
  <conditionalFormatting sqref="C248">
    <cfRule type="expression" dxfId="300" priority="31" stopIfTrue="1">
      <formula>$B17="Visa"</formula>
    </cfRule>
  </conditionalFormatting>
  <conditionalFormatting sqref="C258">
    <cfRule type="expression" dxfId="299" priority="42" stopIfTrue="1">
      <formula>$B21="Visa"</formula>
    </cfRule>
  </conditionalFormatting>
  <conditionalFormatting sqref="C259">
    <cfRule type="expression" dxfId="298" priority="54" stopIfTrue="1">
      <formula>$B235="Visa"</formula>
    </cfRule>
  </conditionalFormatting>
  <conditionalFormatting sqref="C260">
    <cfRule type="expression" dxfId="297" priority="47" stopIfTrue="1">
      <formula>$B259="Visa"</formula>
    </cfRule>
    <cfRule type="expression" dxfId="296" priority="63" stopIfTrue="1">
      <formula>$B236="Visa"</formula>
    </cfRule>
  </conditionalFormatting>
  <conditionalFormatting sqref="C263">
    <cfRule type="expression" dxfId="295" priority="29" stopIfTrue="1">
      <formula>$B263="Visa"</formula>
    </cfRule>
  </conditionalFormatting>
  <conditionalFormatting sqref="C271">
    <cfRule type="expression" dxfId="294" priority="56" stopIfTrue="1">
      <formula>$B17="Visa"</formula>
    </cfRule>
  </conditionalFormatting>
  <conditionalFormatting sqref="C278">
    <cfRule type="expression" dxfId="293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92" priority="62" stopIfTrue="1">
      <formula>$A272="Visa"</formula>
    </cfRule>
  </conditionalFormatting>
  <conditionalFormatting sqref="B278">
    <cfRule type="expression" dxfId="291" priority="53" stopIfTrue="1">
      <formula>$A278="Visa"</formula>
    </cfRule>
  </conditionalFormatting>
  <conditionalFormatting sqref="B310">
    <cfRule type="expression" dxfId="290" priority="69" stopIfTrue="1">
      <formula>$A310="Visa"</formula>
    </cfRule>
  </conditionalFormatting>
  <conditionalFormatting sqref="C5:C15 C17:C208">
    <cfRule type="expression" dxfId="289" priority="76" stopIfTrue="1">
      <formula>$B5="Visa"</formula>
    </cfRule>
  </conditionalFormatting>
  <conditionalFormatting sqref="C5:C19">
    <cfRule type="expression" dxfId="288" priority="78" stopIfTrue="1">
      <formula>$B5="Visa"</formula>
    </cfRule>
  </conditionalFormatting>
  <conditionalFormatting sqref="C5:C208 C217:C233">
    <cfRule type="expression" dxfId="287" priority="15" stopIfTrue="1">
      <formula>$B5="Visa"</formula>
    </cfRule>
  </conditionalFormatting>
  <conditionalFormatting sqref="C5:C208">
    <cfRule type="expression" dxfId="286" priority="7" stopIfTrue="1">
      <formula>$B5="Visa"</formula>
    </cfRule>
    <cfRule type="expression" dxfId="285" priority="38" stopIfTrue="1">
      <formula>$B5="Visa"</formula>
    </cfRule>
    <cfRule type="expression" dxfId="284" priority="61" stopIfTrue="1">
      <formula>$B5="Visa"</formula>
    </cfRule>
  </conditionalFormatting>
  <conditionalFormatting sqref="C13:C15">
    <cfRule type="expression" dxfId="283" priority="37" stopIfTrue="1">
      <formula>$B12="Visa"</formula>
    </cfRule>
    <cfRule type="expression" dxfId="282" priority="75" stopIfTrue="1">
      <formula>$B12="Visa"</formula>
    </cfRule>
  </conditionalFormatting>
  <conditionalFormatting sqref="C13:C20">
    <cfRule type="expression" dxfId="281" priority="6" stopIfTrue="1">
      <formula>$B12="Visa"</formula>
    </cfRule>
    <cfRule type="expression" dxfId="280" priority="60" stopIfTrue="1">
      <formula>$B12="Visa"</formula>
    </cfRule>
  </conditionalFormatting>
  <conditionalFormatting sqref="C13:C201 C203:C208">
    <cfRule type="expression" dxfId="279" priority="77" stopIfTrue="1">
      <formula>$B12="Visa"</formula>
    </cfRule>
  </conditionalFormatting>
  <conditionalFormatting sqref="C17">
    <cfRule type="expression" dxfId="278" priority="34" stopIfTrue="1">
      <formula>$B15="Visa"</formula>
    </cfRule>
    <cfRule type="expression" dxfId="277" priority="74" stopIfTrue="1">
      <formula>$B15="Visa"</formula>
    </cfRule>
  </conditionalFormatting>
  <conditionalFormatting sqref="C21">
    <cfRule type="expression" dxfId="276" priority="12" stopIfTrue="1">
      <formula>#REF!="Visa"</formula>
    </cfRule>
  </conditionalFormatting>
  <conditionalFormatting sqref="C202">
    <cfRule type="expression" dxfId="275" priority="79" stopIfTrue="1">
      <formula>$B29="Visa"</formula>
    </cfRule>
  </conditionalFormatting>
  <conditionalFormatting sqref="C209:C214">
    <cfRule type="expression" dxfId="274" priority="1" stopIfTrue="1">
      <formula>$B209="Visa"</formula>
    </cfRule>
    <cfRule type="expression" dxfId="273" priority="5" stopIfTrue="1">
      <formula>$B208="Visa"</formula>
    </cfRule>
  </conditionalFormatting>
  <conditionalFormatting sqref="C217:C218 C220:C221 C12:C20">
    <cfRule type="expression" dxfId="272" priority="14" stopIfTrue="1">
      <formula>$B11="Visa"</formula>
    </cfRule>
  </conditionalFormatting>
  <conditionalFormatting sqref="C217:C219">
    <cfRule type="expression" dxfId="271" priority="19" stopIfTrue="1">
      <formula>$B216="Visa"</formula>
    </cfRule>
    <cfRule type="expression" dxfId="270" priority="20" stopIfTrue="1">
      <formula>$B217="Visa"</formula>
    </cfRule>
  </conditionalFormatting>
  <conditionalFormatting sqref="C217:C220 C222:C223">
    <cfRule type="expression" dxfId="269" priority="10" stopIfTrue="1">
      <formula>$B216="Visa"</formula>
    </cfRule>
    <cfRule type="expression" dxfId="268" priority="17" stopIfTrue="1">
      <formula>$B216="Visa"</formula>
    </cfRule>
    <cfRule type="expression" dxfId="267" priority="23" stopIfTrue="1">
      <formula>$B216="Visa"</formula>
    </cfRule>
    <cfRule type="expression" dxfId="266" priority="40" stopIfTrue="1">
      <formula>$B216="Visa"</formula>
    </cfRule>
  </conditionalFormatting>
  <conditionalFormatting sqref="C217:C224">
    <cfRule type="expression" dxfId="265" priority="18" stopIfTrue="1">
      <formula>$B217="Visa"</formula>
    </cfRule>
  </conditionalFormatting>
  <conditionalFormatting sqref="C217:C225">
    <cfRule type="expression" dxfId="264" priority="45" stopIfTrue="1">
      <formula>$B216="Visa"</formula>
    </cfRule>
    <cfRule type="expression" dxfId="263" priority="46" stopIfTrue="1">
      <formula>$B217="Visa"</formula>
    </cfRule>
  </conditionalFormatting>
  <conditionalFormatting sqref="C217:C230 C232:C243">
    <cfRule type="expression" dxfId="262" priority="27" stopIfTrue="1">
      <formula>$B216="Visa"</formula>
    </cfRule>
  </conditionalFormatting>
  <conditionalFormatting sqref="C217:C232">
    <cfRule type="expression" dxfId="261" priority="41" stopIfTrue="1">
      <formula>$B217="Visa"</formula>
    </cfRule>
  </conditionalFormatting>
  <conditionalFormatting sqref="C217:C233 C235:C247 C249:C250">
    <cfRule type="expression" dxfId="260" priority="32" stopIfTrue="1">
      <formula>$B216="Visa"</formula>
    </cfRule>
  </conditionalFormatting>
  <conditionalFormatting sqref="C217:C233 C272:C273">
    <cfRule type="expression" dxfId="259" priority="57" stopIfTrue="1">
      <formula>$B216="Visa"</formula>
    </cfRule>
  </conditionalFormatting>
  <conditionalFormatting sqref="C217:C233">
    <cfRule type="expression" dxfId="258" priority="49" stopIfTrue="1">
      <formula>$B216="Visa"</formula>
    </cfRule>
    <cfRule type="expression" dxfId="257" priority="71" stopIfTrue="1">
      <formula>$B216="Visa"</formula>
    </cfRule>
  </conditionalFormatting>
  <conditionalFormatting sqref="C217:C234">
    <cfRule type="expression" dxfId="256" priority="65" stopIfTrue="1">
      <formula>$B216="Visa"</formula>
    </cfRule>
  </conditionalFormatting>
  <conditionalFormatting sqref="C217:C235">
    <cfRule type="expression" dxfId="255" priority="11" stopIfTrue="1">
      <formula>$B217="Visa"</formula>
    </cfRule>
  </conditionalFormatting>
  <conditionalFormatting sqref="C217:C244">
    <cfRule type="expression" dxfId="254" priority="28" stopIfTrue="1">
      <formula>$B217="Visa"</formula>
    </cfRule>
  </conditionalFormatting>
  <conditionalFormatting sqref="C217:C245">
    <cfRule type="expression" dxfId="253" priority="24" stopIfTrue="1">
      <formula>$B217="Visa"</formula>
    </cfRule>
  </conditionalFormatting>
  <conditionalFormatting sqref="C217:C257">
    <cfRule type="expression" dxfId="252" priority="43" stopIfTrue="1">
      <formula>$B216="Visa"</formula>
    </cfRule>
  </conditionalFormatting>
  <conditionalFormatting sqref="C217:C258">
    <cfRule type="expression" dxfId="251" priority="44" stopIfTrue="1">
      <formula>$B217="Visa"</formula>
    </cfRule>
  </conditionalFormatting>
  <conditionalFormatting sqref="C217:C259">
    <cfRule type="expression" dxfId="250" priority="51" stopIfTrue="1">
      <formula>$B216="Visa"</formula>
    </cfRule>
  </conditionalFormatting>
  <conditionalFormatting sqref="C217:C260">
    <cfRule type="expression" dxfId="249" priority="52" stopIfTrue="1">
      <formula>$B217="Visa"</formula>
    </cfRule>
  </conditionalFormatting>
  <conditionalFormatting sqref="C217:C262">
    <cfRule type="expression" dxfId="248" priority="33" stopIfTrue="1">
      <formula>$B217="Visa"</formula>
    </cfRule>
  </conditionalFormatting>
  <conditionalFormatting sqref="C217:C271">
    <cfRule type="expression" dxfId="247" priority="67" stopIfTrue="1">
      <formula>$B217="Visa"</formula>
    </cfRule>
  </conditionalFormatting>
  <conditionalFormatting sqref="C217:C277">
    <cfRule type="expression" dxfId="246" priority="59" stopIfTrue="1">
      <formula>$B217="Visa"</formula>
    </cfRule>
  </conditionalFormatting>
  <conditionalFormatting sqref="C217:C289">
    <cfRule type="expression" dxfId="245" priority="73" stopIfTrue="1">
      <formula>$B217="Visa"</formula>
    </cfRule>
  </conditionalFormatting>
  <conditionalFormatting sqref="C219">
    <cfRule type="expression" dxfId="244" priority="13" stopIfTrue="1">
      <formula>$B16="Visa"</formula>
    </cfRule>
  </conditionalFormatting>
  <conditionalFormatting sqref="C221">
    <cfRule type="expression" dxfId="243" priority="9" stopIfTrue="1">
      <formula>$B17="Visa"</formula>
    </cfRule>
    <cfRule type="expression" dxfId="242" priority="16" stopIfTrue="1">
      <formula>$B17="Visa"</formula>
    </cfRule>
    <cfRule type="expression" dxfId="241" priority="22" stopIfTrue="1">
      <formula>$B17="Visa"</formula>
    </cfRule>
    <cfRule type="expression" dxfId="240" priority="39" stopIfTrue="1">
      <formula>$B17="Visa"</formula>
    </cfRule>
  </conditionalFormatting>
  <conditionalFormatting sqref="C231">
    <cfRule type="expression" dxfId="239" priority="25" stopIfTrue="1">
      <formula>$B207="Visa"</formula>
    </cfRule>
  </conditionalFormatting>
  <conditionalFormatting sqref="C233:C249">
    <cfRule type="expression" dxfId="238" priority="36" stopIfTrue="1">
      <formula>$B233="Visa"</formula>
    </cfRule>
  </conditionalFormatting>
  <conditionalFormatting sqref="C234">
    <cfRule type="expression" dxfId="237" priority="30" stopIfTrue="1">
      <formula>$B206="Visa"</formula>
    </cfRule>
    <cfRule type="expression" dxfId="236" priority="48" stopIfTrue="1">
      <formula>$B206="Visa"</formula>
    </cfRule>
    <cfRule type="expression" dxfId="235" priority="55" stopIfTrue="1">
      <formula>$B206="Visa"</formula>
    </cfRule>
    <cfRule type="expression" dxfId="234" priority="70" stopIfTrue="1">
      <formula>$B206="Visa"</formula>
    </cfRule>
  </conditionalFormatting>
  <conditionalFormatting sqref="C234:C249">
    <cfRule type="expression" dxfId="233" priority="35" stopIfTrue="1">
      <formula>$B233="Visa"</formula>
    </cfRule>
  </conditionalFormatting>
  <conditionalFormatting sqref="C235">
    <cfRule type="expression" dxfId="232" priority="64" stopIfTrue="1">
      <formula>$B207="Visa"</formula>
    </cfRule>
  </conditionalFormatting>
  <conditionalFormatting sqref="C235:C258 C260:C270">
    <cfRule type="expression" dxfId="231" priority="58" stopIfTrue="1">
      <formula>$B234="Visa"</formula>
    </cfRule>
  </conditionalFormatting>
  <conditionalFormatting sqref="C235:C277 C279:C289">
    <cfRule type="expression" dxfId="230" priority="72" stopIfTrue="1">
      <formula>$B234="Visa"</formula>
    </cfRule>
  </conditionalFormatting>
  <conditionalFormatting sqref="C236">
    <cfRule type="expression" dxfId="229" priority="8" stopIfTrue="1">
      <formula>$B236="Visa"</formula>
    </cfRule>
  </conditionalFormatting>
  <conditionalFormatting sqref="C236:C259 C261:C271">
    <cfRule type="expression" dxfId="228" priority="66" stopIfTrue="1">
      <formula>$B235="Visa"</formula>
    </cfRule>
  </conditionalFormatting>
  <conditionalFormatting sqref="C241">
    <cfRule type="expression" dxfId="227" priority="50" stopIfTrue="1">
      <formula>$B212="Visa"</formula>
    </cfRule>
  </conditionalFormatting>
  <conditionalFormatting sqref="C244">
    <cfRule type="expression" dxfId="226" priority="26" stopIfTrue="1">
      <formula>$B17="Visa"</formula>
    </cfRule>
  </conditionalFormatting>
  <conditionalFormatting sqref="C245">
    <cfRule type="expression" dxfId="225" priority="21" stopIfTrue="1">
      <formula>$B245="Visa"</formula>
    </cfRule>
  </conditionalFormatting>
  <conditionalFormatting sqref="C248">
    <cfRule type="expression" dxfId="224" priority="31" stopIfTrue="1">
      <formula>$B17="Visa"</formula>
    </cfRule>
  </conditionalFormatting>
  <conditionalFormatting sqref="C258">
    <cfRule type="expression" dxfId="223" priority="42" stopIfTrue="1">
      <formula>$B21="Visa"</formula>
    </cfRule>
  </conditionalFormatting>
  <conditionalFormatting sqref="C259">
    <cfRule type="expression" dxfId="222" priority="54" stopIfTrue="1">
      <formula>$B235="Visa"</formula>
    </cfRule>
  </conditionalFormatting>
  <conditionalFormatting sqref="C260">
    <cfRule type="expression" dxfId="221" priority="47" stopIfTrue="1">
      <formula>$B259="Visa"</formula>
    </cfRule>
    <cfRule type="expression" dxfId="220" priority="63" stopIfTrue="1">
      <formula>$B236="Visa"</formula>
    </cfRule>
  </conditionalFormatting>
  <conditionalFormatting sqref="C263">
    <cfRule type="expression" dxfId="219" priority="29" stopIfTrue="1">
      <formula>$B263="Visa"</formula>
    </cfRule>
  </conditionalFormatting>
  <conditionalFormatting sqref="C271">
    <cfRule type="expression" dxfId="218" priority="56" stopIfTrue="1">
      <formula>$B17="Visa"</formula>
    </cfRule>
  </conditionalFormatting>
  <conditionalFormatting sqref="C278">
    <cfRule type="expression" dxfId="217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16" priority="62" stopIfTrue="1">
      <formula>$A272="Visa"</formula>
    </cfRule>
  </conditionalFormatting>
  <conditionalFormatting sqref="B278">
    <cfRule type="expression" dxfId="215" priority="53" stopIfTrue="1">
      <formula>$A278="Visa"</formula>
    </cfRule>
  </conditionalFormatting>
  <conditionalFormatting sqref="B310">
    <cfRule type="expression" dxfId="214" priority="69" stopIfTrue="1">
      <formula>$A310="Visa"</formula>
    </cfRule>
  </conditionalFormatting>
  <conditionalFormatting sqref="C5:C15 C17:C208">
    <cfRule type="expression" dxfId="213" priority="76" stopIfTrue="1">
      <formula>$B5="Visa"</formula>
    </cfRule>
  </conditionalFormatting>
  <conditionalFormatting sqref="C5:C19">
    <cfRule type="expression" dxfId="212" priority="78" stopIfTrue="1">
      <formula>$B5="Visa"</formula>
    </cfRule>
  </conditionalFormatting>
  <conditionalFormatting sqref="C5:C208 C217:C233">
    <cfRule type="expression" dxfId="211" priority="15" stopIfTrue="1">
      <formula>$B5="Visa"</formula>
    </cfRule>
  </conditionalFormatting>
  <conditionalFormatting sqref="C5:C208">
    <cfRule type="expression" dxfId="210" priority="7" stopIfTrue="1">
      <formula>$B5="Visa"</formula>
    </cfRule>
    <cfRule type="expression" dxfId="209" priority="38" stopIfTrue="1">
      <formula>$B5="Visa"</formula>
    </cfRule>
    <cfRule type="expression" dxfId="208" priority="61" stopIfTrue="1">
      <formula>$B5="Visa"</formula>
    </cfRule>
  </conditionalFormatting>
  <conditionalFormatting sqref="C13:C15">
    <cfRule type="expression" dxfId="207" priority="37" stopIfTrue="1">
      <formula>$B12="Visa"</formula>
    </cfRule>
    <cfRule type="expression" dxfId="206" priority="75" stopIfTrue="1">
      <formula>$B12="Visa"</formula>
    </cfRule>
  </conditionalFormatting>
  <conditionalFormatting sqref="C13:C20">
    <cfRule type="expression" dxfId="205" priority="6" stopIfTrue="1">
      <formula>$B12="Visa"</formula>
    </cfRule>
    <cfRule type="expression" dxfId="204" priority="60" stopIfTrue="1">
      <formula>$B12="Visa"</formula>
    </cfRule>
  </conditionalFormatting>
  <conditionalFormatting sqref="C13:C201 C203:C208">
    <cfRule type="expression" dxfId="203" priority="77" stopIfTrue="1">
      <formula>$B12="Visa"</formula>
    </cfRule>
  </conditionalFormatting>
  <conditionalFormatting sqref="C17">
    <cfRule type="expression" dxfId="202" priority="34" stopIfTrue="1">
      <formula>$B15="Visa"</formula>
    </cfRule>
    <cfRule type="expression" dxfId="201" priority="74" stopIfTrue="1">
      <formula>$B15="Visa"</formula>
    </cfRule>
  </conditionalFormatting>
  <conditionalFormatting sqref="C21">
    <cfRule type="expression" dxfId="200" priority="12" stopIfTrue="1">
      <formula>#REF!="Visa"</formula>
    </cfRule>
  </conditionalFormatting>
  <conditionalFormatting sqref="C202">
    <cfRule type="expression" dxfId="199" priority="79" stopIfTrue="1">
      <formula>$B29="Visa"</formula>
    </cfRule>
  </conditionalFormatting>
  <conditionalFormatting sqref="C209:C214">
    <cfRule type="expression" dxfId="198" priority="1" stopIfTrue="1">
      <formula>$B209="Visa"</formula>
    </cfRule>
    <cfRule type="expression" dxfId="197" priority="5" stopIfTrue="1">
      <formula>$B208="Visa"</formula>
    </cfRule>
  </conditionalFormatting>
  <conditionalFormatting sqref="C217:C218 C220:C221 C12:C20">
    <cfRule type="expression" dxfId="196" priority="14" stopIfTrue="1">
      <formula>$B11="Visa"</formula>
    </cfRule>
  </conditionalFormatting>
  <conditionalFormatting sqref="C217:C219">
    <cfRule type="expression" dxfId="195" priority="19" stopIfTrue="1">
      <formula>$B216="Visa"</formula>
    </cfRule>
    <cfRule type="expression" dxfId="194" priority="20" stopIfTrue="1">
      <formula>$B217="Visa"</formula>
    </cfRule>
  </conditionalFormatting>
  <conditionalFormatting sqref="C217:C220 C222:C223">
    <cfRule type="expression" dxfId="193" priority="10" stopIfTrue="1">
      <formula>$B216="Visa"</formula>
    </cfRule>
    <cfRule type="expression" dxfId="192" priority="17" stopIfTrue="1">
      <formula>$B216="Visa"</formula>
    </cfRule>
    <cfRule type="expression" dxfId="191" priority="23" stopIfTrue="1">
      <formula>$B216="Visa"</formula>
    </cfRule>
    <cfRule type="expression" dxfId="190" priority="40" stopIfTrue="1">
      <formula>$B216="Visa"</formula>
    </cfRule>
  </conditionalFormatting>
  <conditionalFormatting sqref="C217:C224">
    <cfRule type="expression" dxfId="189" priority="18" stopIfTrue="1">
      <formula>$B217="Visa"</formula>
    </cfRule>
  </conditionalFormatting>
  <conditionalFormatting sqref="C217:C225">
    <cfRule type="expression" dxfId="188" priority="45" stopIfTrue="1">
      <formula>$B216="Visa"</formula>
    </cfRule>
    <cfRule type="expression" dxfId="187" priority="46" stopIfTrue="1">
      <formula>$B217="Visa"</formula>
    </cfRule>
  </conditionalFormatting>
  <conditionalFormatting sqref="C217:C230 C232:C243">
    <cfRule type="expression" dxfId="186" priority="27" stopIfTrue="1">
      <formula>$B216="Visa"</formula>
    </cfRule>
  </conditionalFormatting>
  <conditionalFormatting sqref="C217:C232">
    <cfRule type="expression" dxfId="185" priority="41" stopIfTrue="1">
      <formula>$B217="Visa"</formula>
    </cfRule>
  </conditionalFormatting>
  <conditionalFormatting sqref="C217:C233 C235:C247 C249:C250">
    <cfRule type="expression" dxfId="184" priority="32" stopIfTrue="1">
      <formula>$B216="Visa"</formula>
    </cfRule>
  </conditionalFormatting>
  <conditionalFormatting sqref="C217:C233 C272:C273">
    <cfRule type="expression" dxfId="183" priority="57" stopIfTrue="1">
      <formula>$B216="Visa"</formula>
    </cfRule>
  </conditionalFormatting>
  <conditionalFormatting sqref="C217:C233">
    <cfRule type="expression" dxfId="182" priority="49" stopIfTrue="1">
      <formula>$B216="Visa"</formula>
    </cfRule>
    <cfRule type="expression" dxfId="181" priority="71" stopIfTrue="1">
      <formula>$B216="Visa"</formula>
    </cfRule>
  </conditionalFormatting>
  <conditionalFormatting sqref="C217:C234">
    <cfRule type="expression" dxfId="180" priority="65" stopIfTrue="1">
      <formula>$B216="Visa"</formula>
    </cfRule>
  </conditionalFormatting>
  <conditionalFormatting sqref="C217:C235">
    <cfRule type="expression" dxfId="179" priority="11" stopIfTrue="1">
      <formula>$B217="Visa"</formula>
    </cfRule>
  </conditionalFormatting>
  <conditionalFormatting sqref="C217:C244">
    <cfRule type="expression" dxfId="178" priority="28" stopIfTrue="1">
      <formula>$B217="Visa"</formula>
    </cfRule>
  </conditionalFormatting>
  <conditionalFormatting sqref="C217:C245">
    <cfRule type="expression" dxfId="177" priority="24" stopIfTrue="1">
      <formula>$B217="Visa"</formula>
    </cfRule>
  </conditionalFormatting>
  <conditionalFormatting sqref="C217:C257">
    <cfRule type="expression" dxfId="176" priority="43" stopIfTrue="1">
      <formula>$B216="Visa"</formula>
    </cfRule>
  </conditionalFormatting>
  <conditionalFormatting sqref="C217:C258">
    <cfRule type="expression" dxfId="175" priority="44" stopIfTrue="1">
      <formula>$B217="Visa"</formula>
    </cfRule>
  </conditionalFormatting>
  <conditionalFormatting sqref="C217:C259">
    <cfRule type="expression" dxfId="174" priority="51" stopIfTrue="1">
      <formula>$B216="Visa"</formula>
    </cfRule>
  </conditionalFormatting>
  <conditionalFormatting sqref="C217:C260">
    <cfRule type="expression" dxfId="173" priority="52" stopIfTrue="1">
      <formula>$B217="Visa"</formula>
    </cfRule>
  </conditionalFormatting>
  <conditionalFormatting sqref="C217:C262">
    <cfRule type="expression" dxfId="172" priority="33" stopIfTrue="1">
      <formula>$B217="Visa"</formula>
    </cfRule>
  </conditionalFormatting>
  <conditionalFormatting sqref="C217:C271">
    <cfRule type="expression" dxfId="171" priority="67" stopIfTrue="1">
      <formula>$B217="Visa"</formula>
    </cfRule>
  </conditionalFormatting>
  <conditionalFormatting sqref="C217:C277">
    <cfRule type="expression" dxfId="170" priority="59" stopIfTrue="1">
      <formula>$B217="Visa"</formula>
    </cfRule>
  </conditionalFormatting>
  <conditionalFormatting sqref="C217:C289">
    <cfRule type="expression" dxfId="169" priority="73" stopIfTrue="1">
      <formula>$B217="Visa"</formula>
    </cfRule>
  </conditionalFormatting>
  <conditionalFormatting sqref="C219">
    <cfRule type="expression" dxfId="168" priority="13" stopIfTrue="1">
      <formula>$B16="Visa"</formula>
    </cfRule>
  </conditionalFormatting>
  <conditionalFormatting sqref="C221">
    <cfRule type="expression" dxfId="167" priority="9" stopIfTrue="1">
      <formula>$B17="Visa"</formula>
    </cfRule>
    <cfRule type="expression" dxfId="166" priority="16" stopIfTrue="1">
      <formula>$B17="Visa"</formula>
    </cfRule>
    <cfRule type="expression" dxfId="165" priority="22" stopIfTrue="1">
      <formula>$B17="Visa"</formula>
    </cfRule>
    <cfRule type="expression" dxfId="164" priority="39" stopIfTrue="1">
      <formula>$B17="Visa"</formula>
    </cfRule>
  </conditionalFormatting>
  <conditionalFormatting sqref="C231">
    <cfRule type="expression" dxfId="163" priority="25" stopIfTrue="1">
      <formula>$B207="Visa"</formula>
    </cfRule>
  </conditionalFormatting>
  <conditionalFormatting sqref="C233:C249">
    <cfRule type="expression" dxfId="162" priority="36" stopIfTrue="1">
      <formula>$B233="Visa"</formula>
    </cfRule>
  </conditionalFormatting>
  <conditionalFormatting sqref="C234">
    <cfRule type="expression" dxfId="161" priority="30" stopIfTrue="1">
      <formula>$B206="Visa"</formula>
    </cfRule>
    <cfRule type="expression" dxfId="160" priority="48" stopIfTrue="1">
      <formula>$B206="Visa"</formula>
    </cfRule>
    <cfRule type="expression" dxfId="159" priority="55" stopIfTrue="1">
      <formula>$B206="Visa"</formula>
    </cfRule>
    <cfRule type="expression" dxfId="158" priority="70" stopIfTrue="1">
      <formula>$B206="Visa"</formula>
    </cfRule>
  </conditionalFormatting>
  <conditionalFormatting sqref="C234:C249">
    <cfRule type="expression" dxfId="157" priority="35" stopIfTrue="1">
      <formula>$B233="Visa"</formula>
    </cfRule>
  </conditionalFormatting>
  <conditionalFormatting sqref="C235">
    <cfRule type="expression" dxfId="156" priority="64" stopIfTrue="1">
      <formula>$B207="Visa"</formula>
    </cfRule>
  </conditionalFormatting>
  <conditionalFormatting sqref="C235:C258 C260:C270">
    <cfRule type="expression" dxfId="155" priority="58" stopIfTrue="1">
      <formula>$B234="Visa"</formula>
    </cfRule>
  </conditionalFormatting>
  <conditionalFormatting sqref="C235:C277 C279:C289">
    <cfRule type="expression" dxfId="154" priority="72" stopIfTrue="1">
      <formula>$B234="Visa"</formula>
    </cfRule>
  </conditionalFormatting>
  <conditionalFormatting sqref="C236">
    <cfRule type="expression" dxfId="153" priority="8" stopIfTrue="1">
      <formula>$B236="Visa"</formula>
    </cfRule>
  </conditionalFormatting>
  <conditionalFormatting sqref="C236:C259 C261:C271">
    <cfRule type="expression" dxfId="152" priority="66" stopIfTrue="1">
      <formula>$B235="Visa"</formula>
    </cfRule>
  </conditionalFormatting>
  <conditionalFormatting sqref="C241">
    <cfRule type="expression" dxfId="151" priority="50" stopIfTrue="1">
      <formula>$B212="Visa"</formula>
    </cfRule>
  </conditionalFormatting>
  <conditionalFormatting sqref="C244">
    <cfRule type="expression" dxfId="150" priority="26" stopIfTrue="1">
      <formula>$B17="Visa"</formula>
    </cfRule>
  </conditionalFormatting>
  <conditionalFormatting sqref="C245">
    <cfRule type="expression" dxfId="149" priority="21" stopIfTrue="1">
      <formula>$B245="Visa"</formula>
    </cfRule>
  </conditionalFormatting>
  <conditionalFormatting sqref="C248">
    <cfRule type="expression" dxfId="148" priority="31" stopIfTrue="1">
      <formula>$B17="Visa"</formula>
    </cfRule>
  </conditionalFormatting>
  <conditionalFormatting sqref="C258">
    <cfRule type="expression" dxfId="147" priority="42" stopIfTrue="1">
      <formula>$B21="Visa"</formula>
    </cfRule>
  </conditionalFormatting>
  <conditionalFormatting sqref="C259">
    <cfRule type="expression" dxfId="146" priority="54" stopIfTrue="1">
      <formula>$B235="Visa"</formula>
    </cfRule>
  </conditionalFormatting>
  <conditionalFormatting sqref="C260">
    <cfRule type="expression" dxfId="145" priority="47" stopIfTrue="1">
      <formula>$B259="Visa"</formula>
    </cfRule>
    <cfRule type="expression" dxfId="144" priority="63" stopIfTrue="1">
      <formula>$B236="Visa"</formula>
    </cfRule>
  </conditionalFormatting>
  <conditionalFormatting sqref="C263">
    <cfRule type="expression" dxfId="143" priority="29" stopIfTrue="1">
      <formula>$B263="Visa"</formula>
    </cfRule>
  </conditionalFormatting>
  <conditionalFormatting sqref="C271">
    <cfRule type="expression" dxfId="142" priority="56" stopIfTrue="1">
      <formula>$B17="Visa"</formula>
    </cfRule>
  </conditionalFormatting>
  <conditionalFormatting sqref="C278">
    <cfRule type="expression" dxfId="141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50"/>
      <c r="M1" s="50"/>
      <c r="N1" s="50"/>
    </row>
    <row r="2" spans="1:17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  <c r="K2" s="50" t="s">
        <v>13</v>
      </c>
      <c r="L2" s="50"/>
      <c r="M2" s="50"/>
      <c r="N2" s="50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4"/>
      <c r="M3" s="54"/>
      <c r="N3" s="54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7" t="s">
        <v>11</v>
      </c>
      <c r="B209" s="47"/>
      <c r="C209" s="47"/>
      <c r="D209" s="38"/>
      <c r="E209" s="38"/>
      <c r="F209" s="38"/>
      <c r="G209" s="47" t="s">
        <v>10</v>
      </c>
      <c r="H209" s="47"/>
      <c r="I209" s="47"/>
    </row>
    <row r="210" spans="1:9" s="7" customFormat="1" ht="15" customHeight="1" x14ac:dyDescent="0.25">
      <c r="A210" s="47" t="s">
        <v>22</v>
      </c>
      <c r="B210" s="47"/>
      <c r="C210" s="47"/>
      <c r="D210" s="38"/>
      <c r="E210" s="38"/>
      <c r="F210" s="38"/>
      <c r="G210" s="47" t="s">
        <v>23</v>
      </c>
      <c r="H210" s="47"/>
      <c r="I210" s="47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8" t="s">
        <v>16</v>
      </c>
      <c r="B215" s="48"/>
      <c r="C215" s="48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9" t="s">
        <v>17</v>
      </c>
      <c r="B216" s="49"/>
      <c r="C216" s="49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40" priority="62" stopIfTrue="1">
      <formula>$A272="Visa"</formula>
    </cfRule>
  </conditionalFormatting>
  <conditionalFormatting sqref="B278">
    <cfRule type="expression" dxfId="139" priority="53" stopIfTrue="1">
      <formula>$A278="Visa"</formula>
    </cfRule>
  </conditionalFormatting>
  <conditionalFormatting sqref="B310">
    <cfRule type="expression" dxfId="138" priority="69" stopIfTrue="1">
      <formula>$A310="Visa"</formula>
    </cfRule>
  </conditionalFormatting>
  <conditionalFormatting sqref="C5:C15 C17:C208">
    <cfRule type="expression" dxfId="137" priority="76" stopIfTrue="1">
      <formula>$B5="Visa"</formula>
    </cfRule>
  </conditionalFormatting>
  <conditionalFormatting sqref="C5:C19">
    <cfRule type="expression" dxfId="136" priority="78" stopIfTrue="1">
      <formula>$B5="Visa"</formula>
    </cfRule>
  </conditionalFormatting>
  <conditionalFormatting sqref="C5:C208 C217:C233">
    <cfRule type="expression" dxfId="135" priority="15" stopIfTrue="1">
      <formula>$B5="Visa"</formula>
    </cfRule>
  </conditionalFormatting>
  <conditionalFormatting sqref="C5:C208">
    <cfRule type="expression" dxfId="134" priority="7" stopIfTrue="1">
      <formula>$B5="Visa"</formula>
    </cfRule>
    <cfRule type="expression" dxfId="133" priority="38" stopIfTrue="1">
      <formula>$B5="Visa"</formula>
    </cfRule>
    <cfRule type="expression" dxfId="132" priority="61" stopIfTrue="1">
      <formula>$B5="Visa"</formula>
    </cfRule>
  </conditionalFormatting>
  <conditionalFormatting sqref="C13:C15">
    <cfRule type="expression" dxfId="131" priority="37" stopIfTrue="1">
      <formula>$B12="Visa"</formula>
    </cfRule>
    <cfRule type="expression" dxfId="130" priority="75" stopIfTrue="1">
      <formula>$B12="Visa"</formula>
    </cfRule>
  </conditionalFormatting>
  <conditionalFormatting sqref="C13:C20">
    <cfRule type="expression" dxfId="129" priority="6" stopIfTrue="1">
      <formula>$B12="Visa"</formula>
    </cfRule>
    <cfRule type="expression" dxfId="128" priority="60" stopIfTrue="1">
      <formula>$B12="Visa"</formula>
    </cfRule>
  </conditionalFormatting>
  <conditionalFormatting sqref="C13:C201 C203:C208">
    <cfRule type="expression" dxfId="127" priority="77" stopIfTrue="1">
      <formula>$B12="Visa"</formula>
    </cfRule>
  </conditionalFormatting>
  <conditionalFormatting sqref="C17">
    <cfRule type="expression" dxfId="126" priority="34" stopIfTrue="1">
      <formula>$B15="Visa"</formula>
    </cfRule>
    <cfRule type="expression" dxfId="125" priority="74" stopIfTrue="1">
      <formula>$B15="Visa"</formula>
    </cfRule>
  </conditionalFormatting>
  <conditionalFormatting sqref="C21">
    <cfRule type="expression" dxfId="124" priority="12" stopIfTrue="1">
      <formula>#REF!="Visa"</formula>
    </cfRule>
  </conditionalFormatting>
  <conditionalFormatting sqref="C202">
    <cfRule type="expression" dxfId="123" priority="79" stopIfTrue="1">
      <formula>$B29="Visa"</formula>
    </cfRule>
  </conditionalFormatting>
  <conditionalFormatting sqref="C209:C214">
    <cfRule type="expression" dxfId="122" priority="1" stopIfTrue="1">
      <formula>$B209="Visa"</formula>
    </cfRule>
    <cfRule type="expression" dxfId="121" priority="5" stopIfTrue="1">
      <formula>$B208="Visa"</formula>
    </cfRule>
  </conditionalFormatting>
  <conditionalFormatting sqref="C217:C218 C220:C221 C12:C20">
    <cfRule type="expression" dxfId="120" priority="14" stopIfTrue="1">
      <formula>$B11="Visa"</formula>
    </cfRule>
  </conditionalFormatting>
  <conditionalFormatting sqref="C217:C219">
    <cfRule type="expression" dxfId="119" priority="19" stopIfTrue="1">
      <formula>$B216="Visa"</formula>
    </cfRule>
    <cfRule type="expression" dxfId="118" priority="20" stopIfTrue="1">
      <formula>$B217="Visa"</formula>
    </cfRule>
  </conditionalFormatting>
  <conditionalFormatting sqref="C217:C220 C222:C223">
    <cfRule type="expression" dxfId="117" priority="10" stopIfTrue="1">
      <formula>$B216="Visa"</formula>
    </cfRule>
    <cfRule type="expression" dxfId="116" priority="17" stopIfTrue="1">
      <formula>$B216="Visa"</formula>
    </cfRule>
    <cfRule type="expression" dxfId="115" priority="23" stopIfTrue="1">
      <formula>$B216="Visa"</formula>
    </cfRule>
    <cfRule type="expression" dxfId="114" priority="40" stopIfTrue="1">
      <formula>$B216="Visa"</formula>
    </cfRule>
  </conditionalFormatting>
  <conditionalFormatting sqref="C217:C224">
    <cfRule type="expression" dxfId="113" priority="18" stopIfTrue="1">
      <formula>$B217="Visa"</formula>
    </cfRule>
  </conditionalFormatting>
  <conditionalFormatting sqref="C217:C225">
    <cfRule type="expression" dxfId="112" priority="45" stopIfTrue="1">
      <formula>$B216="Visa"</formula>
    </cfRule>
    <cfRule type="expression" dxfId="111" priority="46" stopIfTrue="1">
      <formula>$B217="Visa"</formula>
    </cfRule>
  </conditionalFormatting>
  <conditionalFormatting sqref="C217:C230 C232:C243">
    <cfRule type="expression" dxfId="110" priority="27" stopIfTrue="1">
      <formula>$B216="Visa"</formula>
    </cfRule>
  </conditionalFormatting>
  <conditionalFormatting sqref="C217:C232">
    <cfRule type="expression" dxfId="109" priority="41" stopIfTrue="1">
      <formula>$B217="Visa"</formula>
    </cfRule>
  </conditionalFormatting>
  <conditionalFormatting sqref="C217:C233 C235:C247 C249:C250">
    <cfRule type="expression" dxfId="108" priority="32" stopIfTrue="1">
      <formula>$B216="Visa"</formula>
    </cfRule>
  </conditionalFormatting>
  <conditionalFormatting sqref="C217:C233 C272:C273">
    <cfRule type="expression" dxfId="107" priority="57" stopIfTrue="1">
      <formula>$B216="Visa"</formula>
    </cfRule>
  </conditionalFormatting>
  <conditionalFormatting sqref="C217:C233">
    <cfRule type="expression" dxfId="106" priority="49" stopIfTrue="1">
      <formula>$B216="Visa"</formula>
    </cfRule>
    <cfRule type="expression" dxfId="105" priority="71" stopIfTrue="1">
      <formula>$B216="Visa"</formula>
    </cfRule>
  </conditionalFormatting>
  <conditionalFormatting sqref="C217:C234">
    <cfRule type="expression" dxfId="104" priority="65" stopIfTrue="1">
      <formula>$B216="Visa"</formula>
    </cfRule>
  </conditionalFormatting>
  <conditionalFormatting sqref="C217:C235">
    <cfRule type="expression" dxfId="103" priority="11" stopIfTrue="1">
      <formula>$B217="Visa"</formula>
    </cfRule>
  </conditionalFormatting>
  <conditionalFormatting sqref="C217:C244">
    <cfRule type="expression" dxfId="102" priority="28" stopIfTrue="1">
      <formula>$B217="Visa"</formula>
    </cfRule>
  </conditionalFormatting>
  <conditionalFormatting sqref="C217:C245">
    <cfRule type="expression" dxfId="101" priority="24" stopIfTrue="1">
      <formula>$B217="Visa"</formula>
    </cfRule>
  </conditionalFormatting>
  <conditionalFormatting sqref="C217:C257">
    <cfRule type="expression" dxfId="100" priority="43" stopIfTrue="1">
      <formula>$B216="Visa"</formula>
    </cfRule>
  </conditionalFormatting>
  <conditionalFormatting sqref="C217:C258">
    <cfRule type="expression" dxfId="99" priority="44" stopIfTrue="1">
      <formula>$B217="Visa"</formula>
    </cfRule>
  </conditionalFormatting>
  <conditionalFormatting sqref="C217:C259">
    <cfRule type="expression" dxfId="98" priority="51" stopIfTrue="1">
      <formula>$B216="Visa"</formula>
    </cfRule>
  </conditionalFormatting>
  <conditionalFormatting sqref="C217:C260">
    <cfRule type="expression" dxfId="97" priority="52" stopIfTrue="1">
      <formula>$B217="Visa"</formula>
    </cfRule>
  </conditionalFormatting>
  <conditionalFormatting sqref="C217:C262">
    <cfRule type="expression" dxfId="96" priority="33" stopIfTrue="1">
      <formula>$B217="Visa"</formula>
    </cfRule>
  </conditionalFormatting>
  <conditionalFormatting sqref="C217:C271">
    <cfRule type="expression" dxfId="95" priority="67" stopIfTrue="1">
      <formula>$B217="Visa"</formula>
    </cfRule>
  </conditionalFormatting>
  <conditionalFormatting sqref="C217:C277">
    <cfRule type="expression" dxfId="94" priority="59" stopIfTrue="1">
      <formula>$B217="Visa"</formula>
    </cfRule>
  </conditionalFormatting>
  <conditionalFormatting sqref="C217:C289">
    <cfRule type="expression" dxfId="93" priority="73" stopIfTrue="1">
      <formula>$B217="Visa"</formula>
    </cfRule>
  </conditionalFormatting>
  <conditionalFormatting sqref="C219">
    <cfRule type="expression" dxfId="92" priority="13" stopIfTrue="1">
      <formula>$B16="Visa"</formula>
    </cfRule>
  </conditionalFormatting>
  <conditionalFormatting sqref="C221">
    <cfRule type="expression" dxfId="91" priority="9" stopIfTrue="1">
      <formula>$B17="Visa"</formula>
    </cfRule>
    <cfRule type="expression" dxfId="90" priority="16" stopIfTrue="1">
      <formula>$B17="Visa"</formula>
    </cfRule>
    <cfRule type="expression" dxfId="89" priority="22" stopIfTrue="1">
      <formula>$B17="Visa"</formula>
    </cfRule>
    <cfRule type="expression" dxfId="88" priority="39" stopIfTrue="1">
      <formula>$B17="Visa"</formula>
    </cfRule>
  </conditionalFormatting>
  <conditionalFormatting sqref="C231">
    <cfRule type="expression" dxfId="87" priority="25" stopIfTrue="1">
      <formula>$B207="Visa"</formula>
    </cfRule>
  </conditionalFormatting>
  <conditionalFormatting sqref="C233:C249">
    <cfRule type="expression" dxfId="86" priority="36" stopIfTrue="1">
      <formula>$B233="Visa"</formula>
    </cfRule>
  </conditionalFormatting>
  <conditionalFormatting sqref="C234">
    <cfRule type="expression" dxfId="85" priority="30" stopIfTrue="1">
      <formula>$B206="Visa"</formula>
    </cfRule>
    <cfRule type="expression" dxfId="84" priority="48" stopIfTrue="1">
      <formula>$B206="Visa"</formula>
    </cfRule>
    <cfRule type="expression" dxfId="83" priority="55" stopIfTrue="1">
      <formula>$B206="Visa"</formula>
    </cfRule>
    <cfRule type="expression" dxfId="82" priority="70" stopIfTrue="1">
      <formula>$B206="Visa"</formula>
    </cfRule>
  </conditionalFormatting>
  <conditionalFormatting sqref="C234:C249">
    <cfRule type="expression" dxfId="81" priority="35" stopIfTrue="1">
      <formula>$B233="Visa"</formula>
    </cfRule>
  </conditionalFormatting>
  <conditionalFormatting sqref="C235">
    <cfRule type="expression" dxfId="80" priority="64" stopIfTrue="1">
      <formula>$B207="Visa"</formula>
    </cfRule>
  </conditionalFormatting>
  <conditionalFormatting sqref="C235:C258 C260:C270">
    <cfRule type="expression" dxfId="79" priority="58" stopIfTrue="1">
      <formula>$B234="Visa"</formula>
    </cfRule>
  </conditionalFormatting>
  <conditionalFormatting sqref="C235:C277 C279:C289">
    <cfRule type="expression" dxfId="78" priority="72" stopIfTrue="1">
      <formula>$B234="Visa"</formula>
    </cfRule>
  </conditionalFormatting>
  <conditionalFormatting sqref="C236">
    <cfRule type="expression" dxfId="77" priority="8" stopIfTrue="1">
      <formula>$B236="Visa"</formula>
    </cfRule>
  </conditionalFormatting>
  <conditionalFormatting sqref="C236:C259 C261:C271">
    <cfRule type="expression" dxfId="76" priority="66" stopIfTrue="1">
      <formula>$B235="Visa"</formula>
    </cfRule>
  </conditionalFormatting>
  <conditionalFormatting sqref="C241">
    <cfRule type="expression" dxfId="75" priority="50" stopIfTrue="1">
      <formula>$B212="Visa"</formula>
    </cfRule>
  </conditionalFormatting>
  <conditionalFormatting sqref="C244">
    <cfRule type="expression" dxfId="74" priority="26" stopIfTrue="1">
      <formula>$B17="Visa"</formula>
    </cfRule>
  </conditionalFormatting>
  <conditionalFormatting sqref="C245">
    <cfRule type="expression" dxfId="73" priority="21" stopIfTrue="1">
      <formula>$B245="Visa"</formula>
    </cfRule>
  </conditionalFormatting>
  <conditionalFormatting sqref="C248">
    <cfRule type="expression" dxfId="72" priority="31" stopIfTrue="1">
      <formula>$B17="Visa"</formula>
    </cfRule>
  </conditionalFormatting>
  <conditionalFormatting sqref="C258">
    <cfRule type="expression" dxfId="71" priority="42" stopIfTrue="1">
      <formula>$B21="Visa"</formula>
    </cfRule>
  </conditionalFormatting>
  <conditionalFormatting sqref="C259">
    <cfRule type="expression" dxfId="70" priority="54" stopIfTrue="1">
      <formula>$B235="Visa"</formula>
    </cfRule>
  </conditionalFormatting>
  <conditionalFormatting sqref="C260">
    <cfRule type="expression" dxfId="69" priority="47" stopIfTrue="1">
      <formula>$B259="Visa"</formula>
    </cfRule>
    <cfRule type="expression" dxfId="68" priority="63" stopIfTrue="1">
      <formula>$B236="Visa"</formula>
    </cfRule>
  </conditionalFormatting>
  <conditionalFormatting sqref="C263">
    <cfRule type="expression" dxfId="67" priority="29" stopIfTrue="1">
      <formula>$B263="Visa"</formula>
    </cfRule>
  </conditionalFormatting>
  <conditionalFormatting sqref="C271">
    <cfRule type="expression" dxfId="66" priority="56" stopIfTrue="1">
      <formula>$B17="Visa"</formula>
    </cfRule>
  </conditionalFormatting>
  <conditionalFormatting sqref="C278">
    <cfRule type="expression" dxfId="65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DABB-DA72-4F65-A11E-1C3183A20E11}">
  <sheetPr codeName="Sheet27">
    <tabColor rgb="FFFF0000"/>
  </sheetPr>
  <dimension ref="A1:I306"/>
  <sheetViews>
    <sheetView tabSelected="1" workbookViewId="0">
      <selection activeCell="M16" sqref="M16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5" width="9.140625" style="1"/>
    <col min="226" max="226" width="0.85546875" style="1" customWidth="1"/>
    <col min="227" max="227" width="3.42578125" style="1" customWidth="1"/>
    <col min="228" max="228" width="9.5703125" style="1" bestFit="1" customWidth="1"/>
    <col min="229" max="229" width="9.140625" style="1"/>
    <col min="230" max="230" width="8.7109375" style="1" bestFit="1" customWidth="1"/>
    <col min="231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51" t="s">
        <v>21</v>
      </c>
      <c r="B2" s="52"/>
      <c r="C2" s="52"/>
      <c r="D2" s="52"/>
      <c r="E2" s="52"/>
      <c r="F2" s="52"/>
      <c r="G2" s="52"/>
      <c r="H2" s="52"/>
      <c r="I2" s="53"/>
    </row>
    <row r="3" spans="1:9" ht="16.5" customHeight="1" x14ac:dyDescent="0.2">
      <c r="A3" s="23" t="s">
        <v>18</v>
      </c>
      <c r="B3" s="43">
        <v>46166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198</v>
      </c>
      <c r="C5" s="11" t="s">
        <v>130</v>
      </c>
      <c r="D5" s="12">
        <v>46166</v>
      </c>
      <c r="E5" s="13" t="s">
        <v>144</v>
      </c>
      <c r="F5" s="13" t="s">
        <v>97</v>
      </c>
      <c r="G5" s="10">
        <v>48280</v>
      </c>
      <c r="H5" s="10">
        <v>14590</v>
      </c>
      <c r="I5" s="10">
        <f t="shared" ref="I5:I36" si="0">G5-H5</f>
        <v>33690</v>
      </c>
    </row>
    <row r="6" spans="1:9" s="7" customFormat="1" ht="15" customHeight="1" x14ac:dyDescent="0.25">
      <c r="A6" s="2">
        <f t="shared" ref="A6:A37" si="1">A5+1</f>
        <v>2</v>
      </c>
      <c r="B6" s="10" t="s">
        <v>199</v>
      </c>
      <c r="C6" s="11" t="s">
        <v>92</v>
      </c>
      <c r="D6" s="12">
        <v>46166</v>
      </c>
      <c r="E6" s="13" t="s">
        <v>184</v>
      </c>
      <c r="F6" s="13" t="s">
        <v>97</v>
      </c>
      <c r="G6" s="10">
        <v>46160</v>
      </c>
      <c r="H6" s="10">
        <v>15160</v>
      </c>
      <c r="I6" s="10">
        <f t="shared" si="0"/>
        <v>31000</v>
      </c>
    </row>
    <row r="7" spans="1:9" s="7" customFormat="1" ht="15" customHeight="1" x14ac:dyDescent="0.25">
      <c r="A7" s="2">
        <f t="shared" si="1"/>
        <v>3</v>
      </c>
      <c r="B7" s="10" t="s">
        <v>200</v>
      </c>
      <c r="C7" s="11" t="s">
        <v>67</v>
      </c>
      <c r="D7" s="12">
        <v>46166</v>
      </c>
      <c r="E7" s="13" t="s">
        <v>313</v>
      </c>
      <c r="F7" s="13" t="s">
        <v>97</v>
      </c>
      <c r="G7" s="10">
        <v>45000</v>
      </c>
      <c r="H7" s="10">
        <v>15210</v>
      </c>
      <c r="I7" s="10">
        <f t="shared" si="0"/>
        <v>29790</v>
      </c>
    </row>
    <row r="8" spans="1:9" s="7" customFormat="1" ht="15" customHeight="1" x14ac:dyDescent="0.25">
      <c r="A8" s="2">
        <f t="shared" si="1"/>
        <v>4</v>
      </c>
      <c r="B8" s="10" t="s">
        <v>201</v>
      </c>
      <c r="C8" s="11" t="s">
        <v>65</v>
      </c>
      <c r="D8" s="12">
        <v>46166</v>
      </c>
      <c r="E8" s="13" t="s">
        <v>314</v>
      </c>
      <c r="F8" s="13" t="s">
        <v>97</v>
      </c>
      <c r="G8" s="10">
        <v>48410</v>
      </c>
      <c r="H8" s="10">
        <v>15690</v>
      </c>
      <c r="I8" s="10">
        <f t="shared" si="0"/>
        <v>32720</v>
      </c>
    </row>
    <row r="9" spans="1:9" s="7" customFormat="1" ht="15" customHeight="1" x14ac:dyDescent="0.25">
      <c r="A9" s="2">
        <f t="shared" si="1"/>
        <v>5</v>
      </c>
      <c r="B9" s="10" t="s">
        <v>202</v>
      </c>
      <c r="C9" s="11" t="s">
        <v>72</v>
      </c>
      <c r="D9" s="12">
        <v>46166</v>
      </c>
      <c r="E9" s="13" t="s">
        <v>315</v>
      </c>
      <c r="F9" s="13" t="s">
        <v>97</v>
      </c>
      <c r="G9" s="10">
        <v>47520</v>
      </c>
      <c r="H9" s="10">
        <v>14220</v>
      </c>
      <c r="I9" s="10">
        <f t="shared" si="0"/>
        <v>33300</v>
      </c>
    </row>
    <row r="10" spans="1:9" s="7" customFormat="1" ht="15" customHeight="1" x14ac:dyDescent="0.25">
      <c r="A10" s="2">
        <f t="shared" si="1"/>
        <v>6</v>
      </c>
      <c r="B10" s="10" t="s">
        <v>203</v>
      </c>
      <c r="C10" s="11" t="s">
        <v>39</v>
      </c>
      <c r="D10" s="12">
        <v>46166</v>
      </c>
      <c r="E10" s="13" t="s">
        <v>188</v>
      </c>
      <c r="F10" s="13" t="s">
        <v>97</v>
      </c>
      <c r="G10" s="10">
        <v>46390</v>
      </c>
      <c r="H10" s="10">
        <v>13950</v>
      </c>
      <c r="I10" s="10">
        <f t="shared" si="0"/>
        <v>32440</v>
      </c>
    </row>
    <row r="11" spans="1:9" s="7" customFormat="1" ht="15" customHeight="1" x14ac:dyDescent="0.25">
      <c r="A11" s="2">
        <f t="shared" si="1"/>
        <v>7</v>
      </c>
      <c r="B11" s="10" t="s">
        <v>204</v>
      </c>
      <c r="C11" s="11" t="s">
        <v>24</v>
      </c>
      <c r="D11" s="12">
        <v>46166</v>
      </c>
      <c r="E11" s="13" t="s">
        <v>139</v>
      </c>
      <c r="F11" s="13" t="s">
        <v>97</v>
      </c>
      <c r="G11" s="10">
        <v>46080</v>
      </c>
      <c r="H11" s="10">
        <v>15870</v>
      </c>
      <c r="I11" s="10">
        <f t="shared" si="0"/>
        <v>30210</v>
      </c>
    </row>
    <row r="12" spans="1:9" s="7" customFormat="1" ht="15" customHeight="1" x14ac:dyDescent="0.25">
      <c r="A12" s="2">
        <f t="shared" si="1"/>
        <v>8</v>
      </c>
      <c r="B12" s="10" t="s">
        <v>205</v>
      </c>
      <c r="C12" s="11" t="s">
        <v>28</v>
      </c>
      <c r="D12" s="12">
        <v>46166</v>
      </c>
      <c r="E12" s="13" t="s">
        <v>196</v>
      </c>
      <c r="F12" s="13" t="s">
        <v>97</v>
      </c>
      <c r="G12" s="10">
        <v>45640</v>
      </c>
      <c r="H12" s="10">
        <v>15580</v>
      </c>
      <c r="I12" s="10">
        <f t="shared" si="0"/>
        <v>30060</v>
      </c>
    </row>
    <row r="13" spans="1:9" s="7" customFormat="1" ht="15" customHeight="1" x14ac:dyDescent="0.25">
      <c r="A13" s="2">
        <f t="shared" si="1"/>
        <v>9</v>
      </c>
      <c r="B13" s="10" t="s">
        <v>206</v>
      </c>
      <c r="C13" s="11" t="s">
        <v>133</v>
      </c>
      <c r="D13" s="12">
        <v>46166</v>
      </c>
      <c r="E13" s="13" t="s">
        <v>197</v>
      </c>
      <c r="F13" s="13" t="s">
        <v>97</v>
      </c>
      <c r="G13" s="10">
        <v>43080</v>
      </c>
      <c r="H13" s="10">
        <v>13850</v>
      </c>
      <c r="I13" s="10">
        <f t="shared" si="0"/>
        <v>29230</v>
      </c>
    </row>
    <row r="14" spans="1:9" s="7" customFormat="1" ht="15" customHeight="1" x14ac:dyDescent="0.25">
      <c r="A14" s="2">
        <f t="shared" si="1"/>
        <v>10</v>
      </c>
      <c r="B14" s="10" t="s">
        <v>207</v>
      </c>
      <c r="C14" s="11" t="s">
        <v>41</v>
      </c>
      <c r="D14" s="12">
        <v>46166</v>
      </c>
      <c r="E14" s="13" t="s">
        <v>134</v>
      </c>
      <c r="F14" s="13" t="s">
        <v>97</v>
      </c>
      <c r="G14" s="10">
        <v>44930</v>
      </c>
      <c r="H14" s="10">
        <v>14850</v>
      </c>
      <c r="I14" s="10">
        <f t="shared" si="0"/>
        <v>30080</v>
      </c>
    </row>
    <row r="15" spans="1:9" s="7" customFormat="1" ht="15" customHeight="1" x14ac:dyDescent="0.25">
      <c r="A15" s="2">
        <f t="shared" si="1"/>
        <v>11</v>
      </c>
      <c r="B15" s="10" t="s">
        <v>208</v>
      </c>
      <c r="C15" s="11" t="s">
        <v>129</v>
      </c>
      <c r="D15" s="12">
        <v>46166</v>
      </c>
      <c r="E15" s="13" t="s">
        <v>135</v>
      </c>
      <c r="F15" s="13" t="s">
        <v>97</v>
      </c>
      <c r="G15" s="10">
        <v>46750</v>
      </c>
      <c r="H15" s="10">
        <v>14950</v>
      </c>
      <c r="I15" s="10">
        <f t="shared" si="0"/>
        <v>31800</v>
      </c>
    </row>
    <row r="16" spans="1:9" s="7" customFormat="1" ht="15" customHeight="1" x14ac:dyDescent="0.25">
      <c r="A16" s="2">
        <f t="shared" si="1"/>
        <v>12</v>
      </c>
      <c r="B16" s="10" t="s">
        <v>209</v>
      </c>
      <c r="C16" s="11" t="s">
        <v>132</v>
      </c>
      <c r="D16" s="12">
        <v>46166</v>
      </c>
      <c r="E16" s="13" t="s">
        <v>98</v>
      </c>
      <c r="F16" s="13" t="s">
        <v>97</v>
      </c>
      <c r="G16" s="10">
        <v>47540</v>
      </c>
      <c r="H16" s="10">
        <v>14650</v>
      </c>
      <c r="I16" s="10">
        <f t="shared" si="0"/>
        <v>32890</v>
      </c>
    </row>
    <row r="17" spans="1:9" s="7" customFormat="1" ht="15" customHeight="1" x14ac:dyDescent="0.25">
      <c r="A17" s="2">
        <f t="shared" si="1"/>
        <v>13</v>
      </c>
      <c r="B17" s="10" t="s">
        <v>210</v>
      </c>
      <c r="C17" s="11" t="s">
        <v>31</v>
      </c>
      <c r="D17" s="12">
        <v>46166</v>
      </c>
      <c r="E17" s="13" t="s">
        <v>136</v>
      </c>
      <c r="F17" s="13" t="s">
        <v>97</v>
      </c>
      <c r="G17" s="10">
        <v>47760</v>
      </c>
      <c r="H17" s="10">
        <v>17660</v>
      </c>
      <c r="I17" s="10">
        <f t="shared" si="0"/>
        <v>30100</v>
      </c>
    </row>
    <row r="18" spans="1:9" s="7" customFormat="1" ht="15" customHeight="1" x14ac:dyDescent="0.25">
      <c r="A18" s="2">
        <f t="shared" si="1"/>
        <v>14</v>
      </c>
      <c r="B18" s="10" t="s">
        <v>211</v>
      </c>
      <c r="C18" s="11" t="s">
        <v>42</v>
      </c>
      <c r="D18" s="12">
        <v>46166</v>
      </c>
      <c r="E18" s="13" t="s">
        <v>167</v>
      </c>
      <c r="F18" s="13" t="s">
        <v>97</v>
      </c>
      <c r="G18" s="10">
        <v>45840</v>
      </c>
      <c r="H18" s="10">
        <v>15500</v>
      </c>
      <c r="I18" s="10">
        <f t="shared" si="0"/>
        <v>30340</v>
      </c>
    </row>
    <row r="19" spans="1:9" s="7" customFormat="1" ht="15" customHeight="1" x14ac:dyDescent="0.25">
      <c r="A19" s="2">
        <f t="shared" si="1"/>
        <v>15</v>
      </c>
      <c r="B19" s="10" t="s">
        <v>212</v>
      </c>
      <c r="C19" s="11" t="s">
        <v>122</v>
      </c>
      <c r="D19" s="12">
        <v>46166</v>
      </c>
      <c r="E19" s="13" t="s">
        <v>153</v>
      </c>
      <c r="F19" s="13" t="s">
        <v>97</v>
      </c>
      <c r="G19" s="10">
        <v>49910</v>
      </c>
      <c r="H19" s="10">
        <v>14130</v>
      </c>
      <c r="I19" s="10">
        <f t="shared" si="0"/>
        <v>35780</v>
      </c>
    </row>
    <row r="20" spans="1:9" s="7" customFormat="1" ht="15" customHeight="1" x14ac:dyDescent="0.25">
      <c r="A20" s="2">
        <f t="shared" si="1"/>
        <v>16</v>
      </c>
      <c r="B20" s="10" t="s">
        <v>213</v>
      </c>
      <c r="C20" s="11" t="s">
        <v>34</v>
      </c>
      <c r="D20" s="12">
        <v>46166</v>
      </c>
      <c r="E20" s="13" t="s">
        <v>99</v>
      </c>
      <c r="F20" s="13" t="s">
        <v>97</v>
      </c>
      <c r="G20" s="10">
        <v>45710</v>
      </c>
      <c r="H20" s="10">
        <v>17510</v>
      </c>
      <c r="I20" s="10">
        <f t="shared" si="0"/>
        <v>28200</v>
      </c>
    </row>
    <row r="21" spans="1:9" s="7" customFormat="1" ht="15" customHeight="1" x14ac:dyDescent="0.25">
      <c r="A21" s="2">
        <f t="shared" si="1"/>
        <v>17</v>
      </c>
      <c r="B21" s="10" t="s">
        <v>214</v>
      </c>
      <c r="C21" s="11" t="s">
        <v>64</v>
      </c>
      <c r="D21" s="12">
        <v>46166</v>
      </c>
      <c r="E21" s="13" t="s">
        <v>100</v>
      </c>
      <c r="F21" s="13" t="s">
        <v>97</v>
      </c>
      <c r="G21" s="10">
        <v>46090</v>
      </c>
      <c r="H21" s="10">
        <v>15440</v>
      </c>
      <c r="I21" s="10">
        <f t="shared" si="0"/>
        <v>30650</v>
      </c>
    </row>
    <row r="22" spans="1:9" s="7" customFormat="1" ht="15" customHeight="1" x14ac:dyDescent="0.25">
      <c r="A22" s="2">
        <f t="shared" si="1"/>
        <v>18</v>
      </c>
      <c r="B22" s="10" t="s">
        <v>215</v>
      </c>
      <c r="C22" s="11" t="s">
        <v>37</v>
      </c>
      <c r="D22" s="12">
        <v>46166</v>
      </c>
      <c r="E22" s="13" t="s">
        <v>193</v>
      </c>
      <c r="F22" s="13" t="s">
        <v>97</v>
      </c>
      <c r="G22" s="10">
        <v>44890</v>
      </c>
      <c r="H22" s="10">
        <v>14960</v>
      </c>
      <c r="I22" s="10">
        <f t="shared" si="0"/>
        <v>29930</v>
      </c>
    </row>
    <row r="23" spans="1:9" s="7" customFormat="1" ht="15" customHeight="1" x14ac:dyDescent="0.25">
      <c r="A23" s="2">
        <f t="shared" si="1"/>
        <v>19</v>
      </c>
      <c r="B23" s="10" t="s">
        <v>216</v>
      </c>
      <c r="C23" s="11" t="s">
        <v>56</v>
      </c>
      <c r="D23" s="12">
        <v>46166</v>
      </c>
      <c r="E23" s="13" t="s">
        <v>168</v>
      </c>
      <c r="F23" s="13" t="s">
        <v>97</v>
      </c>
      <c r="G23" s="10">
        <v>45730</v>
      </c>
      <c r="H23" s="10">
        <v>15450</v>
      </c>
      <c r="I23" s="10">
        <f t="shared" si="0"/>
        <v>30280</v>
      </c>
    </row>
    <row r="24" spans="1:9" s="7" customFormat="1" ht="15" customHeight="1" x14ac:dyDescent="0.25">
      <c r="A24" s="2">
        <f t="shared" si="1"/>
        <v>20</v>
      </c>
      <c r="B24" s="10" t="s">
        <v>217</v>
      </c>
      <c r="C24" s="11" t="s">
        <v>63</v>
      </c>
      <c r="D24" s="12">
        <v>46166</v>
      </c>
      <c r="E24" s="13" t="s">
        <v>179</v>
      </c>
      <c r="F24" s="13" t="s">
        <v>97</v>
      </c>
      <c r="G24" s="10">
        <v>44240</v>
      </c>
      <c r="H24" s="10">
        <v>15390</v>
      </c>
      <c r="I24" s="10">
        <f t="shared" si="0"/>
        <v>28850</v>
      </c>
    </row>
    <row r="25" spans="1:9" s="7" customFormat="1" ht="15" customHeight="1" x14ac:dyDescent="0.25">
      <c r="A25" s="2">
        <f t="shared" si="1"/>
        <v>21</v>
      </c>
      <c r="B25" s="10" t="s">
        <v>218</v>
      </c>
      <c r="C25" s="11" t="s">
        <v>55</v>
      </c>
      <c r="D25" s="12">
        <v>46166</v>
      </c>
      <c r="E25" s="13" t="s">
        <v>316</v>
      </c>
      <c r="F25" s="13" t="s">
        <v>97</v>
      </c>
      <c r="G25" s="10">
        <v>44060</v>
      </c>
      <c r="H25" s="10">
        <v>15160</v>
      </c>
      <c r="I25" s="10">
        <f t="shared" si="0"/>
        <v>28900</v>
      </c>
    </row>
    <row r="26" spans="1:9" s="7" customFormat="1" ht="15" customHeight="1" x14ac:dyDescent="0.25">
      <c r="A26" s="2">
        <f t="shared" si="1"/>
        <v>22</v>
      </c>
      <c r="B26" s="10" t="s">
        <v>219</v>
      </c>
      <c r="C26" s="11" t="s">
        <v>53</v>
      </c>
      <c r="D26" s="12">
        <v>46166</v>
      </c>
      <c r="E26" s="13" t="s">
        <v>154</v>
      </c>
      <c r="F26" s="13" t="s">
        <v>97</v>
      </c>
      <c r="G26" s="10">
        <v>46240</v>
      </c>
      <c r="H26" s="10">
        <v>14060</v>
      </c>
      <c r="I26" s="10">
        <f t="shared" si="0"/>
        <v>32180</v>
      </c>
    </row>
    <row r="27" spans="1:9" s="7" customFormat="1" ht="15" customHeight="1" x14ac:dyDescent="0.25">
      <c r="A27" s="2">
        <f t="shared" si="1"/>
        <v>23</v>
      </c>
      <c r="B27" s="10" t="s">
        <v>220</v>
      </c>
      <c r="C27" s="11" t="s">
        <v>48</v>
      </c>
      <c r="D27" s="12">
        <v>46166</v>
      </c>
      <c r="E27" s="13" t="s">
        <v>165</v>
      </c>
      <c r="F27" s="13" t="s">
        <v>97</v>
      </c>
      <c r="G27" s="10">
        <v>51050</v>
      </c>
      <c r="H27" s="10">
        <v>14990</v>
      </c>
      <c r="I27" s="10">
        <f t="shared" si="0"/>
        <v>36060</v>
      </c>
    </row>
    <row r="28" spans="1:9" s="7" customFormat="1" ht="15" customHeight="1" x14ac:dyDescent="0.25">
      <c r="A28" s="2">
        <f t="shared" si="1"/>
        <v>24</v>
      </c>
      <c r="B28" s="10" t="s">
        <v>221</v>
      </c>
      <c r="C28" s="11" t="s">
        <v>69</v>
      </c>
      <c r="D28" s="12">
        <v>46166</v>
      </c>
      <c r="E28" s="13" t="s">
        <v>169</v>
      </c>
      <c r="F28" s="13" t="s">
        <v>97</v>
      </c>
      <c r="G28" s="10">
        <v>46820</v>
      </c>
      <c r="H28" s="10">
        <v>16330</v>
      </c>
      <c r="I28" s="10">
        <f t="shared" si="0"/>
        <v>30490</v>
      </c>
    </row>
    <row r="29" spans="1:9" s="7" customFormat="1" ht="15" customHeight="1" x14ac:dyDescent="0.25">
      <c r="A29" s="2">
        <f t="shared" si="1"/>
        <v>25</v>
      </c>
      <c r="B29" s="10" t="s">
        <v>222</v>
      </c>
      <c r="C29" s="11" t="s">
        <v>46</v>
      </c>
      <c r="D29" s="12">
        <v>46166</v>
      </c>
      <c r="E29" s="13" t="s">
        <v>170</v>
      </c>
      <c r="F29" s="13" t="s">
        <v>97</v>
      </c>
      <c r="G29" s="10">
        <v>46320</v>
      </c>
      <c r="H29" s="10">
        <v>15670</v>
      </c>
      <c r="I29" s="10">
        <f t="shared" si="0"/>
        <v>30650</v>
      </c>
    </row>
    <row r="30" spans="1:9" s="7" customFormat="1" ht="15" customHeight="1" x14ac:dyDescent="0.25">
      <c r="A30" s="2">
        <f t="shared" si="1"/>
        <v>26</v>
      </c>
      <c r="B30" s="10" t="s">
        <v>223</v>
      </c>
      <c r="C30" s="11" t="s">
        <v>86</v>
      </c>
      <c r="D30" s="12">
        <v>46166</v>
      </c>
      <c r="E30" s="13" t="s">
        <v>137</v>
      </c>
      <c r="F30" s="13" t="s">
        <v>97</v>
      </c>
      <c r="G30" s="10">
        <v>47700</v>
      </c>
      <c r="H30" s="10">
        <v>16550</v>
      </c>
      <c r="I30" s="10">
        <f t="shared" si="0"/>
        <v>31150</v>
      </c>
    </row>
    <row r="31" spans="1:9" s="7" customFormat="1" ht="15" customHeight="1" x14ac:dyDescent="0.25">
      <c r="A31" s="2">
        <f t="shared" si="1"/>
        <v>27</v>
      </c>
      <c r="B31" s="10" t="s">
        <v>224</v>
      </c>
      <c r="C31" s="11" t="s">
        <v>66</v>
      </c>
      <c r="D31" s="12">
        <v>46166</v>
      </c>
      <c r="E31" s="13" t="s">
        <v>180</v>
      </c>
      <c r="F31" s="13" t="s">
        <v>97</v>
      </c>
      <c r="G31" s="10">
        <v>45990</v>
      </c>
      <c r="H31" s="10">
        <v>15540</v>
      </c>
      <c r="I31" s="10">
        <f t="shared" si="0"/>
        <v>30450</v>
      </c>
    </row>
    <row r="32" spans="1:9" s="7" customFormat="1" ht="15" customHeight="1" x14ac:dyDescent="0.25">
      <c r="A32" s="2">
        <f t="shared" si="1"/>
        <v>28</v>
      </c>
      <c r="B32" s="10" t="s">
        <v>225</v>
      </c>
      <c r="C32" s="11" t="s">
        <v>117</v>
      </c>
      <c r="D32" s="12">
        <v>46166</v>
      </c>
      <c r="E32" s="13" t="s">
        <v>194</v>
      </c>
      <c r="F32" s="13" t="s">
        <v>97</v>
      </c>
      <c r="G32" s="10">
        <v>44600</v>
      </c>
      <c r="H32" s="10">
        <v>16260</v>
      </c>
      <c r="I32" s="10">
        <f t="shared" si="0"/>
        <v>28340</v>
      </c>
    </row>
    <row r="33" spans="1:9" s="7" customFormat="1" ht="15" customHeight="1" x14ac:dyDescent="0.25">
      <c r="A33" s="2">
        <f t="shared" si="1"/>
        <v>29</v>
      </c>
      <c r="B33" s="10" t="s">
        <v>226</v>
      </c>
      <c r="C33" s="11" t="s">
        <v>57</v>
      </c>
      <c r="D33" s="12">
        <v>46166</v>
      </c>
      <c r="E33" s="13" t="s">
        <v>317</v>
      </c>
      <c r="F33" s="13" t="s">
        <v>97</v>
      </c>
      <c r="G33" s="10">
        <v>47460</v>
      </c>
      <c r="H33" s="10">
        <v>15480</v>
      </c>
      <c r="I33" s="10">
        <f t="shared" si="0"/>
        <v>31980</v>
      </c>
    </row>
    <row r="34" spans="1:9" s="7" customFormat="1" ht="15" customHeight="1" x14ac:dyDescent="0.25">
      <c r="A34" s="2">
        <f t="shared" si="1"/>
        <v>30</v>
      </c>
      <c r="B34" s="10" t="s">
        <v>227</v>
      </c>
      <c r="C34" s="11" t="s">
        <v>70</v>
      </c>
      <c r="D34" s="12">
        <v>46166</v>
      </c>
      <c r="E34" s="13" t="s">
        <v>318</v>
      </c>
      <c r="F34" s="13" t="s">
        <v>97</v>
      </c>
      <c r="G34" s="10">
        <v>46670</v>
      </c>
      <c r="H34" s="10">
        <v>16190</v>
      </c>
      <c r="I34" s="10">
        <f t="shared" si="0"/>
        <v>30480</v>
      </c>
    </row>
    <row r="35" spans="1:9" s="7" customFormat="1" ht="15" customHeight="1" x14ac:dyDescent="0.25">
      <c r="A35" s="2">
        <f t="shared" si="1"/>
        <v>31</v>
      </c>
      <c r="B35" s="10" t="s">
        <v>228</v>
      </c>
      <c r="C35" s="11" t="s">
        <v>47</v>
      </c>
      <c r="D35" s="12">
        <v>46166</v>
      </c>
      <c r="E35" s="13" t="s">
        <v>171</v>
      </c>
      <c r="F35" s="13" t="s">
        <v>97</v>
      </c>
      <c r="G35" s="10">
        <v>47910</v>
      </c>
      <c r="H35" s="10">
        <v>15800</v>
      </c>
      <c r="I35" s="10">
        <f t="shared" si="0"/>
        <v>32110</v>
      </c>
    </row>
    <row r="36" spans="1:9" s="7" customFormat="1" ht="15" customHeight="1" x14ac:dyDescent="0.25">
      <c r="A36" s="2">
        <f t="shared" si="1"/>
        <v>32</v>
      </c>
      <c r="B36" s="10" t="s">
        <v>229</v>
      </c>
      <c r="C36" s="11" t="s">
        <v>36</v>
      </c>
      <c r="D36" s="12">
        <v>46166</v>
      </c>
      <c r="E36" s="13" t="s">
        <v>101</v>
      </c>
      <c r="F36" s="13" t="s">
        <v>97</v>
      </c>
      <c r="G36" s="10">
        <v>50090</v>
      </c>
      <c r="H36" s="10">
        <v>18710</v>
      </c>
      <c r="I36" s="10">
        <f t="shared" si="0"/>
        <v>31380</v>
      </c>
    </row>
    <row r="37" spans="1:9" s="7" customFormat="1" ht="15" customHeight="1" x14ac:dyDescent="0.25">
      <c r="A37" s="2">
        <f t="shared" si="1"/>
        <v>33</v>
      </c>
      <c r="B37" s="10" t="s">
        <v>230</v>
      </c>
      <c r="C37" s="11" t="s">
        <v>84</v>
      </c>
      <c r="D37" s="12">
        <v>46166</v>
      </c>
      <c r="E37" s="13" t="s">
        <v>319</v>
      </c>
      <c r="F37" s="13" t="s">
        <v>97</v>
      </c>
      <c r="G37" s="10">
        <v>48380</v>
      </c>
      <c r="H37" s="10">
        <v>15630</v>
      </c>
      <c r="I37" s="10">
        <f t="shared" ref="I37:I68" si="2">G37-H37</f>
        <v>32750</v>
      </c>
    </row>
    <row r="38" spans="1:9" s="7" customFormat="1" ht="15" customHeight="1" x14ac:dyDescent="0.25">
      <c r="A38" s="2">
        <f t="shared" ref="A38:A69" si="3">A37+1</f>
        <v>34</v>
      </c>
      <c r="B38" s="10" t="s">
        <v>231</v>
      </c>
      <c r="C38" s="11" t="s">
        <v>177</v>
      </c>
      <c r="D38" s="12">
        <v>46166</v>
      </c>
      <c r="E38" s="13" t="s">
        <v>191</v>
      </c>
      <c r="F38" s="13" t="s">
        <v>97</v>
      </c>
      <c r="G38" s="10">
        <v>47290</v>
      </c>
      <c r="H38" s="10">
        <v>15930</v>
      </c>
      <c r="I38" s="10">
        <f t="shared" si="2"/>
        <v>31360</v>
      </c>
    </row>
    <row r="39" spans="1:9" s="7" customFormat="1" ht="15" customHeight="1" x14ac:dyDescent="0.25">
      <c r="A39" s="2">
        <f t="shared" si="3"/>
        <v>35</v>
      </c>
      <c r="B39" s="10" t="s">
        <v>232</v>
      </c>
      <c r="C39" s="11" t="s">
        <v>78</v>
      </c>
      <c r="D39" s="12">
        <v>46166</v>
      </c>
      <c r="E39" s="13" t="s">
        <v>155</v>
      </c>
      <c r="F39" s="13" t="s">
        <v>97</v>
      </c>
      <c r="G39" s="10">
        <v>46110</v>
      </c>
      <c r="H39" s="10">
        <v>14650</v>
      </c>
      <c r="I39" s="10">
        <f t="shared" si="2"/>
        <v>31460</v>
      </c>
    </row>
    <row r="40" spans="1:9" s="7" customFormat="1" ht="15" customHeight="1" x14ac:dyDescent="0.25">
      <c r="A40" s="2">
        <f t="shared" si="3"/>
        <v>36</v>
      </c>
      <c r="B40" s="10" t="s">
        <v>233</v>
      </c>
      <c r="C40" s="11" t="s">
        <v>133</v>
      </c>
      <c r="D40" s="12">
        <v>46166</v>
      </c>
      <c r="E40" s="13" t="s">
        <v>195</v>
      </c>
      <c r="F40" s="13" t="s">
        <v>97</v>
      </c>
      <c r="G40" s="10">
        <v>46140</v>
      </c>
      <c r="H40" s="10">
        <v>14010</v>
      </c>
      <c r="I40" s="10">
        <f t="shared" si="2"/>
        <v>32130</v>
      </c>
    </row>
    <row r="41" spans="1:9" s="7" customFormat="1" ht="15" customHeight="1" x14ac:dyDescent="0.25">
      <c r="A41" s="2">
        <f t="shared" si="3"/>
        <v>37</v>
      </c>
      <c r="B41" s="10" t="s">
        <v>234</v>
      </c>
      <c r="C41" s="11" t="s">
        <v>87</v>
      </c>
      <c r="D41" s="12">
        <v>46166</v>
      </c>
      <c r="E41" s="13" t="s">
        <v>172</v>
      </c>
      <c r="F41" s="13" t="s">
        <v>97</v>
      </c>
      <c r="G41" s="10">
        <v>48220</v>
      </c>
      <c r="H41" s="10">
        <v>16160</v>
      </c>
      <c r="I41" s="10">
        <f t="shared" si="2"/>
        <v>32060</v>
      </c>
    </row>
    <row r="42" spans="1:9" s="7" customFormat="1" ht="15" customHeight="1" x14ac:dyDescent="0.25">
      <c r="A42" s="2">
        <f t="shared" si="3"/>
        <v>38</v>
      </c>
      <c r="B42" s="10" t="s">
        <v>235</v>
      </c>
      <c r="C42" s="11" t="s">
        <v>77</v>
      </c>
      <c r="D42" s="12">
        <v>46166</v>
      </c>
      <c r="E42" s="13" t="s">
        <v>181</v>
      </c>
      <c r="F42" s="13" t="s">
        <v>97</v>
      </c>
      <c r="G42" s="10">
        <v>45600</v>
      </c>
      <c r="H42" s="10">
        <v>14730</v>
      </c>
      <c r="I42" s="10">
        <f t="shared" si="2"/>
        <v>30870</v>
      </c>
    </row>
    <row r="43" spans="1:9" s="7" customFormat="1" ht="15" customHeight="1" x14ac:dyDescent="0.25">
      <c r="A43" s="2">
        <f t="shared" si="3"/>
        <v>39</v>
      </c>
      <c r="B43" s="10" t="s">
        <v>236</v>
      </c>
      <c r="C43" s="11" t="s">
        <v>38</v>
      </c>
      <c r="D43" s="12">
        <v>46166</v>
      </c>
      <c r="E43" s="13" t="s">
        <v>102</v>
      </c>
      <c r="F43" s="13" t="s">
        <v>97</v>
      </c>
      <c r="G43" s="10">
        <v>47760</v>
      </c>
      <c r="H43" s="10">
        <v>15700</v>
      </c>
      <c r="I43" s="10">
        <f t="shared" si="2"/>
        <v>32060</v>
      </c>
    </row>
    <row r="44" spans="1:9" s="7" customFormat="1" ht="15" customHeight="1" x14ac:dyDescent="0.25">
      <c r="A44" s="2">
        <f t="shared" si="3"/>
        <v>40</v>
      </c>
      <c r="B44" s="10" t="s">
        <v>237</v>
      </c>
      <c r="C44" s="11" t="s">
        <v>150</v>
      </c>
      <c r="D44" s="12">
        <v>46166</v>
      </c>
      <c r="E44" s="13" t="s">
        <v>103</v>
      </c>
      <c r="F44" s="13" t="s">
        <v>97</v>
      </c>
      <c r="G44" s="10">
        <v>47440</v>
      </c>
      <c r="H44" s="10">
        <v>15000</v>
      </c>
      <c r="I44" s="10">
        <f t="shared" si="2"/>
        <v>32440</v>
      </c>
    </row>
    <row r="45" spans="1:9" s="7" customFormat="1" ht="15" customHeight="1" x14ac:dyDescent="0.25">
      <c r="A45" s="2">
        <f t="shared" si="3"/>
        <v>41</v>
      </c>
      <c r="B45" s="10" t="s">
        <v>238</v>
      </c>
      <c r="C45" s="11" t="s">
        <v>61</v>
      </c>
      <c r="D45" s="12">
        <v>46166</v>
      </c>
      <c r="E45" s="13" t="s">
        <v>186</v>
      </c>
      <c r="F45" s="13" t="s">
        <v>97</v>
      </c>
      <c r="G45" s="10">
        <v>48540</v>
      </c>
      <c r="H45" s="10">
        <v>14470</v>
      </c>
      <c r="I45" s="10">
        <f t="shared" si="2"/>
        <v>34070</v>
      </c>
    </row>
    <row r="46" spans="1:9" s="7" customFormat="1" ht="15" customHeight="1" x14ac:dyDescent="0.25">
      <c r="A46" s="2">
        <f t="shared" si="3"/>
        <v>42</v>
      </c>
      <c r="B46" s="10" t="s">
        <v>239</v>
      </c>
      <c r="C46" s="11" t="s">
        <v>60</v>
      </c>
      <c r="D46" s="12">
        <v>46166</v>
      </c>
      <c r="E46" s="13" t="s">
        <v>320</v>
      </c>
      <c r="F46" s="13" t="s">
        <v>97</v>
      </c>
      <c r="G46" s="10">
        <v>44430</v>
      </c>
      <c r="H46" s="10">
        <v>13210</v>
      </c>
      <c r="I46" s="10">
        <f t="shared" si="2"/>
        <v>31220</v>
      </c>
    </row>
    <row r="47" spans="1:9" s="7" customFormat="1" ht="15" customHeight="1" x14ac:dyDescent="0.25">
      <c r="A47" s="2">
        <f t="shared" si="3"/>
        <v>43</v>
      </c>
      <c r="B47" s="10" t="s">
        <v>240</v>
      </c>
      <c r="C47" s="11" t="s">
        <v>62</v>
      </c>
      <c r="D47" s="12">
        <v>46166</v>
      </c>
      <c r="E47" s="13" t="s">
        <v>142</v>
      </c>
      <c r="F47" s="13" t="s">
        <v>97</v>
      </c>
      <c r="G47" s="10">
        <v>49670</v>
      </c>
      <c r="H47" s="10">
        <v>14700</v>
      </c>
      <c r="I47" s="10">
        <f t="shared" si="2"/>
        <v>34970</v>
      </c>
    </row>
    <row r="48" spans="1:9" s="7" customFormat="1" ht="15" customHeight="1" x14ac:dyDescent="0.25">
      <c r="A48" s="2">
        <f t="shared" si="3"/>
        <v>44</v>
      </c>
      <c r="B48" s="10" t="s">
        <v>241</v>
      </c>
      <c r="C48" s="11" t="s">
        <v>127</v>
      </c>
      <c r="D48" s="12">
        <v>46166</v>
      </c>
      <c r="E48" s="13" t="s">
        <v>146</v>
      </c>
      <c r="F48" s="13" t="s">
        <v>97</v>
      </c>
      <c r="G48" s="10">
        <v>45690</v>
      </c>
      <c r="H48" s="10">
        <v>14490</v>
      </c>
      <c r="I48" s="10">
        <f t="shared" si="2"/>
        <v>31200</v>
      </c>
    </row>
    <row r="49" spans="1:9" s="7" customFormat="1" ht="15" customHeight="1" x14ac:dyDescent="0.25">
      <c r="A49" s="2">
        <f t="shared" si="3"/>
        <v>45</v>
      </c>
      <c r="B49" s="10" t="s">
        <v>242</v>
      </c>
      <c r="C49" s="11" t="s">
        <v>30</v>
      </c>
      <c r="D49" s="12">
        <v>46166</v>
      </c>
      <c r="E49" s="13" t="s">
        <v>321</v>
      </c>
      <c r="F49" s="13" t="s">
        <v>97</v>
      </c>
      <c r="G49" s="10">
        <v>66740</v>
      </c>
      <c r="H49" s="10">
        <v>24650</v>
      </c>
      <c r="I49" s="10">
        <f t="shared" si="2"/>
        <v>42090</v>
      </c>
    </row>
    <row r="50" spans="1:9" s="7" customFormat="1" ht="15" customHeight="1" x14ac:dyDescent="0.25">
      <c r="A50" s="2">
        <f t="shared" si="3"/>
        <v>46</v>
      </c>
      <c r="B50" s="10" t="s">
        <v>243</v>
      </c>
      <c r="C50" s="11" t="s">
        <v>96</v>
      </c>
      <c r="D50" s="12">
        <v>46166</v>
      </c>
      <c r="E50" s="13" t="s">
        <v>148</v>
      </c>
      <c r="F50" s="13" t="s">
        <v>97</v>
      </c>
      <c r="G50" s="10">
        <v>44590</v>
      </c>
      <c r="H50" s="10">
        <v>14560</v>
      </c>
      <c r="I50" s="10">
        <f t="shared" si="2"/>
        <v>30030</v>
      </c>
    </row>
    <row r="51" spans="1:9" s="7" customFormat="1" ht="15" customHeight="1" x14ac:dyDescent="0.25">
      <c r="A51" s="2">
        <f t="shared" si="3"/>
        <v>47</v>
      </c>
      <c r="B51" s="10" t="s">
        <v>244</v>
      </c>
      <c r="C51" s="11" t="s">
        <v>74</v>
      </c>
      <c r="D51" s="12">
        <v>46166</v>
      </c>
      <c r="E51" s="13" t="s">
        <v>322</v>
      </c>
      <c r="F51" s="13" t="s">
        <v>97</v>
      </c>
      <c r="G51" s="10">
        <v>52470</v>
      </c>
      <c r="H51" s="10">
        <v>18360</v>
      </c>
      <c r="I51" s="10">
        <f t="shared" si="2"/>
        <v>34110</v>
      </c>
    </row>
    <row r="52" spans="1:9" s="7" customFormat="1" ht="15" customHeight="1" x14ac:dyDescent="0.25">
      <c r="A52" s="2">
        <f t="shared" si="3"/>
        <v>48</v>
      </c>
      <c r="B52" s="10" t="s">
        <v>245</v>
      </c>
      <c r="C52" s="11" t="s">
        <v>93</v>
      </c>
      <c r="D52" s="12">
        <v>46166</v>
      </c>
      <c r="E52" s="13" t="s">
        <v>138</v>
      </c>
      <c r="F52" s="13" t="s">
        <v>97</v>
      </c>
      <c r="G52" s="10">
        <v>48320</v>
      </c>
      <c r="H52" s="10">
        <v>15320</v>
      </c>
      <c r="I52" s="10">
        <f t="shared" si="2"/>
        <v>33000</v>
      </c>
    </row>
    <row r="53" spans="1:9" s="7" customFormat="1" ht="15" customHeight="1" x14ac:dyDescent="0.25">
      <c r="A53" s="2">
        <f t="shared" si="3"/>
        <v>49</v>
      </c>
      <c r="B53" s="10" t="s">
        <v>246</v>
      </c>
      <c r="C53" s="11" t="s">
        <v>45</v>
      </c>
      <c r="D53" s="12">
        <v>46166</v>
      </c>
      <c r="E53" s="13" t="s">
        <v>104</v>
      </c>
      <c r="F53" s="13" t="s">
        <v>97</v>
      </c>
      <c r="G53" s="10">
        <v>47960</v>
      </c>
      <c r="H53" s="10">
        <v>16350</v>
      </c>
      <c r="I53" s="10">
        <f t="shared" si="2"/>
        <v>31610</v>
      </c>
    </row>
    <row r="54" spans="1:9" s="7" customFormat="1" ht="15" customHeight="1" x14ac:dyDescent="0.25">
      <c r="A54" s="2">
        <f t="shared" si="3"/>
        <v>50</v>
      </c>
      <c r="B54" s="10" t="s">
        <v>247</v>
      </c>
      <c r="C54" s="11" t="s">
        <v>83</v>
      </c>
      <c r="D54" s="12">
        <v>46166</v>
      </c>
      <c r="E54" s="13" t="s">
        <v>156</v>
      </c>
      <c r="F54" s="13" t="s">
        <v>97</v>
      </c>
      <c r="G54" s="10">
        <v>48660</v>
      </c>
      <c r="H54" s="10">
        <v>16390</v>
      </c>
      <c r="I54" s="10">
        <f t="shared" si="2"/>
        <v>32270</v>
      </c>
    </row>
    <row r="55" spans="1:9" s="7" customFormat="1" ht="15" customHeight="1" x14ac:dyDescent="0.25">
      <c r="A55" s="2">
        <f t="shared" si="3"/>
        <v>51</v>
      </c>
      <c r="B55" s="10" t="s">
        <v>248</v>
      </c>
      <c r="C55" s="11" t="s">
        <v>126</v>
      </c>
      <c r="D55" s="12">
        <v>46166</v>
      </c>
      <c r="E55" s="13" t="s">
        <v>105</v>
      </c>
      <c r="F55" s="13" t="s">
        <v>97</v>
      </c>
      <c r="G55" s="10">
        <v>45670</v>
      </c>
      <c r="H55" s="10">
        <v>15890</v>
      </c>
      <c r="I55" s="10">
        <f t="shared" si="2"/>
        <v>29780</v>
      </c>
    </row>
    <row r="56" spans="1:9" s="7" customFormat="1" ht="15" customHeight="1" x14ac:dyDescent="0.25">
      <c r="A56" s="2">
        <f t="shared" si="3"/>
        <v>52</v>
      </c>
      <c r="B56" s="10" t="s">
        <v>249</v>
      </c>
      <c r="C56" s="11" t="s">
        <v>176</v>
      </c>
      <c r="D56" s="12">
        <v>46166</v>
      </c>
      <c r="E56" s="13" t="s">
        <v>106</v>
      </c>
      <c r="F56" s="13" t="s">
        <v>97</v>
      </c>
      <c r="G56" s="10">
        <v>50660</v>
      </c>
      <c r="H56" s="10">
        <v>17480</v>
      </c>
      <c r="I56" s="10">
        <f t="shared" si="2"/>
        <v>33180</v>
      </c>
    </row>
    <row r="57" spans="1:9" s="7" customFormat="1" ht="15" customHeight="1" x14ac:dyDescent="0.25">
      <c r="A57" s="2">
        <f t="shared" si="3"/>
        <v>53</v>
      </c>
      <c r="B57" s="10" t="s">
        <v>250</v>
      </c>
      <c r="C57" s="11" t="s">
        <v>32</v>
      </c>
      <c r="D57" s="12">
        <v>46166</v>
      </c>
      <c r="E57" s="13" t="s">
        <v>107</v>
      </c>
      <c r="F57" s="13" t="s">
        <v>97</v>
      </c>
      <c r="G57" s="10">
        <v>66830</v>
      </c>
      <c r="H57" s="10">
        <v>24650</v>
      </c>
      <c r="I57" s="10">
        <f t="shared" si="2"/>
        <v>42180</v>
      </c>
    </row>
    <row r="58" spans="1:9" s="7" customFormat="1" ht="15" customHeight="1" x14ac:dyDescent="0.25">
      <c r="A58" s="2">
        <f t="shared" si="3"/>
        <v>54</v>
      </c>
      <c r="B58" s="10" t="s">
        <v>251</v>
      </c>
      <c r="C58" s="11" t="s">
        <v>49</v>
      </c>
      <c r="D58" s="12">
        <v>46166</v>
      </c>
      <c r="E58" s="13" t="s">
        <v>108</v>
      </c>
      <c r="F58" s="13" t="s">
        <v>97</v>
      </c>
      <c r="G58" s="10">
        <v>50240</v>
      </c>
      <c r="H58" s="10">
        <v>18930</v>
      </c>
      <c r="I58" s="10">
        <f t="shared" si="2"/>
        <v>31310</v>
      </c>
    </row>
    <row r="59" spans="1:9" s="7" customFormat="1" ht="15" customHeight="1" x14ac:dyDescent="0.25">
      <c r="A59" s="2">
        <f t="shared" si="3"/>
        <v>55</v>
      </c>
      <c r="B59" s="10" t="s">
        <v>252</v>
      </c>
      <c r="C59" s="11" t="s">
        <v>75</v>
      </c>
      <c r="D59" s="12">
        <v>46166</v>
      </c>
      <c r="E59" s="13" t="s">
        <v>109</v>
      </c>
      <c r="F59" s="13" t="s">
        <v>97</v>
      </c>
      <c r="G59" s="10">
        <v>48850</v>
      </c>
      <c r="H59" s="10">
        <v>17210</v>
      </c>
      <c r="I59" s="10">
        <f t="shared" si="2"/>
        <v>31640</v>
      </c>
    </row>
    <row r="60" spans="1:9" s="7" customFormat="1" ht="15" customHeight="1" x14ac:dyDescent="0.25">
      <c r="A60" s="2">
        <f t="shared" si="3"/>
        <v>56</v>
      </c>
      <c r="B60" s="10" t="s">
        <v>253</v>
      </c>
      <c r="C60" s="11" t="s">
        <v>33</v>
      </c>
      <c r="D60" s="12">
        <v>46166</v>
      </c>
      <c r="E60" s="13" t="s">
        <v>110</v>
      </c>
      <c r="F60" s="13" t="s">
        <v>97</v>
      </c>
      <c r="G60" s="10">
        <v>47040</v>
      </c>
      <c r="H60" s="10">
        <v>13870</v>
      </c>
      <c r="I60" s="10">
        <f t="shared" si="2"/>
        <v>33170</v>
      </c>
    </row>
    <row r="61" spans="1:9" s="7" customFormat="1" ht="15" customHeight="1" x14ac:dyDescent="0.25">
      <c r="A61" s="2">
        <f t="shared" si="3"/>
        <v>57</v>
      </c>
      <c r="B61" s="10" t="s">
        <v>254</v>
      </c>
      <c r="C61" s="11" t="s">
        <v>29</v>
      </c>
      <c r="D61" s="12">
        <v>46166</v>
      </c>
      <c r="E61" s="13" t="s">
        <v>111</v>
      </c>
      <c r="F61" s="13" t="s">
        <v>97</v>
      </c>
      <c r="G61" s="10">
        <v>46560</v>
      </c>
      <c r="H61" s="10">
        <v>15270</v>
      </c>
      <c r="I61" s="10">
        <f t="shared" si="2"/>
        <v>31290</v>
      </c>
    </row>
    <row r="62" spans="1:9" s="7" customFormat="1" ht="15" customHeight="1" x14ac:dyDescent="0.25">
      <c r="A62" s="2">
        <f t="shared" si="3"/>
        <v>58</v>
      </c>
      <c r="B62" s="10" t="s">
        <v>255</v>
      </c>
      <c r="C62" s="11" t="s">
        <v>79</v>
      </c>
      <c r="D62" s="12">
        <v>46166</v>
      </c>
      <c r="E62" s="13" t="s">
        <v>112</v>
      </c>
      <c r="F62" s="13" t="s">
        <v>97</v>
      </c>
      <c r="G62" s="10">
        <v>46000</v>
      </c>
      <c r="H62" s="10">
        <v>14520</v>
      </c>
      <c r="I62" s="10">
        <f t="shared" si="2"/>
        <v>31480</v>
      </c>
    </row>
    <row r="63" spans="1:9" s="7" customFormat="1" ht="15" customHeight="1" x14ac:dyDescent="0.25">
      <c r="A63" s="2">
        <f t="shared" si="3"/>
        <v>59</v>
      </c>
      <c r="B63" s="10" t="s">
        <v>256</v>
      </c>
      <c r="C63" s="11" t="s">
        <v>58</v>
      </c>
      <c r="D63" s="12">
        <v>46166</v>
      </c>
      <c r="E63" s="13" t="s">
        <v>113</v>
      </c>
      <c r="F63" s="13" t="s">
        <v>97</v>
      </c>
      <c r="G63" s="10">
        <v>48850</v>
      </c>
      <c r="H63" s="10">
        <v>16230</v>
      </c>
      <c r="I63" s="10">
        <f t="shared" si="2"/>
        <v>32620</v>
      </c>
    </row>
    <row r="64" spans="1:9" s="7" customFormat="1" ht="15" customHeight="1" x14ac:dyDescent="0.25">
      <c r="A64" s="2">
        <f t="shared" si="3"/>
        <v>60</v>
      </c>
      <c r="B64" s="10" t="s">
        <v>257</v>
      </c>
      <c r="C64" s="11" t="s">
        <v>44</v>
      </c>
      <c r="D64" s="12">
        <v>46166</v>
      </c>
      <c r="E64" s="13" t="s">
        <v>173</v>
      </c>
      <c r="F64" s="13" t="s">
        <v>97</v>
      </c>
      <c r="G64" s="10">
        <v>46860</v>
      </c>
      <c r="H64" s="10">
        <v>14970</v>
      </c>
      <c r="I64" s="10">
        <f t="shared" si="2"/>
        <v>31890</v>
      </c>
    </row>
    <row r="65" spans="1:9" s="7" customFormat="1" ht="15" customHeight="1" x14ac:dyDescent="0.25">
      <c r="A65" s="2">
        <f t="shared" si="3"/>
        <v>61</v>
      </c>
      <c r="B65" s="10" t="s">
        <v>258</v>
      </c>
      <c r="C65" s="11" t="s">
        <v>91</v>
      </c>
      <c r="D65" s="12">
        <v>46166</v>
      </c>
      <c r="E65" s="13" t="s">
        <v>114</v>
      </c>
      <c r="F65" s="13" t="s">
        <v>97</v>
      </c>
      <c r="G65" s="10">
        <v>48130</v>
      </c>
      <c r="H65" s="10">
        <v>15300</v>
      </c>
      <c r="I65" s="10">
        <f t="shared" si="2"/>
        <v>32830</v>
      </c>
    </row>
    <row r="66" spans="1:9" s="7" customFormat="1" ht="15" customHeight="1" x14ac:dyDescent="0.25">
      <c r="A66" s="2">
        <f t="shared" si="3"/>
        <v>62</v>
      </c>
      <c r="B66" s="10" t="s">
        <v>259</v>
      </c>
      <c r="C66" s="11" t="s">
        <v>128</v>
      </c>
      <c r="D66" s="12">
        <v>46166</v>
      </c>
      <c r="E66" s="13" t="s">
        <v>166</v>
      </c>
      <c r="F66" s="13" t="s">
        <v>97</v>
      </c>
      <c r="G66" s="10">
        <v>69790</v>
      </c>
      <c r="H66" s="10">
        <v>24140</v>
      </c>
      <c r="I66" s="10">
        <f t="shared" si="2"/>
        <v>45650</v>
      </c>
    </row>
    <row r="67" spans="1:9" s="7" customFormat="1" ht="15" customHeight="1" x14ac:dyDescent="0.25">
      <c r="A67" s="2">
        <f t="shared" si="3"/>
        <v>63</v>
      </c>
      <c r="B67" s="10" t="s">
        <v>260</v>
      </c>
      <c r="C67" s="11" t="s">
        <v>27</v>
      </c>
      <c r="D67" s="12">
        <v>46166</v>
      </c>
      <c r="E67" s="13" t="s">
        <v>323</v>
      </c>
      <c r="F67" s="13" t="s">
        <v>97</v>
      </c>
      <c r="G67" s="10">
        <v>50580</v>
      </c>
      <c r="H67" s="10">
        <v>15730</v>
      </c>
      <c r="I67" s="10">
        <f t="shared" si="2"/>
        <v>34850</v>
      </c>
    </row>
    <row r="68" spans="1:9" s="7" customFormat="1" ht="15" customHeight="1" x14ac:dyDescent="0.25">
      <c r="A68" s="2">
        <f t="shared" si="3"/>
        <v>64</v>
      </c>
      <c r="B68" s="10" t="s">
        <v>261</v>
      </c>
      <c r="C68" s="11" t="s">
        <v>76</v>
      </c>
      <c r="D68" s="12">
        <v>46166</v>
      </c>
      <c r="E68" s="13" t="s">
        <v>157</v>
      </c>
      <c r="F68" s="13" t="s">
        <v>97</v>
      </c>
      <c r="G68" s="10">
        <v>49530</v>
      </c>
      <c r="H68" s="10">
        <v>15480</v>
      </c>
      <c r="I68" s="10">
        <f t="shared" si="2"/>
        <v>34050</v>
      </c>
    </row>
    <row r="69" spans="1:9" s="7" customFormat="1" ht="15" customHeight="1" x14ac:dyDescent="0.25">
      <c r="A69" s="2">
        <f t="shared" si="3"/>
        <v>65</v>
      </c>
      <c r="B69" s="10" t="s">
        <v>262</v>
      </c>
      <c r="C69" s="11" t="s">
        <v>164</v>
      </c>
      <c r="D69" s="12">
        <v>46166</v>
      </c>
      <c r="E69" s="13" t="s">
        <v>158</v>
      </c>
      <c r="F69" s="13" t="s">
        <v>97</v>
      </c>
      <c r="G69" s="10">
        <v>50470</v>
      </c>
      <c r="H69" s="10">
        <v>16330</v>
      </c>
      <c r="I69" s="10">
        <f t="shared" ref="I69:I100" si="4">G69-H69</f>
        <v>34140</v>
      </c>
    </row>
    <row r="70" spans="1:9" s="7" customFormat="1" ht="15" customHeight="1" x14ac:dyDescent="0.25">
      <c r="A70" s="2">
        <f t="shared" ref="A70:A101" si="5">A69+1</f>
        <v>66</v>
      </c>
      <c r="B70" s="10" t="s">
        <v>263</v>
      </c>
      <c r="C70" s="11" t="s">
        <v>50</v>
      </c>
      <c r="D70" s="12">
        <v>46166</v>
      </c>
      <c r="E70" s="13" t="s">
        <v>115</v>
      </c>
      <c r="F70" s="13" t="s">
        <v>97</v>
      </c>
      <c r="G70" s="10">
        <v>46770</v>
      </c>
      <c r="H70" s="10">
        <v>16000</v>
      </c>
      <c r="I70" s="10">
        <f t="shared" si="4"/>
        <v>30770</v>
      </c>
    </row>
    <row r="71" spans="1:9" s="7" customFormat="1" ht="15" customHeight="1" x14ac:dyDescent="0.25">
      <c r="A71" s="2">
        <f t="shared" si="5"/>
        <v>67</v>
      </c>
      <c r="B71" s="10" t="s">
        <v>264</v>
      </c>
      <c r="C71" s="11" t="s">
        <v>54</v>
      </c>
      <c r="D71" s="12">
        <v>46166</v>
      </c>
      <c r="E71" s="13" t="s">
        <v>116</v>
      </c>
      <c r="F71" s="13" t="s">
        <v>97</v>
      </c>
      <c r="G71" s="10">
        <v>44250</v>
      </c>
      <c r="H71" s="10">
        <v>15120</v>
      </c>
      <c r="I71" s="10">
        <f t="shared" si="4"/>
        <v>29130</v>
      </c>
    </row>
    <row r="72" spans="1:9" s="7" customFormat="1" ht="15" customHeight="1" x14ac:dyDescent="0.25">
      <c r="A72" s="2">
        <f t="shared" si="5"/>
        <v>68</v>
      </c>
      <c r="B72" s="10" t="s">
        <v>265</v>
      </c>
      <c r="C72" s="11" t="s">
        <v>89</v>
      </c>
      <c r="D72" s="12">
        <v>46166</v>
      </c>
      <c r="E72" s="13" t="s">
        <v>182</v>
      </c>
      <c r="F72" s="13" t="s">
        <v>97</v>
      </c>
      <c r="G72" s="10">
        <v>69860</v>
      </c>
      <c r="H72" s="10">
        <v>24270</v>
      </c>
      <c r="I72" s="10">
        <f t="shared" si="4"/>
        <v>45590</v>
      </c>
    </row>
    <row r="73" spans="1:9" s="7" customFormat="1" ht="15" customHeight="1" x14ac:dyDescent="0.25">
      <c r="A73" s="2">
        <f t="shared" si="5"/>
        <v>69</v>
      </c>
      <c r="B73" s="10" t="s">
        <v>266</v>
      </c>
      <c r="C73" s="11" t="s">
        <v>59</v>
      </c>
      <c r="D73" s="12">
        <v>46166</v>
      </c>
      <c r="E73" s="13" t="s">
        <v>159</v>
      </c>
      <c r="F73" s="13" t="s">
        <v>97</v>
      </c>
      <c r="G73" s="10">
        <v>50410</v>
      </c>
      <c r="H73" s="10">
        <v>15080</v>
      </c>
      <c r="I73" s="10">
        <f t="shared" si="4"/>
        <v>35330</v>
      </c>
    </row>
    <row r="74" spans="1:9" s="7" customFormat="1" ht="15" customHeight="1" x14ac:dyDescent="0.25">
      <c r="A74" s="2">
        <f t="shared" si="5"/>
        <v>70</v>
      </c>
      <c r="B74" s="10" t="s">
        <v>267</v>
      </c>
      <c r="C74" s="11" t="s">
        <v>123</v>
      </c>
      <c r="D74" s="12">
        <v>46166</v>
      </c>
      <c r="E74" s="13" t="s">
        <v>160</v>
      </c>
      <c r="F74" s="13" t="s">
        <v>97</v>
      </c>
      <c r="G74" s="10">
        <v>48420</v>
      </c>
      <c r="H74" s="10">
        <v>15700</v>
      </c>
      <c r="I74" s="10">
        <f t="shared" si="4"/>
        <v>32720</v>
      </c>
    </row>
    <row r="75" spans="1:9" s="7" customFormat="1" ht="15" customHeight="1" x14ac:dyDescent="0.25">
      <c r="A75" s="2">
        <f t="shared" si="5"/>
        <v>71</v>
      </c>
      <c r="B75" s="10" t="s">
        <v>268</v>
      </c>
      <c r="C75" s="11" t="s">
        <v>80</v>
      </c>
      <c r="D75" s="12">
        <v>46166</v>
      </c>
      <c r="E75" s="13" t="s">
        <v>324</v>
      </c>
      <c r="F75" s="13" t="s">
        <v>97</v>
      </c>
      <c r="G75" s="10">
        <v>45980</v>
      </c>
      <c r="H75" s="10">
        <v>16320</v>
      </c>
      <c r="I75" s="10">
        <f t="shared" si="4"/>
        <v>29660</v>
      </c>
    </row>
    <row r="76" spans="1:9" s="7" customFormat="1" ht="15" customHeight="1" x14ac:dyDescent="0.25">
      <c r="A76" s="2">
        <f t="shared" si="5"/>
        <v>72</v>
      </c>
      <c r="B76" s="10" t="s">
        <v>269</v>
      </c>
      <c r="C76" s="11" t="s">
        <v>81</v>
      </c>
      <c r="D76" s="12">
        <v>46166</v>
      </c>
      <c r="E76" s="13" t="s">
        <v>325</v>
      </c>
      <c r="F76" s="13" t="s">
        <v>97</v>
      </c>
      <c r="G76" s="10">
        <v>46110</v>
      </c>
      <c r="H76" s="10">
        <v>15300</v>
      </c>
      <c r="I76" s="10">
        <f t="shared" si="4"/>
        <v>30810</v>
      </c>
    </row>
    <row r="77" spans="1:9" s="7" customFormat="1" ht="15" customHeight="1" x14ac:dyDescent="0.25">
      <c r="A77" s="2">
        <f t="shared" si="5"/>
        <v>73</v>
      </c>
      <c r="B77" s="10" t="s">
        <v>270</v>
      </c>
      <c r="C77" s="11" t="s">
        <v>26</v>
      </c>
      <c r="D77" s="12">
        <v>46166</v>
      </c>
      <c r="E77" s="13" t="s">
        <v>325</v>
      </c>
      <c r="F77" s="13" t="s">
        <v>97</v>
      </c>
      <c r="G77" s="10">
        <v>44590</v>
      </c>
      <c r="H77" s="10">
        <v>15110</v>
      </c>
      <c r="I77" s="10">
        <f t="shared" si="4"/>
        <v>29480</v>
      </c>
    </row>
    <row r="78" spans="1:9" s="7" customFormat="1" ht="15" customHeight="1" x14ac:dyDescent="0.25">
      <c r="A78" s="2">
        <f t="shared" si="5"/>
        <v>74</v>
      </c>
      <c r="B78" s="10" t="s">
        <v>271</v>
      </c>
      <c r="C78" s="11" t="s">
        <v>119</v>
      </c>
      <c r="D78" s="12">
        <v>46166</v>
      </c>
      <c r="E78" s="13" t="s">
        <v>326</v>
      </c>
      <c r="F78" s="13" t="s">
        <v>97</v>
      </c>
      <c r="G78" s="10">
        <v>47510</v>
      </c>
      <c r="H78" s="10">
        <v>16590</v>
      </c>
      <c r="I78" s="10">
        <f t="shared" si="4"/>
        <v>30920</v>
      </c>
    </row>
    <row r="79" spans="1:9" s="7" customFormat="1" ht="15" customHeight="1" x14ac:dyDescent="0.25">
      <c r="A79" s="2">
        <f t="shared" si="5"/>
        <v>75</v>
      </c>
      <c r="B79" s="10" t="s">
        <v>272</v>
      </c>
      <c r="C79" s="11" t="s">
        <v>121</v>
      </c>
      <c r="D79" s="12">
        <v>46166</v>
      </c>
      <c r="E79" s="13" t="s">
        <v>145</v>
      </c>
      <c r="F79" s="13" t="s">
        <v>97</v>
      </c>
      <c r="G79" s="10">
        <v>63660</v>
      </c>
      <c r="H79" s="10">
        <v>19970</v>
      </c>
      <c r="I79" s="10">
        <f t="shared" si="4"/>
        <v>43690</v>
      </c>
    </row>
    <row r="80" spans="1:9" s="7" customFormat="1" ht="15" customHeight="1" x14ac:dyDescent="0.25">
      <c r="A80" s="2">
        <f t="shared" si="5"/>
        <v>76</v>
      </c>
      <c r="B80" s="10" t="s">
        <v>273</v>
      </c>
      <c r="C80" s="11" t="s">
        <v>129</v>
      </c>
      <c r="D80" s="12">
        <v>46166</v>
      </c>
      <c r="E80" s="13" t="s">
        <v>149</v>
      </c>
      <c r="F80" s="13" t="s">
        <v>97</v>
      </c>
      <c r="G80" s="10">
        <v>48600</v>
      </c>
      <c r="H80" s="10">
        <v>14950</v>
      </c>
      <c r="I80" s="10">
        <f t="shared" si="4"/>
        <v>33650</v>
      </c>
    </row>
    <row r="81" spans="1:9" s="7" customFormat="1" ht="15" customHeight="1" x14ac:dyDescent="0.25">
      <c r="A81" s="2">
        <f t="shared" si="5"/>
        <v>77</v>
      </c>
      <c r="B81" s="10" t="s">
        <v>274</v>
      </c>
      <c r="C81" s="11" t="s">
        <v>275</v>
      </c>
      <c r="D81" s="12">
        <v>46166</v>
      </c>
      <c r="E81" s="13" t="s">
        <v>183</v>
      </c>
      <c r="F81" s="13" t="s">
        <v>97</v>
      </c>
      <c r="G81" s="10">
        <v>53390</v>
      </c>
      <c r="H81" s="10">
        <v>19490</v>
      </c>
      <c r="I81" s="10">
        <f t="shared" si="4"/>
        <v>33900</v>
      </c>
    </row>
    <row r="82" spans="1:9" s="7" customFormat="1" ht="15" customHeight="1" x14ac:dyDescent="0.25">
      <c r="A82" s="2">
        <f t="shared" si="5"/>
        <v>78</v>
      </c>
      <c r="B82" s="10" t="s">
        <v>276</v>
      </c>
      <c r="C82" s="11" t="s">
        <v>151</v>
      </c>
      <c r="D82" s="12">
        <v>46166</v>
      </c>
      <c r="E82" s="13" t="s">
        <v>161</v>
      </c>
      <c r="F82" s="13" t="s">
        <v>97</v>
      </c>
      <c r="G82" s="10">
        <v>47010</v>
      </c>
      <c r="H82" s="10">
        <v>15980</v>
      </c>
      <c r="I82" s="10">
        <f t="shared" si="4"/>
        <v>31030</v>
      </c>
    </row>
    <row r="83" spans="1:9" s="7" customFormat="1" ht="15" customHeight="1" x14ac:dyDescent="0.25">
      <c r="A83" s="2">
        <f t="shared" si="5"/>
        <v>79</v>
      </c>
      <c r="B83" s="10" t="s">
        <v>277</v>
      </c>
      <c r="C83" s="11" t="s">
        <v>95</v>
      </c>
      <c r="D83" s="12">
        <v>46166</v>
      </c>
      <c r="E83" s="13" t="s">
        <v>144</v>
      </c>
      <c r="F83" s="13" t="s">
        <v>97</v>
      </c>
      <c r="G83" s="10">
        <v>47680</v>
      </c>
      <c r="H83" s="10">
        <v>14340</v>
      </c>
      <c r="I83" s="10">
        <f t="shared" si="4"/>
        <v>33340</v>
      </c>
    </row>
    <row r="84" spans="1:9" s="7" customFormat="1" ht="15" customHeight="1" x14ac:dyDescent="0.25">
      <c r="A84" s="2">
        <f t="shared" si="5"/>
        <v>80</v>
      </c>
      <c r="B84" s="10" t="s">
        <v>278</v>
      </c>
      <c r="C84" s="11" t="s">
        <v>40</v>
      </c>
      <c r="D84" s="12">
        <v>46166</v>
      </c>
      <c r="E84" s="13" t="s">
        <v>327</v>
      </c>
      <c r="F84" s="13" t="s">
        <v>97</v>
      </c>
      <c r="G84" s="10">
        <v>46850</v>
      </c>
      <c r="H84" s="10">
        <v>15190</v>
      </c>
      <c r="I84" s="10">
        <f t="shared" si="4"/>
        <v>31660</v>
      </c>
    </row>
    <row r="85" spans="1:9" s="7" customFormat="1" ht="15" customHeight="1" x14ac:dyDescent="0.25">
      <c r="A85" s="2">
        <f t="shared" si="5"/>
        <v>81</v>
      </c>
      <c r="B85" s="10" t="s">
        <v>279</v>
      </c>
      <c r="C85" s="11" t="s">
        <v>52</v>
      </c>
      <c r="D85" s="12">
        <v>46166</v>
      </c>
      <c r="E85" s="13" t="s">
        <v>184</v>
      </c>
      <c r="F85" s="13" t="s">
        <v>97</v>
      </c>
      <c r="G85" s="10">
        <v>48610</v>
      </c>
      <c r="H85" s="10">
        <v>15720</v>
      </c>
      <c r="I85" s="10">
        <f t="shared" si="4"/>
        <v>32890</v>
      </c>
    </row>
    <row r="86" spans="1:9" s="7" customFormat="1" ht="15" customHeight="1" x14ac:dyDescent="0.25">
      <c r="A86" s="2">
        <f t="shared" si="5"/>
        <v>82</v>
      </c>
      <c r="B86" s="10" t="s">
        <v>280</v>
      </c>
      <c r="C86" s="11" t="s">
        <v>68</v>
      </c>
      <c r="D86" s="12">
        <v>46166</v>
      </c>
      <c r="E86" s="13" t="s">
        <v>313</v>
      </c>
      <c r="F86" s="13" t="s">
        <v>97</v>
      </c>
      <c r="G86" s="10">
        <v>45260</v>
      </c>
      <c r="H86" s="10">
        <v>14400</v>
      </c>
      <c r="I86" s="10">
        <f t="shared" si="4"/>
        <v>30860</v>
      </c>
    </row>
    <row r="87" spans="1:9" s="7" customFormat="1" ht="15" customHeight="1" x14ac:dyDescent="0.25">
      <c r="A87" s="2">
        <f t="shared" si="5"/>
        <v>83</v>
      </c>
      <c r="B87" s="10" t="s">
        <v>281</v>
      </c>
      <c r="C87" s="11" t="s">
        <v>35</v>
      </c>
      <c r="D87" s="12">
        <v>46166</v>
      </c>
      <c r="E87" s="13" t="s">
        <v>314</v>
      </c>
      <c r="F87" s="13" t="s">
        <v>97</v>
      </c>
      <c r="G87" s="10">
        <v>43820</v>
      </c>
      <c r="H87" s="10">
        <v>13980</v>
      </c>
      <c r="I87" s="10">
        <f t="shared" si="4"/>
        <v>29840</v>
      </c>
    </row>
    <row r="88" spans="1:9" s="7" customFormat="1" ht="15" customHeight="1" x14ac:dyDescent="0.25">
      <c r="A88" s="2">
        <f t="shared" si="5"/>
        <v>84</v>
      </c>
      <c r="B88" s="10" t="s">
        <v>282</v>
      </c>
      <c r="C88" s="11" t="s">
        <v>71</v>
      </c>
      <c r="D88" s="12">
        <v>46166</v>
      </c>
      <c r="E88" s="13" t="s">
        <v>187</v>
      </c>
      <c r="F88" s="13" t="s">
        <v>97</v>
      </c>
      <c r="G88" s="10">
        <v>47210</v>
      </c>
      <c r="H88" s="10">
        <v>15290</v>
      </c>
      <c r="I88" s="10">
        <f t="shared" si="4"/>
        <v>31920</v>
      </c>
    </row>
    <row r="89" spans="1:9" s="7" customFormat="1" ht="15" customHeight="1" x14ac:dyDescent="0.25">
      <c r="A89" s="2">
        <f t="shared" si="5"/>
        <v>85</v>
      </c>
      <c r="B89" s="10" t="s">
        <v>283</v>
      </c>
      <c r="C89" s="11" t="s">
        <v>51</v>
      </c>
      <c r="D89" s="12">
        <v>46166</v>
      </c>
      <c r="E89" s="13" t="s">
        <v>174</v>
      </c>
      <c r="F89" s="13" t="s">
        <v>97</v>
      </c>
      <c r="G89" s="10">
        <v>47610</v>
      </c>
      <c r="H89" s="10">
        <v>15980</v>
      </c>
      <c r="I89" s="10">
        <f t="shared" si="4"/>
        <v>31630</v>
      </c>
    </row>
    <row r="90" spans="1:9" s="7" customFormat="1" ht="15" customHeight="1" x14ac:dyDescent="0.25">
      <c r="A90" s="2">
        <f t="shared" si="5"/>
        <v>86</v>
      </c>
      <c r="B90" s="10" t="s">
        <v>284</v>
      </c>
      <c r="C90" s="11" t="s">
        <v>82</v>
      </c>
      <c r="D90" s="12">
        <v>46166</v>
      </c>
      <c r="E90" s="13" t="s">
        <v>162</v>
      </c>
      <c r="F90" s="13" t="s">
        <v>97</v>
      </c>
      <c r="G90" s="10">
        <v>46460</v>
      </c>
      <c r="H90" s="10">
        <v>14920</v>
      </c>
      <c r="I90" s="10">
        <f t="shared" si="4"/>
        <v>31540</v>
      </c>
    </row>
    <row r="91" spans="1:9" s="7" customFormat="1" ht="15" customHeight="1" x14ac:dyDescent="0.25">
      <c r="A91" s="2">
        <f t="shared" si="5"/>
        <v>87</v>
      </c>
      <c r="B91" s="10" t="s">
        <v>285</v>
      </c>
      <c r="C91" s="11" t="s">
        <v>120</v>
      </c>
      <c r="D91" s="12">
        <v>46166</v>
      </c>
      <c r="E91" s="13" t="s">
        <v>328</v>
      </c>
      <c r="F91" s="13" t="s">
        <v>97</v>
      </c>
      <c r="G91" s="10">
        <v>45750</v>
      </c>
      <c r="H91" s="10">
        <v>15180</v>
      </c>
      <c r="I91" s="10">
        <f t="shared" si="4"/>
        <v>30570</v>
      </c>
    </row>
    <row r="92" spans="1:9" s="7" customFormat="1" ht="15" customHeight="1" x14ac:dyDescent="0.25">
      <c r="A92" s="2">
        <f t="shared" si="5"/>
        <v>88</v>
      </c>
      <c r="B92" s="10" t="s">
        <v>286</v>
      </c>
      <c r="C92" s="11" t="s">
        <v>34</v>
      </c>
      <c r="D92" s="12">
        <v>46166</v>
      </c>
      <c r="E92" s="13" t="s">
        <v>189</v>
      </c>
      <c r="F92" s="13" t="s">
        <v>97</v>
      </c>
      <c r="G92" s="10">
        <v>50830</v>
      </c>
      <c r="H92" s="10">
        <v>17510</v>
      </c>
      <c r="I92" s="10">
        <f t="shared" si="4"/>
        <v>33320</v>
      </c>
    </row>
    <row r="93" spans="1:9" s="7" customFormat="1" ht="15" customHeight="1" x14ac:dyDescent="0.25">
      <c r="A93" s="2">
        <f t="shared" si="5"/>
        <v>89</v>
      </c>
      <c r="B93" s="10" t="s">
        <v>287</v>
      </c>
      <c r="C93" s="11" t="s">
        <v>90</v>
      </c>
      <c r="D93" s="12">
        <v>46166</v>
      </c>
      <c r="E93" s="13" t="s">
        <v>139</v>
      </c>
      <c r="F93" s="13" t="s">
        <v>97</v>
      </c>
      <c r="G93" s="10">
        <v>47430</v>
      </c>
      <c r="H93" s="10">
        <v>15070</v>
      </c>
      <c r="I93" s="10">
        <f t="shared" si="4"/>
        <v>32360</v>
      </c>
    </row>
    <row r="94" spans="1:9" s="7" customFormat="1" ht="15" customHeight="1" x14ac:dyDescent="0.25">
      <c r="A94" s="2">
        <f t="shared" si="5"/>
        <v>90</v>
      </c>
      <c r="B94" s="10" t="s">
        <v>288</v>
      </c>
      <c r="C94" s="11" t="s">
        <v>125</v>
      </c>
      <c r="D94" s="12">
        <v>46166</v>
      </c>
      <c r="E94" s="13" t="s">
        <v>329</v>
      </c>
      <c r="F94" s="13" t="s">
        <v>97</v>
      </c>
      <c r="G94" s="10">
        <v>47200</v>
      </c>
      <c r="H94" s="10">
        <v>16020</v>
      </c>
      <c r="I94" s="10">
        <f t="shared" si="4"/>
        <v>31180</v>
      </c>
    </row>
    <row r="95" spans="1:9" s="7" customFormat="1" ht="15" customHeight="1" x14ac:dyDescent="0.25">
      <c r="A95" s="2">
        <f t="shared" si="5"/>
        <v>91</v>
      </c>
      <c r="B95" s="10" t="s">
        <v>289</v>
      </c>
      <c r="C95" s="11" t="s">
        <v>178</v>
      </c>
      <c r="D95" s="12">
        <v>46166</v>
      </c>
      <c r="E95" s="13" t="s">
        <v>330</v>
      </c>
      <c r="F95" s="13" t="s">
        <v>97</v>
      </c>
      <c r="G95" s="10">
        <v>47530</v>
      </c>
      <c r="H95" s="10">
        <v>15600</v>
      </c>
      <c r="I95" s="10">
        <f t="shared" si="4"/>
        <v>31930</v>
      </c>
    </row>
    <row r="96" spans="1:9" s="7" customFormat="1" ht="15" customHeight="1" x14ac:dyDescent="0.25">
      <c r="A96" s="2">
        <f t="shared" si="5"/>
        <v>92</v>
      </c>
      <c r="B96" s="10" t="s">
        <v>290</v>
      </c>
      <c r="C96" s="11" t="s">
        <v>73</v>
      </c>
      <c r="D96" s="12">
        <v>46166</v>
      </c>
      <c r="E96" s="13" t="s">
        <v>331</v>
      </c>
      <c r="F96" s="13" t="s">
        <v>97</v>
      </c>
      <c r="G96" s="10">
        <v>51190</v>
      </c>
      <c r="H96" s="10">
        <v>16820</v>
      </c>
      <c r="I96" s="10">
        <f t="shared" si="4"/>
        <v>34370</v>
      </c>
    </row>
    <row r="97" spans="1:9" s="7" customFormat="1" ht="15" customHeight="1" x14ac:dyDescent="0.25">
      <c r="A97" s="2">
        <f t="shared" si="5"/>
        <v>93</v>
      </c>
      <c r="B97" s="10" t="s">
        <v>291</v>
      </c>
      <c r="C97" s="11" t="s">
        <v>64</v>
      </c>
      <c r="D97" s="12">
        <v>46166</v>
      </c>
      <c r="E97" s="13" t="s">
        <v>332</v>
      </c>
      <c r="F97" s="13" t="s">
        <v>97</v>
      </c>
      <c r="G97" s="10">
        <v>46470</v>
      </c>
      <c r="H97" s="10">
        <v>14810</v>
      </c>
      <c r="I97" s="10">
        <f t="shared" si="4"/>
        <v>31660</v>
      </c>
    </row>
    <row r="98" spans="1:9" s="7" customFormat="1" ht="15" customHeight="1" x14ac:dyDescent="0.25">
      <c r="A98" s="2">
        <f t="shared" si="5"/>
        <v>94</v>
      </c>
      <c r="B98" s="10" t="s">
        <v>292</v>
      </c>
      <c r="C98" s="11" t="s">
        <v>25</v>
      </c>
      <c r="D98" s="12">
        <v>46166</v>
      </c>
      <c r="E98" s="13" t="s">
        <v>147</v>
      </c>
      <c r="F98" s="13" t="s">
        <v>97</v>
      </c>
      <c r="G98" s="10">
        <v>68670</v>
      </c>
      <c r="H98" s="10">
        <v>18690</v>
      </c>
      <c r="I98" s="10">
        <f t="shared" si="4"/>
        <v>49980</v>
      </c>
    </row>
    <row r="99" spans="1:9" s="7" customFormat="1" ht="15" customHeight="1" x14ac:dyDescent="0.25">
      <c r="A99" s="2">
        <f t="shared" si="5"/>
        <v>95</v>
      </c>
      <c r="B99" s="10" t="s">
        <v>293</v>
      </c>
      <c r="C99" s="11" t="s">
        <v>43</v>
      </c>
      <c r="D99" s="12">
        <v>46166</v>
      </c>
      <c r="E99" s="13" t="s">
        <v>333</v>
      </c>
      <c r="F99" s="13" t="s">
        <v>97</v>
      </c>
      <c r="G99" s="10">
        <v>50180</v>
      </c>
      <c r="H99" s="10">
        <v>15460</v>
      </c>
      <c r="I99" s="10">
        <f t="shared" si="4"/>
        <v>34720</v>
      </c>
    </row>
    <row r="100" spans="1:9" s="7" customFormat="1" ht="15" customHeight="1" x14ac:dyDescent="0.25">
      <c r="A100" s="2">
        <f t="shared" si="5"/>
        <v>96</v>
      </c>
      <c r="B100" s="10" t="s">
        <v>294</v>
      </c>
      <c r="C100" s="11" t="s">
        <v>132</v>
      </c>
      <c r="D100" s="12">
        <v>46166</v>
      </c>
      <c r="E100" s="13" t="s">
        <v>140</v>
      </c>
      <c r="F100" s="13" t="s">
        <v>97</v>
      </c>
      <c r="G100" s="10">
        <v>47420</v>
      </c>
      <c r="H100" s="10">
        <v>14890</v>
      </c>
      <c r="I100" s="10">
        <f t="shared" si="4"/>
        <v>32530</v>
      </c>
    </row>
    <row r="101" spans="1:9" s="7" customFormat="1" ht="15" customHeight="1" x14ac:dyDescent="0.25">
      <c r="A101" s="2">
        <f t="shared" si="5"/>
        <v>97</v>
      </c>
      <c r="B101" s="10" t="s">
        <v>295</v>
      </c>
      <c r="C101" s="11" t="s">
        <v>88</v>
      </c>
      <c r="D101" s="12">
        <v>46167</v>
      </c>
      <c r="E101" s="13" t="s">
        <v>334</v>
      </c>
      <c r="F101" s="13" t="s">
        <v>97</v>
      </c>
      <c r="G101" s="10">
        <v>47540</v>
      </c>
      <c r="H101" s="10">
        <v>14360</v>
      </c>
      <c r="I101" s="10">
        <f t="shared" ref="I101:I122" si="6">G101-H101</f>
        <v>33180</v>
      </c>
    </row>
    <row r="102" spans="1:9" s="7" customFormat="1" ht="15" customHeight="1" x14ac:dyDescent="0.25">
      <c r="A102" s="2">
        <f t="shared" ref="A102:A122" si="7">A101+1</f>
        <v>98</v>
      </c>
      <c r="B102" s="10" t="s">
        <v>296</v>
      </c>
      <c r="C102" s="11" t="s">
        <v>163</v>
      </c>
      <c r="D102" s="12">
        <v>46167</v>
      </c>
      <c r="E102" s="13" t="s">
        <v>335</v>
      </c>
      <c r="F102" s="13" t="s">
        <v>97</v>
      </c>
      <c r="G102" s="10">
        <v>45050</v>
      </c>
      <c r="H102" s="10">
        <v>16090</v>
      </c>
      <c r="I102" s="10">
        <f t="shared" si="6"/>
        <v>28960</v>
      </c>
    </row>
    <row r="103" spans="1:9" s="7" customFormat="1" ht="15" customHeight="1" x14ac:dyDescent="0.25">
      <c r="A103" s="2">
        <f t="shared" si="7"/>
        <v>99</v>
      </c>
      <c r="B103" s="10" t="s">
        <v>297</v>
      </c>
      <c r="C103" s="11" t="s">
        <v>152</v>
      </c>
      <c r="D103" s="12">
        <v>46167</v>
      </c>
      <c r="E103" s="13" t="s">
        <v>336</v>
      </c>
      <c r="F103" s="13" t="s">
        <v>97</v>
      </c>
      <c r="G103" s="10">
        <v>48900</v>
      </c>
      <c r="H103" s="10">
        <v>15280</v>
      </c>
      <c r="I103" s="10">
        <f t="shared" si="6"/>
        <v>33620</v>
      </c>
    </row>
    <row r="104" spans="1:9" s="7" customFormat="1" ht="15" customHeight="1" x14ac:dyDescent="0.25">
      <c r="A104" s="2">
        <f t="shared" si="7"/>
        <v>100</v>
      </c>
      <c r="B104" s="10" t="s">
        <v>298</v>
      </c>
      <c r="C104" s="11" t="s">
        <v>85</v>
      </c>
      <c r="D104" s="12">
        <v>46167</v>
      </c>
      <c r="E104" s="13" t="s">
        <v>337</v>
      </c>
      <c r="F104" s="13" t="s">
        <v>97</v>
      </c>
      <c r="G104" s="10">
        <v>46720</v>
      </c>
      <c r="H104" s="10">
        <v>15310</v>
      </c>
      <c r="I104" s="10">
        <f t="shared" si="6"/>
        <v>31410</v>
      </c>
    </row>
    <row r="105" spans="1:9" s="7" customFormat="1" ht="15" customHeight="1" x14ac:dyDescent="0.25">
      <c r="A105" s="2">
        <f t="shared" si="7"/>
        <v>101</v>
      </c>
      <c r="B105" s="10" t="s">
        <v>299</v>
      </c>
      <c r="C105" s="11" t="s">
        <v>124</v>
      </c>
      <c r="D105" s="12">
        <v>46167</v>
      </c>
      <c r="E105" s="13" t="s">
        <v>143</v>
      </c>
      <c r="F105" s="13" t="s">
        <v>97</v>
      </c>
      <c r="G105" s="10">
        <v>47000</v>
      </c>
      <c r="H105" s="10">
        <v>16240</v>
      </c>
      <c r="I105" s="10">
        <f t="shared" si="6"/>
        <v>30760</v>
      </c>
    </row>
    <row r="106" spans="1:9" s="7" customFormat="1" ht="15" customHeight="1" x14ac:dyDescent="0.25">
      <c r="A106" s="2">
        <f t="shared" si="7"/>
        <v>102</v>
      </c>
      <c r="B106" s="10" t="s">
        <v>300</v>
      </c>
      <c r="C106" s="11" t="s">
        <v>46</v>
      </c>
      <c r="D106" s="12">
        <v>46167</v>
      </c>
      <c r="E106" s="13" t="s">
        <v>175</v>
      </c>
      <c r="F106" s="13" t="s">
        <v>97</v>
      </c>
      <c r="G106" s="10">
        <v>45170</v>
      </c>
      <c r="H106" s="10">
        <v>15850</v>
      </c>
      <c r="I106" s="10">
        <f t="shared" si="6"/>
        <v>29320</v>
      </c>
    </row>
    <row r="107" spans="1:9" s="7" customFormat="1" ht="15" customHeight="1" x14ac:dyDescent="0.25">
      <c r="A107" s="2">
        <f t="shared" si="7"/>
        <v>103</v>
      </c>
      <c r="B107" s="10" t="s">
        <v>301</v>
      </c>
      <c r="C107" s="11" t="s">
        <v>69</v>
      </c>
      <c r="D107" s="12">
        <v>46167</v>
      </c>
      <c r="E107" s="13" t="s">
        <v>338</v>
      </c>
      <c r="F107" s="13" t="s">
        <v>97</v>
      </c>
      <c r="G107" s="10">
        <v>48210</v>
      </c>
      <c r="H107" s="10">
        <v>16330</v>
      </c>
      <c r="I107" s="10">
        <f t="shared" si="6"/>
        <v>31880</v>
      </c>
    </row>
    <row r="108" spans="1:9" s="7" customFormat="1" ht="15" customHeight="1" x14ac:dyDescent="0.25">
      <c r="A108" s="2">
        <f t="shared" si="7"/>
        <v>104</v>
      </c>
      <c r="B108" s="10" t="s">
        <v>302</v>
      </c>
      <c r="C108" s="11" t="s">
        <v>118</v>
      </c>
      <c r="D108" s="12">
        <v>46167</v>
      </c>
      <c r="E108" s="13" t="s">
        <v>339</v>
      </c>
      <c r="F108" s="13" t="s">
        <v>97</v>
      </c>
      <c r="G108" s="10">
        <v>46940</v>
      </c>
      <c r="H108" s="10">
        <v>16040</v>
      </c>
      <c r="I108" s="10">
        <f t="shared" si="6"/>
        <v>30900</v>
      </c>
    </row>
    <row r="109" spans="1:9" s="7" customFormat="1" ht="15" customHeight="1" x14ac:dyDescent="0.25">
      <c r="A109" s="2">
        <f t="shared" si="7"/>
        <v>105</v>
      </c>
      <c r="B109" s="10" t="s">
        <v>303</v>
      </c>
      <c r="C109" s="11" t="s">
        <v>30</v>
      </c>
      <c r="D109" s="12">
        <v>46167</v>
      </c>
      <c r="E109" s="13" t="s">
        <v>340</v>
      </c>
      <c r="F109" s="13" t="s">
        <v>97</v>
      </c>
      <c r="G109" s="10">
        <v>67960</v>
      </c>
      <c r="H109" s="10">
        <v>24650</v>
      </c>
      <c r="I109" s="10">
        <f t="shared" si="6"/>
        <v>43310</v>
      </c>
    </row>
    <row r="110" spans="1:9" s="7" customFormat="1" ht="15" customHeight="1" x14ac:dyDescent="0.25">
      <c r="A110" s="2">
        <f t="shared" si="7"/>
        <v>106</v>
      </c>
      <c r="B110" s="10" t="s">
        <v>304</v>
      </c>
      <c r="C110" s="11" t="s">
        <v>41</v>
      </c>
      <c r="D110" s="12">
        <v>46167</v>
      </c>
      <c r="E110" s="13" t="s">
        <v>341</v>
      </c>
      <c r="F110" s="13" t="s">
        <v>97</v>
      </c>
      <c r="G110" s="10">
        <v>48630</v>
      </c>
      <c r="H110" s="10">
        <v>14730</v>
      </c>
      <c r="I110" s="10">
        <f t="shared" si="6"/>
        <v>33900</v>
      </c>
    </row>
    <row r="111" spans="1:9" s="7" customFormat="1" ht="15" customHeight="1" x14ac:dyDescent="0.25">
      <c r="A111" s="2">
        <f t="shared" si="7"/>
        <v>107</v>
      </c>
      <c r="B111" s="10" t="s">
        <v>305</v>
      </c>
      <c r="C111" s="11" t="s">
        <v>84</v>
      </c>
      <c r="D111" s="12">
        <v>46167</v>
      </c>
      <c r="E111" s="13" t="s">
        <v>342</v>
      </c>
      <c r="F111" s="13" t="s">
        <v>97</v>
      </c>
      <c r="G111" s="10">
        <v>46940</v>
      </c>
      <c r="H111" s="10">
        <v>15630</v>
      </c>
      <c r="I111" s="10">
        <f t="shared" si="6"/>
        <v>31310</v>
      </c>
    </row>
    <row r="112" spans="1:9" s="7" customFormat="1" ht="15" customHeight="1" x14ac:dyDescent="0.25">
      <c r="A112" s="2">
        <f t="shared" si="7"/>
        <v>108</v>
      </c>
      <c r="B112" s="10" t="s">
        <v>306</v>
      </c>
      <c r="C112" s="11" t="s">
        <v>86</v>
      </c>
      <c r="D112" s="12">
        <v>46167</v>
      </c>
      <c r="E112" s="13" t="s">
        <v>343</v>
      </c>
      <c r="F112" s="13" t="s">
        <v>97</v>
      </c>
      <c r="G112" s="10">
        <v>45970</v>
      </c>
      <c r="H112" s="10">
        <v>16550</v>
      </c>
      <c r="I112" s="10">
        <f t="shared" si="6"/>
        <v>29420</v>
      </c>
    </row>
    <row r="113" spans="1:9" s="7" customFormat="1" ht="15" customHeight="1" x14ac:dyDescent="0.25">
      <c r="A113" s="2">
        <f t="shared" si="7"/>
        <v>109</v>
      </c>
      <c r="B113" s="10" t="s">
        <v>307</v>
      </c>
      <c r="C113" s="11" t="s">
        <v>83</v>
      </c>
      <c r="D113" s="12">
        <v>46167</v>
      </c>
      <c r="E113" s="13" t="s">
        <v>344</v>
      </c>
      <c r="F113" s="13" t="s">
        <v>97</v>
      </c>
      <c r="G113" s="10">
        <v>49120</v>
      </c>
      <c r="H113" s="10">
        <v>16030</v>
      </c>
      <c r="I113" s="10">
        <f t="shared" si="6"/>
        <v>33090</v>
      </c>
    </row>
    <row r="114" spans="1:9" s="7" customFormat="1" ht="15" customHeight="1" x14ac:dyDescent="0.25">
      <c r="A114" s="2">
        <f t="shared" si="7"/>
        <v>110</v>
      </c>
      <c r="B114" s="10" t="s">
        <v>308</v>
      </c>
      <c r="C114" s="11" t="s">
        <v>45</v>
      </c>
      <c r="D114" s="12">
        <v>46167</v>
      </c>
      <c r="E114" s="13" t="s">
        <v>345</v>
      </c>
      <c r="F114" s="13" t="s">
        <v>97</v>
      </c>
      <c r="G114" s="10">
        <v>47630</v>
      </c>
      <c r="H114" s="10">
        <v>15950</v>
      </c>
      <c r="I114" s="10">
        <f t="shared" si="6"/>
        <v>31680</v>
      </c>
    </row>
    <row r="115" spans="1:9" s="7" customFormat="1" ht="15" customHeight="1" x14ac:dyDescent="0.25">
      <c r="A115" s="2">
        <f t="shared" si="7"/>
        <v>111</v>
      </c>
      <c r="B115" s="10" t="s">
        <v>309</v>
      </c>
      <c r="C115" s="11" t="s">
        <v>38</v>
      </c>
      <c r="D115" s="12">
        <v>46167</v>
      </c>
      <c r="E115" s="13" t="s">
        <v>346</v>
      </c>
      <c r="F115" s="13" t="s">
        <v>97</v>
      </c>
      <c r="G115" s="10">
        <v>48470</v>
      </c>
      <c r="H115" s="10">
        <v>15630</v>
      </c>
      <c r="I115" s="10">
        <f t="shared" si="6"/>
        <v>32840</v>
      </c>
    </row>
    <row r="116" spans="1:9" s="7" customFormat="1" ht="15" customHeight="1" x14ac:dyDescent="0.25">
      <c r="A116" s="2">
        <f t="shared" si="7"/>
        <v>112</v>
      </c>
      <c r="B116" s="10" t="s">
        <v>310</v>
      </c>
      <c r="C116" s="11" t="s">
        <v>60</v>
      </c>
      <c r="D116" s="12">
        <v>46167</v>
      </c>
      <c r="E116" s="13" t="s">
        <v>190</v>
      </c>
      <c r="F116" s="13" t="s">
        <v>97</v>
      </c>
      <c r="G116" s="10">
        <v>43950</v>
      </c>
      <c r="H116" s="10">
        <v>13210</v>
      </c>
      <c r="I116" s="10">
        <f t="shared" si="6"/>
        <v>30740</v>
      </c>
    </row>
    <row r="117" spans="1:9" s="7" customFormat="1" ht="15" customHeight="1" x14ac:dyDescent="0.25">
      <c r="A117" s="2">
        <f t="shared" si="7"/>
        <v>113</v>
      </c>
      <c r="B117" s="10" t="s">
        <v>311</v>
      </c>
      <c r="C117" s="11" t="s">
        <v>94</v>
      </c>
      <c r="D117" s="12">
        <v>46167</v>
      </c>
      <c r="E117" s="13" t="s">
        <v>347</v>
      </c>
      <c r="F117" s="13" t="s">
        <v>97</v>
      </c>
      <c r="G117" s="10">
        <v>46250</v>
      </c>
      <c r="H117" s="10">
        <v>14230</v>
      </c>
      <c r="I117" s="10">
        <f t="shared" si="6"/>
        <v>32020</v>
      </c>
    </row>
    <row r="118" spans="1:9" s="7" customFormat="1" ht="15" customHeight="1" x14ac:dyDescent="0.25">
      <c r="A118" s="2">
        <f t="shared" si="7"/>
        <v>114</v>
      </c>
      <c r="B118" s="10" t="s">
        <v>312</v>
      </c>
      <c r="C118" s="11" t="s">
        <v>131</v>
      </c>
      <c r="D118" s="12">
        <v>46167</v>
      </c>
      <c r="E118" s="13" t="s">
        <v>141</v>
      </c>
      <c r="F118" s="13" t="s">
        <v>97</v>
      </c>
      <c r="G118" s="10">
        <v>48630</v>
      </c>
      <c r="H118" s="10">
        <v>15950</v>
      </c>
      <c r="I118" s="10">
        <f t="shared" si="6"/>
        <v>32680</v>
      </c>
    </row>
    <row r="119" spans="1:9" s="7" customFormat="1" ht="15" customHeight="1" x14ac:dyDescent="0.25">
      <c r="A119" s="2">
        <f t="shared" si="7"/>
        <v>115</v>
      </c>
      <c r="B119" s="10" t="s">
        <v>348</v>
      </c>
      <c r="C119" s="11" t="s">
        <v>96</v>
      </c>
      <c r="D119" s="12">
        <v>46167</v>
      </c>
      <c r="E119" s="45">
        <v>0.38750000000000001</v>
      </c>
      <c r="F119" s="13" t="s">
        <v>97</v>
      </c>
      <c r="G119" s="10">
        <v>46790</v>
      </c>
      <c r="H119" s="10">
        <v>14560</v>
      </c>
      <c r="I119" s="10">
        <f t="shared" si="6"/>
        <v>32230</v>
      </c>
    </row>
    <row r="120" spans="1:9" s="7" customFormat="1" ht="15" customHeight="1" x14ac:dyDescent="0.25">
      <c r="A120" s="2">
        <f t="shared" si="7"/>
        <v>116</v>
      </c>
      <c r="B120" s="10" t="s">
        <v>349</v>
      </c>
      <c r="C120" s="11" t="s">
        <v>185</v>
      </c>
      <c r="D120" s="12">
        <v>46167</v>
      </c>
      <c r="E120" s="45">
        <v>0.38819444444444445</v>
      </c>
      <c r="F120" s="13" t="s">
        <v>97</v>
      </c>
      <c r="G120" s="10">
        <v>46160</v>
      </c>
      <c r="H120" s="10">
        <v>15240</v>
      </c>
      <c r="I120" s="10">
        <f t="shared" si="6"/>
        <v>30920</v>
      </c>
    </row>
    <row r="121" spans="1:9" s="7" customFormat="1" ht="15" customHeight="1" x14ac:dyDescent="0.25">
      <c r="A121" s="2">
        <f t="shared" si="7"/>
        <v>117</v>
      </c>
      <c r="B121" s="10" t="s">
        <v>350</v>
      </c>
      <c r="C121" s="11" t="s">
        <v>192</v>
      </c>
      <c r="D121" s="12">
        <v>46167</v>
      </c>
      <c r="E121" s="45">
        <v>0.49791666666666667</v>
      </c>
      <c r="F121" s="13" t="s">
        <v>97</v>
      </c>
      <c r="G121" s="10">
        <v>46090</v>
      </c>
      <c r="H121" s="10">
        <v>15470</v>
      </c>
      <c r="I121" s="10">
        <f t="shared" si="6"/>
        <v>30620</v>
      </c>
    </row>
    <row r="122" spans="1:9" s="7" customFormat="1" ht="15" customHeight="1" x14ac:dyDescent="0.25">
      <c r="A122" s="2">
        <f t="shared" si="7"/>
        <v>118</v>
      </c>
      <c r="B122" s="10" t="s">
        <v>351</v>
      </c>
      <c r="C122" s="11" t="s">
        <v>177</v>
      </c>
      <c r="D122" s="12">
        <v>46167</v>
      </c>
      <c r="E122" s="45">
        <v>0.84166666666666667</v>
      </c>
      <c r="F122" s="13" t="s">
        <v>97</v>
      </c>
      <c r="G122" s="10">
        <v>45630</v>
      </c>
      <c r="H122" s="10">
        <v>16070</v>
      </c>
      <c r="I122" s="10">
        <f t="shared" si="6"/>
        <v>29560</v>
      </c>
    </row>
    <row r="123" spans="1:9" s="7" customFormat="1" ht="15" customHeight="1" x14ac:dyDescent="0.25">
      <c r="B123" s="29"/>
      <c r="C123" s="30"/>
      <c r="D123" s="31"/>
      <c r="E123" s="32"/>
      <c r="F123" s="32"/>
      <c r="G123" s="29"/>
      <c r="H123" s="33"/>
      <c r="I123" s="33"/>
    </row>
    <row r="124" spans="1:9" s="7" customFormat="1" ht="15" customHeight="1" x14ac:dyDescent="0.25">
      <c r="G124" s="6" t="s">
        <v>9</v>
      </c>
      <c r="H124" s="6">
        <f>COUNTIF(I5:I122,"&gt;0")</f>
        <v>118</v>
      </c>
      <c r="I124" s="24">
        <f>SUM(I5:I122)/1000</f>
        <v>3832.6</v>
      </c>
    </row>
    <row r="125" spans="1:9" s="7" customFormat="1" ht="15" customHeight="1" x14ac:dyDescent="0.25">
      <c r="E125" s="46"/>
      <c r="H125" s="27"/>
      <c r="I125" s="28"/>
    </row>
    <row r="126" spans="1:9" s="7" customFormat="1" ht="15" customHeight="1" x14ac:dyDescent="0.25">
      <c r="E126" s="46"/>
    </row>
    <row r="127" spans="1:9" s="7" customFormat="1" ht="15" customHeight="1" x14ac:dyDescent="0.25">
      <c r="A127" s="47" t="s">
        <v>11</v>
      </c>
      <c r="B127" s="47"/>
      <c r="C127" s="47"/>
      <c r="D127" s="38"/>
      <c r="E127" s="38"/>
      <c r="F127" s="38"/>
      <c r="G127" s="47" t="s">
        <v>10</v>
      </c>
      <c r="H127" s="47"/>
      <c r="I127" s="47"/>
    </row>
    <row r="128" spans="1:9" s="7" customFormat="1" ht="15" customHeight="1" x14ac:dyDescent="0.25">
      <c r="A128" s="47" t="s">
        <v>22</v>
      </c>
      <c r="B128" s="47"/>
      <c r="C128" s="47"/>
      <c r="D128" s="38"/>
      <c r="E128" s="38"/>
      <c r="F128" s="38"/>
      <c r="G128" s="47" t="s">
        <v>23</v>
      </c>
      <c r="H128" s="47"/>
      <c r="I128" s="47"/>
    </row>
    <row r="129" spans="1:9" s="7" customFormat="1" ht="15" customHeight="1" x14ac:dyDescent="0.25">
      <c r="A129" s="38"/>
      <c r="B129" s="38"/>
      <c r="C129" s="38"/>
      <c r="D129" s="38"/>
      <c r="E129" s="38"/>
      <c r="F129" s="38"/>
      <c r="G129" s="38"/>
      <c r="H129" s="38"/>
      <c r="I129" s="38"/>
    </row>
    <row r="130" spans="1:9" s="7" customFormat="1" ht="15" customHeight="1" x14ac:dyDescent="0.25">
      <c r="A130" s="8"/>
      <c r="B130" s="8"/>
      <c r="C130" s="38"/>
      <c r="D130" s="38"/>
      <c r="E130" s="38"/>
      <c r="F130" s="38"/>
      <c r="G130" s="38"/>
      <c r="H130" s="8"/>
      <c r="I130" s="8"/>
    </row>
    <row r="131" spans="1:9" ht="1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</row>
    <row r="132" spans="1:9" ht="1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</row>
    <row r="133" spans="1:9" ht="12.95" customHeight="1" x14ac:dyDescent="0.2">
      <c r="A133" s="48" t="s">
        <v>16</v>
      </c>
      <c r="B133" s="48"/>
      <c r="C133" s="48"/>
      <c r="D133" s="9"/>
      <c r="E133" s="9"/>
      <c r="F133" s="9"/>
      <c r="G133" s="39"/>
      <c r="H133" s="39" t="s">
        <v>19</v>
      </c>
      <c r="I133" s="26"/>
    </row>
    <row r="134" spans="1:9" ht="12.95" customHeight="1" x14ac:dyDescent="0.2">
      <c r="A134" s="49" t="s">
        <v>17</v>
      </c>
      <c r="B134" s="49"/>
      <c r="C134" s="49"/>
      <c r="D134" s="9"/>
      <c r="E134" s="9"/>
      <c r="F134" s="9"/>
      <c r="G134" s="40"/>
      <c r="H134" s="40" t="s">
        <v>20</v>
      </c>
      <c r="I134" s="26"/>
    </row>
    <row r="135" spans="1:9" ht="15" customHeight="1" x14ac:dyDescent="0.2"/>
    <row r="136" spans="1:9" ht="15" customHeight="1" x14ac:dyDescent="0.2"/>
    <row r="137" spans="1:9" ht="15" customHeight="1" x14ac:dyDescent="0.2"/>
    <row r="138" spans="1:9" ht="15" customHeight="1" x14ac:dyDescent="0.2"/>
    <row r="139" spans="1:9" ht="15" customHeight="1" x14ac:dyDescent="0.2"/>
    <row r="140" spans="1:9" ht="15" customHeight="1" x14ac:dyDescent="0.2"/>
    <row r="141" spans="1:9" ht="15" customHeight="1" x14ac:dyDescent="0.2"/>
    <row r="142" spans="1:9" ht="15" customHeight="1" x14ac:dyDescent="0.2"/>
    <row r="143" spans="1:9" ht="15" customHeight="1" x14ac:dyDescent="0.2"/>
    <row r="144" spans="1:9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8" ht="15" customHeight="1" x14ac:dyDescent="0.2"/>
    <row r="159" ht="15" customHeight="1" x14ac:dyDescent="0.2"/>
    <row r="165" ht="11.25" customHeight="1" x14ac:dyDescent="0.2"/>
    <row r="174" ht="11.25" customHeight="1" x14ac:dyDescent="0.2"/>
    <row r="299" spans="1:9" ht="12" x14ac:dyDescent="0.2">
      <c r="A299" s="47"/>
      <c r="B299" s="47"/>
      <c r="C299" s="47"/>
      <c r="D299" s="38"/>
      <c r="E299" s="38"/>
      <c r="F299" s="38"/>
      <c r="G299" s="47"/>
      <c r="H299" s="47"/>
      <c r="I299" s="47"/>
    </row>
    <row r="300" spans="1:9" ht="12" x14ac:dyDescent="0.2">
      <c r="A300" s="47"/>
      <c r="B300" s="47"/>
      <c r="C300" s="47"/>
      <c r="D300" s="38"/>
      <c r="E300" s="38"/>
      <c r="F300" s="38"/>
      <c r="G300" s="47"/>
      <c r="H300" s="47"/>
      <c r="I300" s="47"/>
    </row>
    <row r="301" spans="1:9" ht="12" x14ac:dyDescent="0.2">
      <c r="A301" s="38"/>
      <c r="B301" s="38"/>
      <c r="C301" s="38"/>
      <c r="D301" s="38"/>
      <c r="E301" s="38"/>
      <c r="F301" s="38"/>
      <c r="G301" s="38"/>
      <c r="H301" s="38"/>
      <c r="I301" s="38"/>
    </row>
    <row r="302" spans="1:9" ht="12" x14ac:dyDescent="0.2">
      <c r="A302" s="8"/>
      <c r="B302" s="8"/>
      <c r="C302" s="38"/>
      <c r="D302" s="38"/>
      <c r="E302" s="38"/>
      <c r="F302" s="38"/>
      <c r="G302" s="38"/>
      <c r="H302" s="8"/>
      <c r="I302" s="8"/>
    </row>
    <row r="303" spans="1:9" ht="12" x14ac:dyDescent="0.2">
      <c r="A303" s="9"/>
      <c r="B303" s="9"/>
      <c r="C303" s="9"/>
      <c r="D303" s="9"/>
      <c r="E303" s="9"/>
      <c r="F303" s="9"/>
      <c r="G303" s="9"/>
      <c r="H303" s="9"/>
      <c r="I303" s="9"/>
    </row>
    <row r="304" spans="1:9" ht="12" x14ac:dyDescent="0.2">
      <c r="A304" s="9"/>
      <c r="B304" s="9"/>
      <c r="C304" s="9"/>
      <c r="D304" s="9"/>
      <c r="E304" s="9"/>
      <c r="F304" s="9"/>
      <c r="G304" s="9"/>
      <c r="H304" s="9"/>
      <c r="I304" s="9"/>
    </row>
    <row r="305" spans="1:9" ht="12" x14ac:dyDescent="0.2">
      <c r="A305" s="48"/>
      <c r="B305" s="48"/>
      <c r="C305" s="48"/>
      <c r="D305" s="9"/>
      <c r="E305" s="9"/>
      <c r="F305" s="9"/>
      <c r="G305" s="39"/>
      <c r="H305" s="39"/>
      <c r="I305" s="26"/>
    </row>
    <row r="306" spans="1:9" ht="12" x14ac:dyDescent="0.2">
      <c r="A306" s="49"/>
      <c r="B306" s="49"/>
      <c r="C306" s="49"/>
      <c r="D306" s="9"/>
      <c r="E306" s="9"/>
      <c r="F306" s="9"/>
      <c r="G306" s="40"/>
      <c r="H306" s="40"/>
      <c r="I306" s="26"/>
    </row>
  </sheetData>
  <autoFilter ref="A4:I4" xr:uid="{3B97DABB-DA72-4F65-A11E-1C3183A20E11}">
    <sortState xmlns:xlrd2="http://schemas.microsoft.com/office/spreadsheetml/2017/richdata2" ref="A5:I122">
      <sortCondition ref="B4"/>
    </sortState>
  </autoFilter>
  <mergeCells count="13">
    <mergeCell ref="A306:C306"/>
    <mergeCell ref="A299:C299"/>
    <mergeCell ref="G299:I299"/>
    <mergeCell ref="A300:C300"/>
    <mergeCell ref="G300:I300"/>
    <mergeCell ref="A305:C305"/>
    <mergeCell ref="A128:C128"/>
    <mergeCell ref="G128:I128"/>
    <mergeCell ref="A133:C133"/>
    <mergeCell ref="A134:C134"/>
    <mergeCell ref="A2:I2"/>
    <mergeCell ref="A127:C127"/>
    <mergeCell ref="G127:I127"/>
  </mergeCells>
  <phoneticPr fontId="15" type="noConversion"/>
  <conditionalFormatting sqref="B190">
    <cfRule type="expression" dxfId="64" priority="67" stopIfTrue="1">
      <formula>$A190="Visa"</formula>
    </cfRule>
  </conditionalFormatting>
  <conditionalFormatting sqref="B196">
    <cfRule type="expression" dxfId="63" priority="58" stopIfTrue="1">
      <formula>$A196="Visa"</formula>
    </cfRule>
  </conditionalFormatting>
  <conditionalFormatting sqref="B228">
    <cfRule type="expression" dxfId="62" priority="74" stopIfTrue="1">
      <formula>$A228="Visa"</formula>
    </cfRule>
  </conditionalFormatting>
  <conditionalFormatting sqref="C5:C132">
    <cfRule type="expression" dxfId="61" priority="1" stopIfTrue="1">
      <formula>$B5="Visa"</formula>
    </cfRule>
  </conditionalFormatting>
  <conditionalFormatting sqref="C123">
    <cfRule type="expression" dxfId="60" priority="118" stopIfTrue="1">
      <formula>#REF!="Visa"</formula>
    </cfRule>
  </conditionalFormatting>
  <conditionalFormatting sqref="C124:C132">
    <cfRule type="expression" dxfId="59" priority="5" stopIfTrue="1">
      <formula>$B123="Visa"</formula>
    </cfRule>
  </conditionalFormatting>
  <conditionalFormatting sqref="C135:C136 C138:C139">
    <cfRule type="expression" dxfId="58" priority="19" stopIfTrue="1">
      <formula>$B134="Visa"</formula>
    </cfRule>
  </conditionalFormatting>
  <conditionalFormatting sqref="C135:C137">
    <cfRule type="expression" dxfId="57" priority="24" stopIfTrue="1">
      <formula>$B134="Visa"</formula>
    </cfRule>
    <cfRule type="expression" dxfId="56" priority="25" stopIfTrue="1">
      <formula>$B135="Visa"</formula>
    </cfRule>
  </conditionalFormatting>
  <conditionalFormatting sqref="C135:C138 C140:C141">
    <cfRule type="expression" dxfId="55" priority="15" stopIfTrue="1">
      <formula>$B134="Visa"</formula>
    </cfRule>
    <cfRule type="expression" dxfId="54" priority="22" stopIfTrue="1">
      <formula>$B134="Visa"</formula>
    </cfRule>
    <cfRule type="expression" dxfId="53" priority="28" stopIfTrue="1">
      <formula>$B134="Visa"</formula>
    </cfRule>
    <cfRule type="expression" dxfId="52" priority="45" stopIfTrue="1">
      <formula>$B134="Visa"</formula>
    </cfRule>
  </conditionalFormatting>
  <conditionalFormatting sqref="C135:C142">
    <cfRule type="expression" dxfId="51" priority="23" stopIfTrue="1">
      <formula>$B135="Visa"</formula>
    </cfRule>
  </conditionalFormatting>
  <conditionalFormatting sqref="C135:C143">
    <cfRule type="expression" dxfId="50" priority="50" stopIfTrue="1">
      <formula>$B134="Visa"</formula>
    </cfRule>
    <cfRule type="expression" dxfId="49" priority="51" stopIfTrue="1">
      <formula>$B135="Visa"</formula>
    </cfRule>
  </conditionalFormatting>
  <conditionalFormatting sqref="C135:C148 C150:C161">
    <cfRule type="expression" dxfId="48" priority="32" stopIfTrue="1">
      <formula>$B134="Visa"</formula>
    </cfRule>
  </conditionalFormatting>
  <conditionalFormatting sqref="C135:C150">
    <cfRule type="expression" dxfId="47" priority="46" stopIfTrue="1">
      <formula>$B135="Visa"</formula>
    </cfRule>
  </conditionalFormatting>
  <conditionalFormatting sqref="C135:C151 C153:C165 C167:C168">
    <cfRule type="expression" dxfId="46" priority="37" stopIfTrue="1">
      <formula>$B134="Visa"</formula>
    </cfRule>
  </conditionalFormatting>
  <conditionalFormatting sqref="C135:C151 C190:C191">
    <cfRule type="expression" dxfId="45" priority="62" stopIfTrue="1">
      <formula>$B134="Visa"</formula>
    </cfRule>
  </conditionalFormatting>
  <conditionalFormatting sqref="C135:C151">
    <cfRule type="expression" dxfId="44" priority="20" stopIfTrue="1">
      <formula>$B135="Visa"</formula>
    </cfRule>
    <cfRule type="expression" dxfId="43" priority="54" stopIfTrue="1">
      <formula>$B134="Visa"</formula>
    </cfRule>
    <cfRule type="expression" dxfId="42" priority="76" stopIfTrue="1">
      <formula>$B134="Visa"</formula>
    </cfRule>
  </conditionalFormatting>
  <conditionalFormatting sqref="C135:C152">
    <cfRule type="expression" dxfId="41" priority="70" stopIfTrue="1">
      <formula>$B134="Visa"</formula>
    </cfRule>
  </conditionalFormatting>
  <conditionalFormatting sqref="C135:C153">
    <cfRule type="expression" dxfId="40" priority="16" stopIfTrue="1">
      <formula>$B135="Visa"</formula>
    </cfRule>
  </conditionalFormatting>
  <conditionalFormatting sqref="C135:C162">
    <cfRule type="expression" dxfId="39" priority="33" stopIfTrue="1">
      <formula>$B135="Visa"</formula>
    </cfRule>
  </conditionalFormatting>
  <conditionalFormatting sqref="C135:C163">
    <cfRule type="expression" dxfId="38" priority="29" stopIfTrue="1">
      <formula>$B135="Visa"</formula>
    </cfRule>
  </conditionalFormatting>
  <conditionalFormatting sqref="C135:C175">
    <cfRule type="expression" dxfId="37" priority="48" stopIfTrue="1">
      <formula>$B134="Visa"</formula>
    </cfRule>
  </conditionalFormatting>
  <conditionalFormatting sqref="C135:C176">
    <cfRule type="expression" dxfId="36" priority="49" stopIfTrue="1">
      <formula>$B135="Visa"</formula>
    </cfRule>
  </conditionalFormatting>
  <conditionalFormatting sqref="C135:C177">
    <cfRule type="expression" dxfId="35" priority="56" stopIfTrue="1">
      <formula>$B134="Visa"</formula>
    </cfRule>
  </conditionalFormatting>
  <conditionalFormatting sqref="C135:C178">
    <cfRule type="expression" dxfId="34" priority="57" stopIfTrue="1">
      <formula>$B135="Visa"</formula>
    </cfRule>
  </conditionalFormatting>
  <conditionalFormatting sqref="C135:C180">
    <cfRule type="expression" dxfId="33" priority="38" stopIfTrue="1">
      <formula>$B135="Visa"</formula>
    </cfRule>
  </conditionalFormatting>
  <conditionalFormatting sqref="C135:C189">
    <cfRule type="expression" dxfId="32" priority="72" stopIfTrue="1">
      <formula>$B135="Visa"</formula>
    </cfRule>
  </conditionalFormatting>
  <conditionalFormatting sqref="C135:C195">
    <cfRule type="expression" dxfId="31" priority="64" stopIfTrue="1">
      <formula>$B135="Visa"</formula>
    </cfRule>
  </conditionalFormatting>
  <conditionalFormatting sqref="C135:C207">
    <cfRule type="expression" dxfId="30" priority="78" stopIfTrue="1">
      <formula>$B135="Visa"</formula>
    </cfRule>
  </conditionalFormatting>
  <conditionalFormatting sqref="C137">
    <cfRule type="expression" dxfId="29" priority="18" stopIfTrue="1">
      <formula>#REF!="Visa"</formula>
    </cfRule>
  </conditionalFormatting>
  <conditionalFormatting sqref="C139">
    <cfRule type="expression" dxfId="28" priority="14" stopIfTrue="1">
      <formula>#REF!="Visa"</formula>
    </cfRule>
    <cfRule type="expression" dxfId="27" priority="21" stopIfTrue="1">
      <formula>#REF!="Visa"</formula>
    </cfRule>
    <cfRule type="expression" dxfId="26" priority="27" stopIfTrue="1">
      <formula>#REF!="Visa"</formula>
    </cfRule>
    <cfRule type="expression" dxfId="25" priority="44" stopIfTrue="1">
      <formula>#REF!="Visa"</formula>
    </cfRule>
  </conditionalFormatting>
  <conditionalFormatting sqref="C149">
    <cfRule type="expression" dxfId="24" priority="30" stopIfTrue="1">
      <formula>$B125="Visa"</formula>
    </cfRule>
  </conditionalFormatting>
  <conditionalFormatting sqref="C151:C167">
    <cfRule type="expression" dxfId="23" priority="41" stopIfTrue="1">
      <formula>$B151="Visa"</formula>
    </cfRule>
  </conditionalFormatting>
  <conditionalFormatting sqref="C152">
    <cfRule type="expression" dxfId="22" priority="35" stopIfTrue="1">
      <formula>$B124="Visa"</formula>
    </cfRule>
    <cfRule type="expression" dxfId="21" priority="53" stopIfTrue="1">
      <formula>$B124="Visa"</formula>
    </cfRule>
    <cfRule type="expression" dxfId="20" priority="60" stopIfTrue="1">
      <formula>$B124="Visa"</formula>
    </cfRule>
    <cfRule type="expression" dxfId="19" priority="75" stopIfTrue="1">
      <formula>$B124="Visa"</formula>
    </cfRule>
  </conditionalFormatting>
  <conditionalFormatting sqref="C152:C167">
    <cfRule type="expression" dxfId="18" priority="40" stopIfTrue="1">
      <formula>$B151="Visa"</formula>
    </cfRule>
  </conditionalFormatting>
  <conditionalFormatting sqref="C153">
    <cfRule type="expression" dxfId="17" priority="69" stopIfTrue="1">
      <formula>$B125="Visa"</formula>
    </cfRule>
  </conditionalFormatting>
  <conditionalFormatting sqref="C153:C176 C178:C188">
    <cfRule type="expression" dxfId="16" priority="63" stopIfTrue="1">
      <formula>$B152="Visa"</formula>
    </cfRule>
  </conditionalFormatting>
  <conditionalFormatting sqref="C153:C195 C197:C207">
    <cfRule type="expression" dxfId="15" priority="77" stopIfTrue="1">
      <formula>$B152="Visa"</formula>
    </cfRule>
  </conditionalFormatting>
  <conditionalFormatting sqref="C154">
    <cfRule type="expression" dxfId="14" priority="13" stopIfTrue="1">
      <formula>$B154="Visa"</formula>
    </cfRule>
  </conditionalFormatting>
  <conditionalFormatting sqref="C154:C177 C179:C189">
    <cfRule type="expression" dxfId="13" priority="71" stopIfTrue="1">
      <formula>$B153="Visa"</formula>
    </cfRule>
  </conditionalFormatting>
  <conditionalFormatting sqref="C159">
    <cfRule type="expression" dxfId="12" priority="55" stopIfTrue="1">
      <formula>$B130="Visa"</formula>
    </cfRule>
  </conditionalFormatting>
  <conditionalFormatting sqref="C162">
    <cfRule type="expression" dxfId="11" priority="31" stopIfTrue="1">
      <formula>#REF!="Visa"</formula>
    </cfRule>
  </conditionalFormatting>
  <conditionalFormatting sqref="C163">
    <cfRule type="expression" dxfId="10" priority="26" stopIfTrue="1">
      <formula>$B163="Visa"</formula>
    </cfRule>
  </conditionalFormatting>
  <conditionalFormatting sqref="C166">
    <cfRule type="expression" dxfId="9" priority="36" stopIfTrue="1">
      <formula>#REF!="Visa"</formula>
    </cfRule>
  </conditionalFormatting>
  <conditionalFormatting sqref="C176">
    <cfRule type="expression" dxfId="8" priority="47" stopIfTrue="1">
      <formula>#REF!="Visa"</formula>
    </cfRule>
  </conditionalFormatting>
  <conditionalFormatting sqref="C177">
    <cfRule type="expression" dxfId="7" priority="59" stopIfTrue="1">
      <formula>$B153="Visa"</formula>
    </cfRule>
  </conditionalFormatting>
  <conditionalFormatting sqref="C178">
    <cfRule type="expression" dxfId="6" priority="52" stopIfTrue="1">
      <formula>$B177="Visa"</formula>
    </cfRule>
    <cfRule type="expression" dxfId="5" priority="68" stopIfTrue="1">
      <formula>$B154="Visa"</formula>
    </cfRule>
  </conditionalFormatting>
  <conditionalFormatting sqref="C181">
    <cfRule type="expression" dxfId="4" priority="34" stopIfTrue="1">
      <formula>$B181="Visa"</formula>
    </cfRule>
  </conditionalFormatting>
  <conditionalFormatting sqref="C189">
    <cfRule type="expression" dxfId="3" priority="61" stopIfTrue="1">
      <formula>#REF!="Visa"</formula>
    </cfRule>
  </conditionalFormatting>
  <conditionalFormatting sqref="C196">
    <cfRule type="expression" dxfId="2" priority="73" stopIfTrue="1">
      <formula>$B163="Visa"</formula>
    </cfRule>
  </conditionalFormatting>
  <conditionalFormatting sqref="C299:C304">
    <cfRule type="expression" dxfId="1" priority="6" stopIfTrue="1">
      <formula>$B299="Visa"</formula>
    </cfRule>
    <cfRule type="expression" dxfId="0" priority="10" stopIfTrue="1">
      <formula>$B298="Visa"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24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2026-06-04T05:56:50Z</dcterms:modified>
</cp:coreProperties>
</file>