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F:\运煤明细\2026年5月份\PJM-5月份运煤明细\"/>
    </mc:Choice>
  </mc:AlternateContent>
  <xr:revisionPtr revIDLastSave="0" documentId="13_ncr:1_{D5A25A55-B2E8-4022-9F46-1EC9F19E55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1" l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38" i="1"/>
  <c r="G37" i="1"/>
  <c r="G36" i="1"/>
  <c r="G35" i="1"/>
  <c r="G34" i="1"/>
  <c r="G33" i="1"/>
  <c r="G18" i="1"/>
  <c r="G17" i="1"/>
  <c r="G16" i="1"/>
  <c r="G15" i="1"/>
  <c r="G129" i="1"/>
  <c r="G128" i="1"/>
  <c r="G127" i="1"/>
  <c r="G126" i="1"/>
  <c r="G125" i="1"/>
  <c r="G124" i="1"/>
  <c r="G123" i="1"/>
  <c r="G122" i="1"/>
  <c r="G121" i="1"/>
  <c r="E130" i="1"/>
  <c r="F130" i="1"/>
  <c r="G120" i="1" l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90" i="1"/>
  <c r="G89" i="1"/>
  <c r="G46" i="1"/>
  <c r="G45" i="1"/>
  <c r="G44" i="1"/>
  <c r="G43" i="1"/>
  <c r="G42" i="1"/>
  <c r="G41" i="1"/>
  <c r="G40" i="1"/>
  <c r="G39" i="1"/>
  <c r="G100" i="1" l="1"/>
  <c r="G99" i="1"/>
  <c r="G98" i="1"/>
  <c r="G97" i="1"/>
  <c r="G96" i="1"/>
  <c r="G95" i="1"/>
  <c r="G94" i="1"/>
  <c r="G93" i="1"/>
  <c r="G92" i="1"/>
  <c r="G91" i="1"/>
  <c r="G14" i="1"/>
  <c r="G13" i="1"/>
  <c r="G12" i="1"/>
  <c r="G11" i="1"/>
  <c r="G10" i="1"/>
  <c r="G9" i="1"/>
  <c r="G8" i="1"/>
  <c r="G7" i="1"/>
  <c r="G6" i="1"/>
  <c r="G5" i="1"/>
  <c r="G130" i="1" l="1"/>
  <c r="G2" i="1" s="1"/>
</calcChain>
</file>

<file path=xl/sharedStrings.xml><?xml version="1.0" encoding="utf-8"?>
<sst xmlns="http://schemas.openxmlformats.org/spreadsheetml/2006/main" count="269" uniqueCount="121">
  <si>
    <t>车号</t>
  </si>
  <si>
    <t>进入时间</t>
  </si>
  <si>
    <t>离开时间</t>
  </si>
  <si>
    <t>总重(MMI)</t>
  </si>
  <si>
    <t>皮重(MMI)</t>
  </si>
  <si>
    <t>净重(MMI)</t>
  </si>
  <si>
    <t>天气(MMI)</t>
  </si>
  <si>
    <t>No Lambung</t>
  </si>
  <si>
    <t>Jam Masuk (WITA)</t>
  </si>
  <si>
    <t>Jam Keluar (WITA)</t>
  </si>
  <si>
    <t>Gross Site (KG)</t>
  </si>
  <si>
    <t>Tare Site (KG)</t>
  </si>
  <si>
    <t>Netto Site (KG)</t>
  </si>
  <si>
    <t>Cuaca (MMI)</t>
  </si>
  <si>
    <t>晴(Cerah)</t>
  </si>
  <si>
    <t>总计</t>
    <phoneticPr fontId="1" type="noConversion"/>
  </si>
  <si>
    <t>精煤</t>
    <phoneticPr fontId="1" type="noConversion"/>
  </si>
  <si>
    <t>PJM 061</t>
  </si>
  <si>
    <t>PJM 154</t>
  </si>
  <si>
    <t>PJM 062</t>
  </si>
  <si>
    <t>PJM 067</t>
  </si>
  <si>
    <t>PJM 017</t>
  </si>
  <si>
    <t>PJM 089</t>
  </si>
  <si>
    <t>PJM 081</t>
  </si>
  <si>
    <t>PJM 058</t>
  </si>
  <si>
    <t>PJM 115</t>
  </si>
  <si>
    <t>PJM 111</t>
  </si>
  <si>
    <t>PJM 113</t>
  </si>
  <si>
    <t>PJM 108</t>
  </si>
  <si>
    <t>PJM 107</t>
  </si>
  <si>
    <t>PJM 069</t>
  </si>
  <si>
    <t>PJM 106</t>
  </si>
  <si>
    <t>PJM 110</t>
  </si>
  <si>
    <t>PJM 012</t>
  </si>
  <si>
    <t>PJM 082</t>
  </si>
  <si>
    <t>PJM 079</t>
  </si>
  <si>
    <t>PJM 095</t>
  </si>
  <si>
    <t>PJM 102</t>
  </si>
  <si>
    <t>PJM 035</t>
  </si>
  <si>
    <t>PJM 019</t>
  </si>
  <si>
    <t>PJM 033</t>
  </si>
  <si>
    <t>PJM 030</t>
  </si>
  <si>
    <t>PJM 070</t>
  </si>
  <si>
    <t>PJM 064</t>
  </si>
  <si>
    <t>PJM 084</t>
  </si>
  <si>
    <t>PJM 103</t>
  </si>
  <si>
    <t>PJM 038</t>
  </si>
  <si>
    <t>PJM 045</t>
  </si>
  <si>
    <t>PJM 039</t>
  </si>
  <si>
    <t>PJM 047</t>
  </si>
  <si>
    <t>PJM 008</t>
  </si>
  <si>
    <t>PJM 059</t>
  </si>
  <si>
    <t>PJM 024</t>
  </si>
  <si>
    <t>PJM 101</t>
  </si>
  <si>
    <t>PJM 037</t>
  </si>
  <si>
    <t>PJM 086</t>
  </si>
  <si>
    <t>PJM 043</t>
  </si>
  <si>
    <t>PJM 153</t>
  </si>
  <si>
    <t>PJM 152</t>
  </si>
  <si>
    <t>PJM 022</t>
  </si>
  <si>
    <t>PJM 066</t>
  </si>
  <si>
    <t>PJM 010</t>
  </si>
  <si>
    <t>PJM 080</t>
  </si>
  <si>
    <t>PJM 091</t>
  </si>
  <si>
    <t>PJM 050</t>
  </si>
  <si>
    <t>PJM 071</t>
  </si>
  <si>
    <t>PJM 027</t>
  </si>
  <si>
    <t>PJM 018</t>
  </si>
  <si>
    <t>PJM 073</t>
  </si>
  <si>
    <t>PJM 020</t>
  </si>
  <si>
    <t>PJM 056</t>
  </si>
  <si>
    <t>PJM 032</t>
  </si>
  <si>
    <t>PJM 007</t>
  </si>
  <si>
    <t>PJM 085</t>
  </si>
  <si>
    <t>PJM 083</t>
  </si>
  <si>
    <t>PJM 004</t>
  </si>
  <si>
    <t>PJM 025</t>
  </si>
  <si>
    <t>PJM 026</t>
  </si>
  <si>
    <t>PJM 006</t>
  </si>
  <si>
    <t>PJM 092</t>
  </si>
  <si>
    <t>PJM 031</t>
  </si>
  <si>
    <t>PJM 016</t>
  </si>
  <si>
    <t>PJM 099</t>
  </si>
  <si>
    <t>序号</t>
  </si>
  <si>
    <t>No. Tiket</t>
  </si>
  <si>
    <t>PJM 142</t>
  </si>
  <si>
    <t>PJM 144</t>
  </si>
  <si>
    <t>PJM 143</t>
  </si>
  <si>
    <t>PJM 138</t>
  </si>
  <si>
    <t>PJM 141</t>
  </si>
  <si>
    <t>PJM 139</t>
  </si>
  <si>
    <t>PJM 140</t>
  </si>
  <si>
    <t>PJM 028</t>
  </si>
  <si>
    <t>PJM 136</t>
  </si>
  <si>
    <t>PJM 137</t>
  </si>
  <si>
    <t>PJM 005</t>
  </si>
  <si>
    <t>PJM 148</t>
  </si>
  <si>
    <t>PJM 135</t>
  </si>
  <si>
    <t>PJM 126</t>
  </si>
  <si>
    <t>PJM 109</t>
  </si>
  <si>
    <t>PJM 150</t>
  </si>
  <si>
    <t>PJM 029</t>
  </si>
  <si>
    <t>PJM 055</t>
  </si>
  <si>
    <t xml:space="preserve">2026年5月29日运煤明细 </t>
    <phoneticPr fontId="1" type="noConversion"/>
  </si>
  <si>
    <t>PJM 063</t>
  </si>
  <si>
    <t>PJM 149</t>
  </si>
  <si>
    <t>PJM 013</t>
  </si>
  <si>
    <t>PJM 145</t>
  </si>
  <si>
    <t>PJM 151</t>
  </si>
  <si>
    <t>PJM 094</t>
  </si>
  <si>
    <t>PJM 072</t>
  </si>
  <si>
    <t>PJM 003</t>
  </si>
  <si>
    <t>PJM 034</t>
  </si>
  <si>
    <t>PJM 040</t>
  </si>
  <si>
    <t>PJM 009</t>
  </si>
  <si>
    <t>PJM 076</t>
  </si>
  <si>
    <t>PJM 123</t>
  </si>
  <si>
    <t>PJM 048</t>
  </si>
  <si>
    <t>PJM 015</t>
  </si>
  <si>
    <t>PJM 057</t>
  </si>
  <si>
    <t>PJM 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</si>
</sst>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);[Red]\(0\)"/>
    <numFmt numFmtId="178" formatCode="h:mm;@"/>
    <numFmt numFmtId="179" formatCode="0_ ;[Red]\-0\ "/>
  </numFmts>
  <fonts count="8" x14ac:knownFonts="1">
    <font>
      <sz val="1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8"/>
      <color theme="1"/>
      <name val="等线"/>
      <family val="3"/>
      <charset val="134"/>
    </font>
    <font>
      <sz val="8"/>
      <color theme="1"/>
      <name val="Microsoft YaHei UI"/>
      <family val="1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Calibri"/>
      <family val="2"/>
    </font>
    <font>
      <b/>
      <sz val="11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4" fillId="0" borderId="0" xfId="0" applyFont="1"/>
    <xf numFmtId="176" fontId="2" fillId="0" borderId="3" xfId="0" applyNumberFormat="1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78" fontId="3" fillId="3" borderId="3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6" fillId="0" borderId="0" xfId="0" applyFont="1"/>
    <xf numFmtId="49" fontId="4" fillId="0" borderId="0" xfId="0" applyNumberFormat="1" applyFont="1"/>
    <xf numFmtId="176" fontId="4" fillId="0" borderId="0" xfId="0" applyNumberFormat="1" applyFont="1"/>
    <xf numFmtId="179" fontId="3" fillId="3" borderId="3" xfId="0" applyNumberFormat="1" applyFont="1" applyFill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20" fontId="3" fillId="3" borderId="3" xfId="0" applyNumberFormat="1" applyFont="1" applyFill="1" applyBorder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79" fontId="0" fillId="5" borderId="3" xfId="0" applyNumberFormat="1" applyFill="1" applyBorder="1" applyAlignment="1">
      <alignment horizontal="center" vertical="center"/>
    </xf>
    <xf numFmtId="58" fontId="0" fillId="0" borderId="0" xfId="0" applyNumberFormat="1"/>
    <xf numFmtId="0" fontId="5" fillId="0" borderId="0" xfId="0" applyFont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15" fontId="5" fillId="0" borderId="2" xfId="0" applyNumberFormat="1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/>
    <xf numFmtId="49" fontId="4" fillId="0" borderId="3" xfId="0" applyNumberFormat="1" applyFont="1" applyFill="1" applyBorder="1"/>
    <xf numFmtId="179" fontId="3" fillId="0" borderId="3" xfId="0" applyNumberFormat="1" applyFont="1" applyFill="1" applyBorder="1" applyAlignment="1">
      <alignment horizontal="center" vertical="center"/>
    </xf>
    <xf numFmtId="177" fontId="3" fillId="0" borderId="3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zoomScale="110" zoomScaleNormal="110" workbookViewId="0">
      <selection activeCell="E46" sqref="E46"/>
    </sheetView>
  </sheetViews>
  <sheetFormatPr defaultColWidth="14.44140625" defaultRowHeight="15" customHeight="1" x14ac:dyDescent="0.25"/>
  <cols>
    <col min="1" max="1" width="8.21875" style="5" customWidth="1"/>
    <col min="2" max="2" width="13" style="5" customWidth="1"/>
    <col min="3" max="4" width="13" style="16" customWidth="1"/>
    <col min="5" max="5" width="13.21875" style="17" customWidth="1"/>
    <col min="6" max="7" width="13.21875" style="5" customWidth="1"/>
    <col min="8" max="16384" width="14.44140625" style="5"/>
  </cols>
  <sheetData>
    <row r="1" spans="1:8" ht="33" customHeight="1" x14ac:dyDescent="0.25">
      <c r="A1" s="26" t="s">
        <v>103</v>
      </c>
      <c r="B1" s="26"/>
      <c r="C1" s="26"/>
      <c r="D1" s="26"/>
      <c r="E1" s="26"/>
      <c r="F1" s="26"/>
      <c r="G1" s="22" t="s">
        <v>16</v>
      </c>
      <c r="H1" s="22"/>
    </row>
    <row r="2" spans="1:8" ht="30.75" customHeight="1" x14ac:dyDescent="0.25">
      <c r="A2" s="27">
        <v>46171</v>
      </c>
      <c r="B2" s="28"/>
      <c r="C2" s="28"/>
      <c r="D2" s="28"/>
      <c r="E2" s="28"/>
      <c r="F2" s="28"/>
      <c r="G2" s="24">
        <f>G130</f>
        <v>4030530</v>
      </c>
      <c r="H2" s="23"/>
    </row>
    <row r="3" spans="1:8" ht="28.2" customHeight="1" x14ac:dyDescent="0.25">
      <c r="A3" s="1" t="s">
        <v>83</v>
      </c>
      <c r="B3" s="1" t="s">
        <v>0</v>
      </c>
      <c r="C3" s="13" t="s">
        <v>1</v>
      </c>
      <c r="D3" s="13" t="s">
        <v>2</v>
      </c>
      <c r="E3" s="6" t="s">
        <v>3</v>
      </c>
      <c r="F3" s="1" t="s">
        <v>4</v>
      </c>
      <c r="G3" s="1" t="s">
        <v>5</v>
      </c>
      <c r="H3" s="1" t="s">
        <v>6</v>
      </c>
    </row>
    <row r="4" spans="1:8" s="15" customFormat="1" ht="28.2" customHeight="1" x14ac:dyDescent="0.3">
      <c r="A4" s="2" t="s">
        <v>84</v>
      </c>
      <c r="B4" s="2" t="s">
        <v>7</v>
      </c>
      <c r="C4" s="14" t="s">
        <v>8</v>
      </c>
      <c r="D4" s="14" t="s">
        <v>9</v>
      </c>
      <c r="E4" s="2" t="s">
        <v>10</v>
      </c>
      <c r="F4" s="2" t="s">
        <v>11</v>
      </c>
      <c r="G4" s="2" t="s">
        <v>12</v>
      </c>
      <c r="H4" s="2" t="s">
        <v>13</v>
      </c>
    </row>
    <row r="5" spans="1:8" ht="13.8" x14ac:dyDescent="0.25">
      <c r="A5" s="7">
        <v>1</v>
      </c>
      <c r="B5" s="3" t="s">
        <v>45</v>
      </c>
      <c r="C5" s="20">
        <v>0.38124999999999998</v>
      </c>
      <c r="D5" s="20">
        <v>0.3923611111111111</v>
      </c>
      <c r="E5" s="9">
        <v>47940</v>
      </c>
      <c r="F5" s="18">
        <v>14230</v>
      </c>
      <c r="G5" s="18">
        <f t="shared" ref="G5:G102" si="0">E5-F5</f>
        <v>33710</v>
      </c>
      <c r="H5" s="8" t="s">
        <v>14</v>
      </c>
    </row>
    <row r="6" spans="1:8" ht="13.8" x14ac:dyDescent="0.25">
      <c r="A6" s="10">
        <v>2</v>
      </c>
      <c r="B6" s="4" t="s">
        <v>28</v>
      </c>
      <c r="C6" s="21">
        <v>0.38194444444444442</v>
      </c>
      <c r="D6" s="21">
        <v>0.39305555555555555</v>
      </c>
      <c r="E6" s="12">
        <v>47340</v>
      </c>
      <c r="F6" s="19">
        <v>17220</v>
      </c>
      <c r="G6" s="19">
        <f t="shared" si="0"/>
        <v>30120</v>
      </c>
      <c r="H6" s="11" t="s">
        <v>14</v>
      </c>
    </row>
    <row r="7" spans="1:8" ht="13.8" x14ac:dyDescent="0.25">
      <c r="A7" s="7">
        <v>3</v>
      </c>
      <c r="B7" s="3" t="s">
        <v>95</v>
      </c>
      <c r="C7" s="20">
        <v>0.38333333333333336</v>
      </c>
      <c r="D7" s="20">
        <v>0.39374999999999999</v>
      </c>
      <c r="E7" s="9">
        <v>47320</v>
      </c>
      <c r="F7" s="18">
        <v>14120</v>
      </c>
      <c r="G7" s="18">
        <f t="shared" si="0"/>
        <v>33200</v>
      </c>
      <c r="H7" s="8" t="s">
        <v>14</v>
      </c>
    </row>
    <row r="8" spans="1:8" ht="13.8" x14ac:dyDescent="0.25">
      <c r="A8" s="10">
        <v>4</v>
      </c>
      <c r="B8" s="4" t="s">
        <v>104</v>
      </c>
      <c r="C8" s="21">
        <v>0.38333333333333336</v>
      </c>
      <c r="D8" s="21">
        <v>0.39444444444444443</v>
      </c>
      <c r="E8" s="12">
        <v>45670</v>
      </c>
      <c r="F8" s="19">
        <v>14560</v>
      </c>
      <c r="G8" s="19">
        <f t="shared" si="0"/>
        <v>31110</v>
      </c>
      <c r="H8" s="11" t="s">
        <v>14</v>
      </c>
    </row>
    <row r="9" spans="1:8" ht="13.8" x14ac:dyDescent="0.25">
      <c r="A9" s="7">
        <v>5</v>
      </c>
      <c r="B9" s="3" t="s">
        <v>27</v>
      </c>
      <c r="C9" s="20">
        <v>0.38333333333333336</v>
      </c>
      <c r="D9" s="20">
        <v>0.39791666666666664</v>
      </c>
      <c r="E9" s="9">
        <v>50700</v>
      </c>
      <c r="F9" s="18">
        <v>16820</v>
      </c>
      <c r="G9" s="18">
        <f t="shared" si="0"/>
        <v>33880</v>
      </c>
      <c r="H9" s="8" t="s">
        <v>14</v>
      </c>
    </row>
    <row r="10" spans="1:8" ht="13.8" x14ac:dyDescent="0.25">
      <c r="A10" s="10">
        <v>6</v>
      </c>
      <c r="B10" s="4" t="s">
        <v>33</v>
      </c>
      <c r="C10" s="21">
        <v>0.3840277777777778</v>
      </c>
      <c r="D10" s="21">
        <v>0.39930555555555558</v>
      </c>
      <c r="E10" s="12">
        <v>46380</v>
      </c>
      <c r="F10" s="19">
        <v>14030</v>
      </c>
      <c r="G10" s="19">
        <f t="shared" si="0"/>
        <v>32350</v>
      </c>
      <c r="H10" s="11" t="s">
        <v>14</v>
      </c>
    </row>
    <row r="11" spans="1:8" ht="13.8" x14ac:dyDescent="0.25">
      <c r="A11" s="7">
        <v>7</v>
      </c>
      <c r="B11" s="3" t="s">
        <v>54</v>
      </c>
      <c r="C11" s="20">
        <v>0.3840277777777778</v>
      </c>
      <c r="D11" s="20">
        <v>0.40138888888888891</v>
      </c>
      <c r="E11" s="9">
        <v>49520</v>
      </c>
      <c r="F11" s="18">
        <v>14340</v>
      </c>
      <c r="G11" s="18">
        <f t="shared" si="0"/>
        <v>35180</v>
      </c>
      <c r="H11" s="8" t="s">
        <v>14</v>
      </c>
    </row>
    <row r="12" spans="1:8" ht="13.8" x14ac:dyDescent="0.25">
      <c r="A12" s="10">
        <v>8</v>
      </c>
      <c r="B12" s="4" t="s">
        <v>32</v>
      </c>
      <c r="C12" s="21">
        <v>0.3840277777777778</v>
      </c>
      <c r="D12" s="21">
        <v>0.40416666666666667</v>
      </c>
      <c r="E12" s="12">
        <v>47180</v>
      </c>
      <c r="F12" s="19">
        <v>16890</v>
      </c>
      <c r="G12" s="19">
        <f t="shared" si="0"/>
        <v>30290</v>
      </c>
      <c r="H12" s="11" t="s">
        <v>14</v>
      </c>
    </row>
    <row r="13" spans="1:8" ht="13.8" x14ac:dyDescent="0.25">
      <c r="A13" s="7">
        <v>9</v>
      </c>
      <c r="B13" s="3" t="s">
        <v>59</v>
      </c>
      <c r="C13" s="20">
        <v>0.3840277777777778</v>
      </c>
      <c r="D13" s="20">
        <v>0.40555555555555556</v>
      </c>
      <c r="E13" s="9">
        <v>47550</v>
      </c>
      <c r="F13" s="18">
        <v>13980</v>
      </c>
      <c r="G13" s="18">
        <f t="shared" si="0"/>
        <v>33570</v>
      </c>
      <c r="H13" s="8" t="s">
        <v>14</v>
      </c>
    </row>
    <row r="14" spans="1:8" ht="13.8" x14ac:dyDescent="0.25">
      <c r="A14" s="10">
        <v>10</v>
      </c>
      <c r="B14" s="4" t="s">
        <v>24</v>
      </c>
      <c r="C14" s="21">
        <v>0.38472222222222224</v>
      </c>
      <c r="D14" s="21">
        <v>0.40833333333333333</v>
      </c>
      <c r="E14" s="12">
        <v>46660</v>
      </c>
      <c r="F14" s="19">
        <v>14230</v>
      </c>
      <c r="G14" s="19">
        <f t="shared" si="0"/>
        <v>32430</v>
      </c>
      <c r="H14" s="11" t="s">
        <v>14</v>
      </c>
    </row>
    <row r="15" spans="1:8" ht="13.8" x14ac:dyDescent="0.25">
      <c r="A15" s="7">
        <v>11</v>
      </c>
      <c r="B15" s="3" t="s">
        <v>26</v>
      </c>
      <c r="C15" s="20">
        <v>0.38472222222222224</v>
      </c>
      <c r="D15" s="20">
        <v>0.41041666666666665</v>
      </c>
      <c r="E15" s="9">
        <v>49390</v>
      </c>
      <c r="F15" s="18">
        <v>16570</v>
      </c>
      <c r="G15" s="18">
        <f t="shared" ref="G15:G38" si="1">E15-F15</f>
        <v>32820</v>
      </c>
      <c r="H15" s="8" t="s">
        <v>14</v>
      </c>
    </row>
    <row r="16" spans="1:8" ht="13.8" x14ac:dyDescent="0.25">
      <c r="A16" s="10">
        <v>12</v>
      </c>
      <c r="B16" s="4" t="s">
        <v>20</v>
      </c>
      <c r="C16" s="21">
        <v>0.38472222222222224</v>
      </c>
      <c r="D16" s="21">
        <v>0.4152777777777778</v>
      </c>
      <c r="E16" s="12">
        <v>43960</v>
      </c>
      <c r="F16" s="19">
        <v>14040</v>
      </c>
      <c r="G16" s="19">
        <f t="shared" si="1"/>
        <v>29920</v>
      </c>
      <c r="H16" s="11" t="s">
        <v>14</v>
      </c>
    </row>
    <row r="17" spans="1:8" ht="13.8" x14ac:dyDescent="0.25">
      <c r="A17" s="7">
        <v>13</v>
      </c>
      <c r="B17" s="3" t="s">
        <v>105</v>
      </c>
      <c r="C17" s="20">
        <v>0.38541666666666669</v>
      </c>
      <c r="D17" s="20">
        <v>0.41597222222222224</v>
      </c>
      <c r="E17" s="9">
        <v>46790</v>
      </c>
      <c r="F17" s="18">
        <v>14080</v>
      </c>
      <c r="G17" s="18">
        <f t="shared" si="1"/>
        <v>32710</v>
      </c>
      <c r="H17" s="8" t="s">
        <v>14</v>
      </c>
    </row>
    <row r="18" spans="1:8" ht="13.8" x14ac:dyDescent="0.25">
      <c r="A18" s="10">
        <v>14</v>
      </c>
      <c r="B18" s="4" t="s">
        <v>29</v>
      </c>
      <c r="C18" s="21">
        <v>0.38611111111111113</v>
      </c>
      <c r="D18" s="21">
        <v>0.41944444444444445</v>
      </c>
      <c r="E18" s="12">
        <v>50300</v>
      </c>
      <c r="F18" s="19">
        <v>16950</v>
      </c>
      <c r="G18" s="19">
        <f t="shared" si="1"/>
        <v>33350</v>
      </c>
      <c r="H18" s="11" t="s">
        <v>14</v>
      </c>
    </row>
    <row r="19" spans="1:8" ht="13.8" x14ac:dyDescent="0.25">
      <c r="A19" s="7">
        <v>15</v>
      </c>
      <c r="B19" s="3" t="s">
        <v>86</v>
      </c>
      <c r="C19" s="20">
        <v>0.38541666666666669</v>
      </c>
      <c r="D19" s="20">
        <v>0.42083333333333334</v>
      </c>
      <c r="E19" s="9">
        <v>46570</v>
      </c>
      <c r="F19" s="18">
        <v>14390</v>
      </c>
      <c r="G19" s="18">
        <f t="shared" si="1"/>
        <v>32180</v>
      </c>
      <c r="H19" s="8" t="s">
        <v>14</v>
      </c>
    </row>
    <row r="20" spans="1:8" ht="13.8" x14ac:dyDescent="0.25">
      <c r="A20" s="10">
        <v>16</v>
      </c>
      <c r="B20" s="4" t="s">
        <v>100</v>
      </c>
      <c r="C20" s="21">
        <v>0.38611111111111113</v>
      </c>
      <c r="D20" s="21">
        <v>0.42430555555555555</v>
      </c>
      <c r="E20" s="12">
        <v>46900</v>
      </c>
      <c r="F20" s="19">
        <v>13590</v>
      </c>
      <c r="G20" s="19">
        <f t="shared" si="1"/>
        <v>33310</v>
      </c>
      <c r="H20" s="11" t="s">
        <v>14</v>
      </c>
    </row>
    <row r="21" spans="1:8" ht="13.8" x14ac:dyDescent="0.25">
      <c r="A21" s="7">
        <v>17</v>
      </c>
      <c r="B21" s="3" t="s">
        <v>106</v>
      </c>
      <c r="C21" s="20">
        <v>0.38611111111111113</v>
      </c>
      <c r="D21" s="20">
        <v>0.42569444444444443</v>
      </c>
      <c r="E21" s="9">
        <v>43450</v>
      </c>
      <c r="F21" s="18">
        <v>12830</v>
      </c>
      <c r="G21" s="18">
        <f t="shared" si="1"/>
        <v>30620</v>
      </c>
      <c r="H21" s="8" t="s">
        <v>14</v>
      </c>
    </row>
    <row r="22" spans="1:8" ht="13.8" x14ac:dyDescent="0.25">
      <c r="A22" s="10">
        <v>18</v>
      </c>
      <c r="B22" s="4" t="s">
        <v>107</v>
      </c>
      <c r="C22" s="21">
        <v>0.38680555555555557</v>
      </c>
      <c r="D22" s="21">
        <v>0.42916666666666664</v>
      </c>
      <c r="E22" s="12">
        <v>45630</v>
      </c>
      <c r="F22" s="19">
        <v>14110</v>
      </c>
      <c r="G22" s="19">
        <f t="shared" si="1"/>
        <v>31520</v>
      </c>
      <c r="H22" s="11" t="s">
        <v>14</v>
      </c>
    </row>
    <row r="23" spans="1:8" ht="13.8" x14ac:dyDescent="0.25">
      <c r="A23" s="7">
        <v>19</v>
      </c>
      <c r="B23" s="3" t="s">
        <v>88</v>
      </c>
      <c r="C23" s="20">
        <v>0.38750000000000001</v>
      </c>
      <c r="D23" s="20">
        <v>0.43194444444444446</v>
      </c>
      <c r="E23" s="9">
        <v>47310</v>
      </c>
      <c r="F23" s="18">
        <v>14620</v>
      </c>
      <c r="G23" s="18">
        <f t="shared" si="1"/>
        <v>32690</v>
      </c>
      <c r="H23" s="8" t="s">
        <v>14</v>
      </c>
    </row>
    <row r="24" spans="1:8" ht="13.8" x14ac:dyDescent="0.25">
      <c r="A24" s="10">
        <v>20</v>
      </c>
      <c r="B24" s="4" t="s">
        <v>87</v>
      </c>
      <c r="C24" s="21">
        <v>0.38750000000000001</v>
      </c>
      <c r="D24" s="21">
        <v>0.43680555555555556</v>
      </c>
      <c r="E24" s="12">
        <v>46660</v>
      </c>
      <c r="F24" s="19">
        <v>14570</v>
      </c>
      <c r="G24" s="19">
        <f t="shared" si="1"/>
        <v>32090</v>
      </c>
      <c r="H24" s="11" t="s">
        <v>14</v>
      </c>
    </row>
    <row r="25" spans="1:8" ht="13.8" x14ac:dyDescent="0.25">
      <c r="A25" s="7">
        <v>21</v>
      </c>
      <c r="B25" s="3" t="s">
        <v>49</v>
      </c>
      <c r="C25" s="20">
        <v>0.38680555555555557</v>
      </c>
      <c r="D25" s="20">
        <v>0.4375</v>
      </c>
      <c r="E25" s="9">
        <v>49100</v>
      </c>
      <c r="F25" s="18">
        <v>14550</v>
      </c>
      <c r="G25" s="18">
        <f t="shared" si="1"/>
        <v>34550</v>
      </c>
      <c r="H25" s="8" t="s">
        <v>14</v>
      </c>
    </row>
    <row r="26" spans="1:8" ht="13.8" x14ac:dyDescent="0.25">
      <c r="A26" s="10">
        <v>22</v>
      </c>
      <c r="B26" s="4" t="s">
        <v>58</v>
      </c>
      <c r="C26" s="21">
        <v>0.38819444444444445</v>
      </c>
      <c r="D26" s="21">
        <v>0.44444444444444442</v>
      </c>
      <c r="E26" s="12">
        <v>69370</v>
      </c>
      <c r="F26" s="19">
        <v>22500</v>
      </c>
      <c r="G26" s="19">
        <f t="shared" si="1"/>
        <v>46870</v>
      </c>
      <c r="H26" s="11" t="s">
        <v>14</v>
      </c>
    </row>
    <row r="27" spans="1:8" ht="13.8" x14ac:dyDescent="0.25">
      <c r="A27" s="7">
        <v>23</v>
      </c>
      <c r="B27" s="3" t="s">
        <v>38</v>
      </c>
      <c r="C27" s="20">
        <v>0.38750000000000001</v>
      </c>
      <c r="D27" s="20">
        <v>0.44583333333333336</v>
      </c>
      <c r="E27" s="9">
        <v>44930</v>
      </c>
      <c r="F27" s="18">
        <v>14190</v>
      </c>
      <c r="G27" s="18">
        <f t="shared" si="1"/>
        <v>30740</v>
      </c>
      <c r="H27" s="8" t="s">
        <v>14</v>
      </c>
    </row>
    <row r="28" spans="1:8" ht="13.8" x14ac:dyDescent="0.25">
      <c r="A28" s="10">
        <v>24</v>
      </c>
      <c r="B28" s="4" t="s">
        <v>91</v>
      </c>
      <c r="C28" s="21">
        <v>0.3888888888888889</v>
      </c>
      <c r="D28" s="21">
        <v>0.44861111111111113</v>
      </c>
      <c r="E28" s="12">
        <v>45540</v>
      </c>
      <c r="F28" s="19">
        <v>13570</v>
      </c>
      <c r="G28" s="19">
        <f t="shared" si="1"/>
        <v>31970</v>
      </c>
      <c r="H28" s="11" t="s">
        <v>14</v>
      </c>
    </row>
    <row r="29" spans="1:8" ht="13.8" x14ac:dyDescent="0.25">
      <c r="A29" s="7">
        <v>25</v>
      </c>
      <c r="B29" s="3" t="s">
        <v>60</v>
      </c>
      <c r="C29" s="20">
        <v>0.38819444444444445</v>
      </c>
      <c r="D29" s="20">
        <v>0.45069444444444445</v>
      </c>
      <c r="E29" s="9">
        <v>46940</v>
      </c>
      <c r="F29" s="18">
        <v>14800</v>
      </c>
      <c r="G29" s="18">
        <f t="shared" ref="G29:G32" si="2">E29-F29</f>
        <v>32140</v>
      </c>
      <c r="H29" s="8" t="s">
        <v>14</v>
      </c>
    </row>
    <row r="30" spans="1:8" ht="13.8" x14ac:dyDescent="0.25">
      <c r="A30" s="10">
        <v>26</v>
      </c>
      <c r="B30" s="4" t="s">
        <v>108</v>
      </c>
      <c r="C30" s="21">
        <v>0.3888888888888889</v>
      </c>
      <c r="D30" s="21">
        <v>0.45416666666666666</v>
      </c>
      <c r="E30" s="12">
        <v>47110</v>
      </c>
      <c r="F30" s="19">
        <v>14640</v>
      </c>
      <c r="G30" s="19">
        <f t="shared" si="2"/>
        <v>32470</v>
      </c>
      <c r="H30" s="11" t="s">
        <v>14</v>
      </c>
    </row>
    <row r="31" spans="1:8" ht="13.8" x14ac:dyDescent="0.25">
      <c r="A31" s="7">
        <v>27</v>
      </c>
      <c r="B31" s="3" t="s">
        <v>31</v>
      </c>
      <c r="C31" s="20">
        <v>0.3888888888888889</v>
      </c>
      <c r="D31" s="20">
        <v>0.45555555555555555</v>
      </c>
      <c r="E31" s="9">
        <v>46530</v>
      </c>
      <c r="F31" s="18">
        <v>15910</v>
      </c>
      <c r="G31" s="18">
        <f t="shared" si="2"/>
        <v>30620</v>
      </c>
      <c r="H31" s="8" t="s">
        <v>14</v>
      </c>
    </row>
    <row r="32" spans="1:8" ht="13.8" x14ac:dyDescent="0.25">
      <c r="A32" s="10">
        <v>28</v>
      </c>
      <c r="B32" s="4" t="s">
        <v>62</v>
      </c>
      <c r="C32" s="21">
        <v>0.38958333333333334</v>
      </c>
      <c r="D32" s="21">
        <v>0.4597222222222222</v>
      </c>
      <c r="E32" s="12">
        <v>44850</v>
      </c>
      <c r="F32" s="19">
        <v>14310</v>
      </c>
      <c r="G32" s="19">
        <f t="shared" si="2"/>
        <v>30540</v>
      </c>
      <c r="H32" s="11" t="s">
        <v>14</v>
      </c>
    </row>
    <row r="33" spans="1:8" ht="13.8" x14ac:dyDescent="0.25">
      <c r="A33" s="7">
        <v>29</v>
      </c>
      <c r="B33" s="3" t="s">
        <v>23</v>
      </c>
      <c r="C33" s="20">
        <v>0.38958333333333334</v>
      </c>
      <c r="D33" s="20">
        <v>0.46111111111111114</v>
      </c>
      <c r="E33" s="9">
        <v>61620</v>
      </c>
      <c r="F33" s="18">
        <v>18830</v>
      </c>
      <c r="G33" s="18">
        <f t="shared" si="1"/>
        <v>42790</v>
      </c>
      <c r="H33" s="8" t="s">
        <v>14</v>
      </c>
    </row>
    <row r="34" spans="1:8" ht="13.8" x14ac:dyDescent="0.25">
      <c r="A34" s="10">
        <v>30</v>
      </c>
      <c r="B34" s="4" t="s">
        <v>34</v>
      </c>
      <c r="C34" s="21">
        <v>0.38958333333333334</v>
      </c>
      <c r="D34" s="21">
        <v>0.46527777777777779</v>
      </c>
      <c r="E34" s="12">
        <v>47400</v>
      </c>
      <c r="F34" s="19">
        <v>14930</v>
      </c>
      <c r="G34" s="19">
        <f t="shared" si="1"/>
        <v>32470</v>
      </c>
      <c r="H34" s="11" t="s">
        <v>14</v>
      </c>
    </row>
    <row r="35" spans="1:8" ht="13.8" x14ac:dyDescent="0.25">
      <c r="A35" s="7">
        <v>31</v>
      </c>
      <c r="B35" s="3" t="s">
        <v>19</v>
      </c>
      <c r="C35" s="20">
        <v>0.39027777777777778</v>
      </c>
      <c r="D35" s="20">
        <v>0.46666666666666667</v>
      </c>
      <c r="E35" s="9">
        <v>49270</v>
      </c>
      <c r="F35" s="18">
        <v>14440</v>
      </c>
      <c r="G35" s="18">
        <f t="shared" si="1"/>
        <v>34830</v>
      </c>
      <c r="H35" s="8" t="s">
        <v>14</v>
      </c>
    </row>
    <row r="36" spans="1:8" ht="13.8" x14ac:dyDescent="0.25">
      <c r="A36" s="10">
        <v>32</v>
      </c>
      <c r="B36" s="4" t="s">
        <v>74</v>
      </c>
      <c r="C36" s="21">
        <v>0.39027777777777778</v>
      </c>
      <c r="D36" s="21">
        <v>0.47083333333333333</v>
      </c>
      <c r="E36" s="12">
        <v>46430</v>
      </c>
      <c r="F36" s="19">
        <v>14740</v>
      </c>
      <c r="G36" s="19">
        <f t="shared" si="1"/>
        <v>31690</v>
      </c>
      <c r="H36" s="11" t="s">
        <v>14</v>
      </c>
    </row>
    <row r="37" spans="1:8" ht="13.8" x14ac:dyDescent="0.25">
      <c r="A37" s="7">
        <v>33</v>
      </c>
      <c r="B37" s="3" t="s">
        <v>89</v>
      </c>
      <c r="C37" s="20">
        <v>0.39097222222222222</v>
      </c>
      <c r="D37" s="20">
        <v>0.47152777777777777</v>
      </c>
      <c r="E37" s="9">
        <v>43890</v>
      </c>
      <c r="F37" s="18">
        <v>13860</v>
      </c>
      <c r="G37" s="18">
        <f t="shared" si="1"/>
        <v>30030</v>
      </c>
      <c r="H37" s="8" t="s">
        <v>14</v>
      </c>
    </row>
    <row r="38" spans="1:8" ht="13.8" x14ac:dyDescent="0.25">
      <c r="A38" s="10">
        <v>34</v>
      </c>
      <c r="B38" s="4" t="s">
        <v>109</v>
      </c>
      <c r="C38" s="21">
        <v>0.39097222222222222</v>
      </c>
      <c r="D38" s="21">
        <v>0.47638888888888886</v>
      </c>
      <c r="E38" s="12">
        <v>45990</v>
      </c>
      <c r="F38" s="19">
        <v>13450</v>
      </c>
      <c r="G38" s="19">
        <f t="shared" si="1"/>
        <v>32540</v>
      </c>
      <c r="H38" s="11" t="s">
        <v>14</v>
      </c>
    </row>
    <row r="39" spans="1:8" ht="13.8" x14ac:dyDescent="0.25">
      <c r="A39" s="7">
        <v>35</v>
      </c>
      <c r="B39" s="3" t="s">
        <v>82</v>
      </c>
      <c r="C39" s="20">
        <v>0.39097222222222222</v>
      </c>
      <c r="D39" s="20">
        <v>0.47708333333333336</v>
      </c>
      <c r="E39" s="9">
        <v>47290</v>
      </c>
      <c r="F39" s="18">
        <v>15310</v>
      </c>
      <c r="G39" s="18">
        <f t="shared" si="0"/>
        <v>31980</v>
      </c>
      <c r="H39" s="8" t="s">
        <v>14</v>
      </c>
    </row>
    <row r="40" spans="1:8" ht="13.8" x14ac:dyDescent="0.25">
      <c r="A40" s="10">
        <v>36</v>
      </c>
      <c r="B40" s="4" t="s">
        <v>79</v>
      </c>
      <c r="C40" s="21">
        <v>0.39166666666666666</v>
      </c>
      <c r="D40" s="21">
        <v>0.48125000000000001</v>
      </c>
      <c r="E40" s="12">
        <v>44410</v>
      </c>
      <c r="F40" s="19">
        <v>14450</v>
      </c>
      <c r="G40" s="19">
        <f t="shared" si="0"/>
        <v>29960</v>
      </c>
      <c r="H40" s="11" t="s">
        <v>14</v>
      </c>
    </row>
    <row r="41" spans="1:8" ht="13.8" x14ac:dyDescent="0.25">
      <c r="A41" s="7">
        <v>37</v>
      </c>
      <c r="B41" s="3" t="s">
        <v>93</v>
      </c>
      <c r="C41" s="20">
        <v>0.39166666666666666</v>
      </c>
      <c r="D41" s="20">
        <v>0.4826388888888889</v>
      </c>
      <c r="E41" s="9">
        <v>46200</v>
      </c>
      <c r="F41" s="18">
        <v>13540</v>
      </c>
      <c r="G41" s="18">
        <f t="shared" si="0"/>
        <v>32660</v>
      </c>
      <c r="H41" s="8" t="s">
        <v>14</v>
      </c>
    </row>
    <row r="42" spans="1:8" ht="13.8" x14ac:dyDescent="0.25">
      <c r="A42" s="10">
        <v>38</v>
      </c>
      <c r="B42" s="4" t="s">
        <v>110</v>
      </c>
      <c r="C42" s="21">
        <v>0.43888888888888888</v>
      </c>
      <c r="D42" s="21">
        <v>0.48472222222222222</v>
      </c>
      <c r="E42" s="12">
        <v>42280</v>
      </c>
      <c r="F42" s="19">
        <v>14060</v>
      </c>
      <c r="G42" s="19">
        <f t="shared" si="0"/>
        <v>28220</v>
      </c>
      <c r="H42" s="11" t="s">
        <v>14</v>
      </c>
    </row>
    <row r="43" spans="1:8" ht="13.8" x14ac:dyDescent="0.25">
      <c r="A43" s="7">
        <v>39</v>
      </c>
      <c r="B43" s="3" t="s">
        <v>53</v>
      </c>
      <c r="C43" s="20">
        <v>0.43888888888888888</v>
      </c>
      <c r="D43" s="20">
        <v>0.48749999999999999</v>
      </c>
      <c r="E43" s="9">
        <v>45670</v>
      </c>
      <c r="F43" s="18">
        <v>14460</v>
      </c>
      <c r="G43" s="18">
        <f t="shared" si="0"/>
        <v>31210</v>
      </c>
      <c r="H43" s="8" t="s">
        <v>14</v>
      </c>
    </row>
    <row r="44" spans="1:8" ht="13.8" x14ac:dyDescent="0.25">
      <c r="A44" s="10">
        <v>40</v>
      </c>
      <c r="B44" s="4" t="s">
        <v>71</v>
      </c>
      <c r="C44" s="21">
        <v>0.43958333333333333</v>
      </c>
      <c r="D44" s="21">
        <v>0.48888888888888887</v>
      </c>
      <c r="E44" s="12">
        <v>43970</v>
      </c>
      <c r="F44" s="19">
        <v>13890</v>
      </c>
      <c r="G44" s="19">
        <f t="shared" si="0"/>
        <v>30080</v>
      </c>
      <c r="H44" s="11" t="s">
        <v>14</v>
      </c>
    </row>
    <row r="45" spans="1:8" ht="13.8" x14ac:dyDescent="0.25">
      <c r="A45" s="7">
        <v>41</v>
      </c>
      <c r="B45" s="3" t="s">
        <v>68</v>
      </c>
      <c r="C45" s="20">
        <v>0.43958333333333333</v>
      </c>
      <c r="D45" s="20">
        <v>0.4909722222222222</v>
      </c>
      <c r="E45" s="9">
        <v>42500</v>
      </c>
      <c r="F45" s="18">
        <v>13270</v>
      </c>
      <c r="G45" s="18">
        <f t="shared" si="0"/>
        <v>29230</v>
      </c>
      <c r="H45" s="8" t="s">
        <v>14</v>
      </c>
    </row>
    <row r="46" spans="1:8" ht="13.8" x14ac:dyDescent="0.25">
      <c r="A46" s="10">
        <v>42</v>
      </c>
      <c r="B46" s="4" t="s">
        <v>61</v>
      </c>
      <c r="C46" s="21">
        <v>0.44027777777777777</v>
      </c>
      <c r="D46" s="21">
        <v>0.49166666666666664</v>
      </c>
      <c r="E46" s="12">
        <v>42400</v>
      </c>
      <c r="F46" s="19">
        <v>13180</v>
      </c>
      <c r="G46" s="19">
        <f t="shared" si="0"/>
        <v>29220</v>
      </c>
      <c r="H46" s="11" t="s">
        <v>14</v>
      </c>
    </row>
    <row r="47" spans="1:8" ht="13.8" x14ac:dyDescent="0.25">
      <c r="A47" s="7">
        <v>43</v>
      </c>
      <c r="B47" s="3" t="s">
        <v>51</v>
      </c>
      <c r="C47" s="20">
        <v>0.44027777777777777</v>
      </c>
      <c r="D47" s="20">
        <v>0.49513888888888891</v>
      </c>
      <c r="E47" s="9">
        <v>45770</v>
      </c>
      <c r="F47" s="18">
        <v>14610</v>
      </c>
      <c r="G47" s="18">
        <f t="shared" ref="G47:G88" si="3">E47-F47</f>
        <v>31160</v>
      </c>
      <c r="H47" s="8" t="s">
        <v>14</v>
      </c>
    </row>
    <row r="48" spans="1:8" ht="13.8" x14ac:dyDescent="0.25">
      <c r="A48" s="10">
        <v>44</v>
      </c>
      <c r="B48" s="4" t="s">
        <v>111</v>
      </c>
      <c r="C48" s="21">
        <v>0.43958333333333333</v>
      </c>
      <c r="D48" s="21">
        <v>0.55069444444444449</v>
      </c>
      <c r="E48" s="12">
        <v>44970</v>
      </c>
      <c r="F48" s="19">
        <v>13690</v>
      </c>
      <c r="G48" s="19">
        <f t="shared" si="3"/>
        <v>31280</v>
      </c>
      <c r="H48" s="11" t="s">
        <v>14</v>
      </c>
    </row>
    <row r="49" spans="1:8" ht="13.8" x14ac:dyDescent="0.25">
      <c r="A49" s="7">
        <v>45</v>
      </c>
      <c r="B49" s="3" t="s">
        <v>72</v>
      </c>
      <c r="C49" s="20">
        <v>0.44027777777777777</v>
      </c>
      <c r="D49" s="20">
        <v>0.55486111111111114</v>
      </c>
      <c r="E49" s="9">
        <v>45870</v>
      </c>
      <c r="F49" s="18">
        <v>13890</v>
      </c>
      <c r="G49" s="18">
        <f t="shared" si="3"/>
        <v>31980</v>
      </c>
      <c r="H49" s="8" t="s">
        <v>14</v>
      </c>
    </row>
    <row r="50" spans="1:8" ht="13.8" x14ac:dyDescent="0.25">
      <c r="A50" s="10">
        <v>46</v>
      </c>
      <c r="B50" s="4" t="s">
        <v>47</v>
      </c>
      <c r="C50" s="21">
        <v>0.44027777777777777</v>
      </c>
      <c r="D50" s="21">
        <v>0.55833333333333335</v>
      </c>
      <c r="E50" s="12">
        <v>45950</v>
      </c>
      <c r="F50" s="19">
        <v>14480</v>
      </c>
      <c r="G50" s="19">
        <f t="shared" si="3"/>
        <v>31470</v>
      </c>
      <c r="H50" s="11" t="s">
        <v>14</v>
      </c>
    </row>
    <row r="51" spans="1:8" ht="13.8" x14ac:dyDescent="0.25">
      <c r="A51" s="7">
        <v>47</v>
      </c>
      <c r="B51" s="3" t="s">
        <v>56</v>
      </c>
      <c r="C51" s="20">
        <v>0.44097222222222221</v>
      </c>
      <c r="D51" s="20">
        <v>0.55902777777777779</v>
      </c>
      <c r="E51" s="9">
        <v>45330</v>
      </c>
      <c r="F51" s="18">
        <v>14030</v>
      </c>
      <c r="G51" s="18">
        <f t="shared" si="3"/>
        <v>31300</v>
      </c>
      <c r="H51" s="8" t="s">
        <v>14</v>
      </c>
    </row>
    <row r="52" spans="1:8" ht="13.8" x14ac:dyDescent="0.25">
      <c r="A52" s="10">
        <v>48</v>
      </c>
      <c r="B52" s="4" t="s">
        <v>112</v>
      </c>
      <c r="C52" s="21">
        <v>0.44166666666666665</v>
      </c>
      <c r="D52" s="21">
        <v>0.56319444444444444</v>
      </c>
      <c r="E52" s="12">
        <v>44280</v>
      </c>
      <c r="F52" s="19">
        <v>14060</v>
      </c>
      <c r="G52" s="19">
        <f t="shared" si="3"/>
        <v>30220</v>
      </c>
      <c r="H52" s="11" t="s">
        <v>14</v>
      </c>
    </row>
    <row r="53" spans="1:8" ht="13.8" x14ac:dyDescent="0.25">
      <c r="A53" s="7">
        <v>49</v>
      </c>
      <c r="B53" s="3" t="s">
        <v>43</v>
      </c>
      <c r="C53" s="20">
        <v>0.44097222222222221</v>
      </c>
      <c r="D53" s="20">
        <v>0.56458333333333333</v>
      </c>
      <c r="E53" s="9">
        <v>46310</v>
      </c>
      <c r="F53" s="18">
        <v>14580</v>
      </c>
      <c r="G53" s="18">
        <f t="shared" si="3"/>
        <v>31730</v>
      </c>
      <c r="H53" s="8" t="s">
        <v>14</v>
      </c>
    </row>
    <row r="54" spans="1:8" ht="13.8" x14ac:dyDescent="0.25">
      <c r="A54" s="10">
        <v>50</v>
      </c>
      <c r="B54" s="4" t="s">
        <v>50</v>
      </c>
      <c r="C54" s="21">
        <v>0.44166666666666665</v>
      </c>
      <c r="D54" s="21">
        <v>0.56944444444444442</v>
      </c>
      <c r="E54" s="12">
        <v>45130</v>
      </c>
      <c r="F54" s="19">
        <v>13850</v>
      </c>
      <c r="G54" s="19">
        <f t="shared" si="3"/>
        <v>31280</v>
      </c>
      <c r="H54" s="11" t="s">
        <v>14</v>
      </c>
    </row>
    <row r="55" spans="1:8" ht="13.8" x14ac:dyDescent="0.25">
      <c r="A55" s="7">
        <v>51</v>
      </c>
      <c r="B55" s="3" t="s">
        <v>48</v>
      </c>
      <c r="C55" s="20">
        <v>0.44166666666666665</v>
      </c>
      <c r="D55" s="20">
        <v>0.57499999999999996</v>
      </c>
      <c r="E55" s="9">
        <v>46550</v>
      </c>
      <c r="F55" s="18">
        <v>14850</v>
      </c>
      <c r="G55" s="18">
        <f t="shared" si="3"/>
        <v>31700</v>
      </c>
      <c r="H55" s="8" t="s">
        <v>14</v>
      </c>
    </row>
    <row r="56" spans="1:8" ht="13.8" x14ac:dyDescent="0.25">
      <c r="A56" s="10">
        <v>52</v>
      </c>
      <c r="B56" s="4" t="s">
        <v>44</v>
      </c>
      <c r="C56" s="21">
        <v>0.44236111111111109</v>
      </c>
      <c r="D56" s="21">
        <v>0.57708333333333328</v>
      </c>
      <c r="E56" s="12">
        <v>47670</v>
      </c>
      <c r="F56" s="19">
        <v>15380</v>
      </c>
      <c r="G56" s="19">
        <f t="shared" si="3"/>
        <v>32290</v>
      </c>
      <c r="H56" s="11" t="s">
        <v>14</v>
      </c>
    </row>
    <row r="57" spans="1:8" ht="13.8" x14ac:dyDescent="0.25">
      <c r="A57" s="7">
        <v>53</v>
      </c>
      <c r="B57" s="3" t="s">
        <v>92</v>
      </c>
      <c r="C57" s="20">
        <v>0.44236111111111109</v>
      </c>
      <c r="D57" s="20">
        <v>0.57847222222222228</v>
      </c>
      <c r="E57" s="9">
        <v>46270</v>
      </c>
      <c r="F57" s="18">
        <v>14010</v>
      </c>
      <c r="G57" s="18">
        <f t="shared" si="3"/>
        <v>32260</v>
      </c>
      <c r="H57" s="8" t="s">
        <v>14</v>
      </c>
    </row>
    <row r="58" spans="1:8" ht="13.8" x14ac:dyDescent="0.25">
      <c r="A58" s="10">
        <v>54</v>
      </c>
      <c r="B58" s="4" t="s">
        <v>113</v>
      </c>
      <c r="C58" s="21">
        <v>0.44305555555555554</v>
      </c>
      <c r="D58" s="21">
        <v>0.5805555555555556</v>
      </c>
      <c r="E58" s="12">
        <v>45860</v>
      </c>
      <c r="F58" s="19">
        <v>13260</v>
      </c>
      <c r="G58" s="19">
        <f t="shared" si="3"/>
        <v>32600</v>
      </c>
      <c r="H58" s="11" t="s">
        <v>14</v>
      </c>
    </row>
    <row r="59" spans="1:8" ht="13.8" x14ac:dyDescent="0.25">
      <c r="A59" s="7">
        <v>55</v>
      </c>
      <c r="B59" s="3" t="s">
        <v>46</v>
      </c>
      <c r="C59" s="20">
        <v>0.44236111111111109</v>
      </c>
      <c r="D59" s="20">
        <v>0.58194444444444449</v>
      </c>
      <c r="E59" s="9">
        <v>65630</v>
      </c>
      <c r="F59" s="18">
        <v>22720</v>
      </c>
      <c r="G59" s="18">
        <f t="shared" si="3"/>
        <v>42910</v>
      </c>
      <c r="H59" s="8" t="s">
        <v>14</v>
      </c>
    </row>
    <row r="60" spans="1:8" ht="13.8" x14ac:dyDescent="0.25">
      <c r="A60" s="10">
        <v>56</v>
      </c>
      <c r="B60" s="4" t="s">
        <v>17</v>
      </c>
      <c r="C60" s="21">
        <v>0.44305555555555554</v>
      </c>
      <c r="D60" s="21">
        <v>0.58333333333333337</v>
      </c>
      <c r="E60" s="12">
        <v>45740</v>
      </c>
      <c r="F60" s="19">
        <v>14990</v>
      </c>
      <c r="G60" s="19">
        <f t="shared" si="3"/>
        <v>30750</v>
      </c>
      <c r="H60" s="11" t="s">
        <v>14</v>
      </c>
    </row>
    <row r="61" spans="1:8" ht="13.8" x14ac:dyDescent="0.25">
      <c r="A61" s="7">
        <v>57</v>
      </c>
      <c r="B61" s="3" t="s">
        <v>42</v>
      </c>
      <c r="C61" s="20">
        <v>0.54305555555555551</v>
      </c>
      <c r="D61" s="20">
        <v>0.58680555555555558</v>
      </c>
      <c r="E61" s="9">
        <v>47170</v>
      </c>
      <c r="F61" s="18">
        <v>14400</v>
      </c>
      <c r="G61" s="18">
        <f t="shared" si="3"/>
        <v>32770</v>
      </c>
      <c r="H61" s="8" t="s">
        <v>14</v>
      </c>
    </row>
    <row r="62" spans="1:8" ht="13.8" x14ac:dyDescent="0.25">
      <c r="A62" s="10">
        <v>58</v>
      </c>
      <c r="B62" s="4" t="s">
        <v>90</v>
      </c>
      <c r="C62" s="21">
        <v>0.44305555555555554</v>
      </c>
      <c r="D62" s="21">
        <v>0.58819444444444446</v>
      </c>
      <c r="E62" s="12">
        <v>43050</v>
      </c>
      <c r="F62" s="19">
        <v>13550</v>
      </c>
      <c r="G62" s="19">
        <f t="shared" si="3"/>
        <v>29500</v>
      </c>
      <c r="H62" s="11" t="s">
        <v>14</v>
      </c>
    </row>
    <row r="63" spans="1:8" ht="13.8" x14ac:dyDescent="0.25">
      <c r="A63" s="7">
        <v>59</v>
      </c>
      <c r="B63" s="3" t="s">
        <v>80</v>
      </c>
      <c r="C63" s="20">
        <v>0.54305555555555551</v>
      </c>
      <c r="D63" s="20">
        <v>0.59236111111111112</v>
      </c>
      <c r="E63" s="9">
        <v>46360</v>
      </c>
      <c r="F63" s="18">
        <v>14150</v>
      </c>
      <c r="G63" s="18">
        <f t="shared" si="3"/>
        <v>32210</v>
      </c>
      <c r="H63" s="8" t="s">
        <v>14</v>
      </c>
    </row>
    <row r="64" spans="1:8" ht="13.8" x14ac:dyDescent="0.25">
      <c r="A64" s="10">
        <v>60</v>
      </c>
      <c r="B64" s="4" t="s">
        <v>81</v>
      </c>
      <c r="C64" s="21">
        <v>0.54374999999999996</v>
      </c>
      <c r="D64" s="21">
        <v>0.59305555555555556</v>
      </c>
      <c r="E64" s="12">
        <v>46740</v>
      </c>
      <c r="F64" s="19">
        <v>13250</v>
      </c>
      <c r="G64" s="19">
        <f t="shared" si="3"/>
        <v>33490</v>
      </c>
      <c r="H64" s="11" t="s">
        <v>14</v>
      </c>
    </row>
    <row r="65" spans="1:8" ht="13.8" x14ac:dyDescent="0.25">
      <c r="A65" s="7">
        <v>61</v>
      </c>
      <c r="B65" s="3" t="s">
        <v>70</v>
      </c>
      <c r="C65" s="20">
        <v>0.5444444444444444</v>
      </c>
      <c r="D65" s="20">
        <v>0.59791666666666665</v>
      </c>
      <c r="E65" s="9">
        <v>42640</v>
      </c>
      <c r="F65" s="18">
        <v>13770</v>
      </c>
      <c r="G65" s="18">
        <f t="shared" si="3"/>
        <v>28870</v>
      </c>
      <c r="H65" s="8" t="s">
        <v>14</v>
      </c>
    </row>
    <row r="66" spans="1:8" ht="13.8" x14ac:dyDescent="0.25">
      <c r="A66" s="10">
        <v>62</v>
      </c>
      <c r="B66" s="4" t="s">
        <v>96</v>
      </c>
      <c r="C66" s="21">
        <v>0.54374999999999996</v>
      </c>
      <c r="D66" s="21">
        <v>0.59861111111111109</v>
      </c>
      <c r="E66" s="12">
        <v>44770</v>
      </c>
      <c r="F66" s="19">
        <v>13470</v>
      </c>
      <c r="G66" s="19">
        <f t="shared" si="3"/>
        <v>31300</v>
      </c>
      <c r="H66" s="11" t="s">
        <v>14</v>
      </c>
    </row>
    <row r="67" spans="1:8" ht="13.8" x14ac:dyDescent="0.25">
      <c r="A67" s="7">
        <v>63</v>
      </c>
      <c r="B67" s="3" t="s">
        <v>97</v>
      </c>
      <c r="C67" s="20">
        <v>0.54374999999999996</v>
      </c>
      <c r="D67" s="20">
        <v>0.60555555555555551</v>
      </c>
      <c r="E67" s="9">
        <v>44690</v>
      </c>
      <c r="F67" s="18">
        <v>13940</v>
      </c>
      <c r="G67" s="18">
        <f t="shared" si="3"/>
        <v>30750</v>
      </c>
      <c r="H67" s="8" t="s">
        <v>14</v>
      </c>
    </row>
    <row r="68" spans="1:8" ht="13.8" x14ac:dyDescent="0.25">
      <c r="A68" s="10">
        <v>64</v>
      </c>
      <c r="B68" s="4" t="s">
        <v>37</v>
      </c>
      <c r="C68" s="21">
        <v>0.5444444444444444</v>
      </c>
      <c r="D68" s="21">
        <v>0.60624999999999996</v>
      </c>
      <c r="E68" s="12">
        <v>47470</v>
      </c>
      <c r="F68" s="19">
        <v>14520</v>
      </c>
      <c r="G68" s="19">
        <f t="shared" si="3"/>
        <v>32950</v>
      </c>
      <c r="H68" s="11" t="s">
        <v>14</v>
      </c>
    </row>
    <row r="69" spans="1:8" ht="13.8" x14ac:dyDescent="0.25">
      <c r="A69" s="7">
        <v>65</v>
      </c>
      <c r="B69" s="3" t="s">
        <v>85</v>
      </c>
      <c r="C69" s="20">
        <v>0.54513888888888884</v>
      </c>
      <c r="D69" s="20">
        <v>0.60902777777777772</v>
      </c>
      <c r="E69" s="9">
        <v>40180</v>
      </c>
      <c r="F69" s="18">
        <v>12090</v>
      </c>
      <c r="G69" s="18">
        <f t="shared" si="3"/>
        <v>28090</v>
      </c>
      <c r="H69" s="8" t="s">
        <v>14</v>
      </c>
    </row>
    <row r="70" spans="1:8" ht="13.8" x14ac:dyDescent="0.25">
      <c r="A70" s="10">
        <v>66</v>
      </c>
      <c r="B70" s="4" t="s">
        <v>94</v>
      </c>
      <c r="C70" s="21">
        <v>0.5444444444444444</v>
      </c>
      <c r="D70" s="21">
        <v>0.60972222222222228</v>
      </c>
      <c r="E70" s="12">
        <v>43460</v>
      </c>
      <c r="F70" s="19">
        <v>13570</v>
      </c>
      <c r="G70" s="19">
        <f t="shared" si="3"/>
        <v>29890</v>
      </c>
      <c r="H70" s="11" t="s">
        <v>14</v>
      </c>
    </row>
    <row r="71" spans="1:8" ht="13.8" x14ac:dyDescent="0.25">
      <c r="A71" s="7">
        <v>67</v>
      </c>
      <c r="B71" s="3" t="s">
        <v>18</v>
      </c>
      <c r="C71" s="20">
        <v>0.54513888888888884</v>
      </c>
      <c r="D71" s="20">
        <v>0.6166666666666667</v>
      </c>
      <c r="E71" s="9">
        <v>68340</v>
      </c>
      <c r="F71" s="18">
        <v>23100</v>
      </c>
      <c r="G71" s="18">
        <f t="shared" si="3"/>
        <v>45240</v>
      </c>
      <c r="H71" s="8" t="s">
        <v>14</v>
      </c>
    </row>
    <row r="72" spans="1:8" ht="13.8" x14ac:dyDescent="0.25">
      <c r="A72" s="10">
        <v>68</v>
      </c>
      <c r="B72" s="4" t="s">
        <v>57</v>
      </c>
      <c r="C72" s="21">
        <v>0.54583333333333328</v>
      </c>
      <c r="D72" s="21">
        <v>0.61805555555555558</v>
      </c>
      <c r="E72" s="12">
        <v>68160</v>
      </c>
      <c r="F72" s="19">
        <v>23040</v>
      </c>
      <c r="G72" s="19">
        <f t="shared" si="3"/>
        <v>45120</v>
      </c>
      <c r="H72" s="11" t="s">
        <v>14</v>
      </c>
    </row>
    <row r="73" spans="1:8" ht="13.8" x14ac:dyDescent="0.25">
      <c r="A73" s="7">
        <v>69</v>
      </c>
      <c r="B73" s="3" t="s">
        <v>69</v>
      </c>
      <c r="C73" s="20">
        <v>0.54583333333333328</v>
      </c>
      <c r="D73" s="20">
        <v>0.61944444444444446</v>
      </c>
      <c r="E73" s="9">
        <v>43210</v>
      </c>
      <c r="F73" s="18">
        <v>13800</v>
      </c>
      <c r="G73" s="18">
        <f t="shared" si="3"/>
        <v>29410</v>
      </c>
      <c r="H73" s="8" t="s">
        <v>14</v>
      </c>
    </row>
    <row r="74" spans="1:8" ht="13.8" x14ac:dyDescent="0.25">
      <c r="A74" s="10">
        <v>70</v>
      </c>
      <c r="B74" s="4" t="s">
        <v>39</v>
      </c>
      <c r="C74" s="21">
        <v>0.54583333333333328</v>
      </c>
      <c r="D74" s="21">
        <v>0.62291666666666667</v>
      </c>
      <c r="E74" s="12">
        <v>43930</v>
      </c>
      <c r="F74" s="19">
        <v>13790</v>
      </c>
      <c r="G74" s="19">
        <f t="shared" si="3"/>
        <v>30140</v>
      </c>
      <c r="H74" s="11" t="s">
        <v>14</v>
      </c>
    </row>
    <row r="75" spans="1:8" ht="13.8" x14ac:dyDescent="0.25">
      <c r="A75" s="7">
        <v>71</v>
      </c>
      <c r="B75" s="3" t="s">
        <v>114</v>
      </c>
      <c r="C75" s="20">
        <v>0.54652777777777772</v>
      </c>
      <c r="D75" s="20">
        <v>0.62638888888888888</v>
      </c>
      <c r="E75" s="9">
        <v>46070</v>
      </c>
      <c r="F75" s="18">
        <v>13730</v>
      </c>
      <c r="G75" s="18">
        <f t="shared" si="3"/>
        <v>32340</v>
      </c>
      <c r="H75" s="8" t="s">
        <v>14</v>
      </c>
    </row>
    <row r="76" spans="1:8" ht="13.8" x14ac:dyDescent="0.25">
      <c r="A76" s="10">
        <v>72</v>
      </c>
      <c r="B76" s="4" t="s">
        <v>73</v>
      </c>
      <c r="C76" s="21">
        <v>0.54652777777777772</v>
      </c>
      <c r="D76" s="21">
        <v>0.62847222222222221</v>
      </c>
      <c r="E76" s="12">
        <v>46420</v>
      </c>
      <c r="F76" s="19">
        <v>14690</v>
      </c>
      <c r="G76" s="19">
        <f t="shared" si="3"/>
        <v>31730</v>
      </c>
      <c r="H76" s="11" t="s">
        <v>14</v>
      </c>
    </row>
    <row r="77" spans="1:8" ht="13.8" x14ac:dyDescent="0.25">
      <c r="A77" s="7">
        <v>73</v>
      </c>
      <c r="B77" s="3" t="s">
        <v>36</v>
      </c>
      <c r="C77" s="20">
        <v>0.57222222222222219</v>
      </c>
      <c r="D77" s="20">
        <v>0.63124999999999998</v>
      </c>
      <c r="E77" s="9">
        <v>47280</v>
      </c>
      <c r="F77" s="18">
        <v>13480</v>
      </c>
      <c r="G77" s="18">
        <f t="shared" si="3"/>
        <v>33800</v>
      </c>
      <c r="H77" s="8" t="s">
        <v>14</v>
      </c>
    </row>
    <row r="78" spans="1:8" ht="13.8" x14ac:dyDescent="0.25">
      <c r="A78" s="10">
        <v>74</v>
      </c>
      <c r="B78" s="4" t="s">
        <v>63</v>
      </c>
      <c r="C78" s="21">
        <v>0.55277777777777781</v>
      </c>
      <c r="D78" s="21">
        <v>0.63263888888888886</v>
      </c>
      <c r="E78" s="12">
        <v>46190</v>
      </c>
      <c r="F78" s="19">
        <v>14770</v>
      </c>
      <c r="G78" s="19">
        <f t="shared" si="3"/>
        <v>31420</v>
      </c>
      <c r="H78" s="11" t="s">
        <v>14</v>
      </c>
    </row>
    <row r="79" spans="1:8" ht="13.8" x14ac:dyDescent="0.25">
      <c r="A79" s="7">
        <v>75</v>
      </c>
      <c r="B79" s="3" t="s">
        <v>35</v>
      </c>
      <c r="C79" s="20">
        <v>0.57638888888888884</v>
      </c>
      <c r="D79" s="20">
        <v>0.63888888888888884</v>
      </c>
      <c r="E79" s="9">
        <v>46860</v>
      </c>
      <c r="F79" s="18">
        <v>14120</v>
      </c>
      <c r="G79" s="18">
        <f t="shared" si="3"/>
        <v>32740</v>
      </c>
      <c r="H79" s="8" t="s">
        <v>14</v>
      </c>
    </row>
    <row r="80" spans="1:8" ht="13.8" x14ac:dyDescent="0.25">
      <c r="A80" s="10">
        <v>76</v>
      </c>
      <c r="B80" s="4" t="s">
        <v>99</v>
      </c>
      <c r="C80" s="21">
        <v>0.6</v>
      </c>
      <c r="D80" s="21">
        <v>0.63958333333333328</v>
      </c>
      <c r="E80" s="12">
        <v>50270</v>
      </c>
      <c r="F80" s="19">
        <v>16910</v>
      </c>
      <c r="G80" s="19">
        <f t="shared" si="3"/>
        <v>33360</v>
      </c>
      <c r="H80" s="11" t="s">
        <v>14</v>
      </c>
    </row>
    <row r="81" spans="1:8" ht="13.8" x14ac:dyDescent="0.25">
      <c r="A81" s="7">
        <v>77</v>
      </c>
      <c r="B81" s="3" t="s">
        <v>75</v>
      </c>
      <c r="C81" s="20">
        <v>0.61111111111111116</v>
      </c>
      <c r="D81" s="20">
        <v>0.6430555555555556</v>
      </c>
      <c r="E81" s="9">
        <v>45780</v>
      </c>
      <c r="F81" s="18">
        <v>13860</v>
      </c>
      <c r="G81" s="18">
        <f t="shared" si="3"/>
        <v>31920</v>
      </c>
      <c r="H81" s="8" t="s">
        <v>14</v>
      </c>
    </row>
    <row r="82" spans="1:8" ht="13.8" x14ac:dyDescent="0.25">
      <c r="A82" s="10">
        <v>78</v>
      </c>
      <c r="B82" s="4" t="s">
        <v>52</v>
      </c>
      <c r="C82" s="21">
        <v>0.58958333333333335</v>
      </c>
      <c r="D82" s="21">
        <v>0.64444444444444449</v>
      </c>
      <c r="E82" s="12">
        <v>49080</v>
      </c>
      <c r="F82" s="19">
        <v>14820</v>
      </c>
      <c r="G82" s="19">
        <f t="shared" si="3"/>
        <v>34260</v>
      </c>
      <c r="H82" s="11" t="s">
        <v>14</v>
      </c>
    </row>
    <row r="83" spans="1:8" ht="13.8" x14ac:dyDescent="0.25">
      <c r="A83" s="7">
        <v>79</v>
      </c>
      <c r="B83" s="3" t="s">
        <v>25</v>
      </c>
      <c r="C83" s="20">
        <v>0.6118055555555556</v>
      </c>
      <c r="D83" s="20">
        <v>0.6479166666666667</v>
      </c>
      <c r="E83" s="9">
        <v>46570</v>
      </c>
      <c r="F83" s="18">
        <v>15160</v>
      </c>
      <c r="G83" s="18">
        <f t="shared" si="3"/>
        <v>31410</v>
      </c>
      <c r="H83" s="8" t="s">
        <v>14</v>
      </c>
    </row>
    <row r="84" spans="1:8" ht="13.8" x14ac:dyDescent="0.25">
      <c r="A84" s="10">
        <v>80</v>
      </c>
      <c r="B84" s="4" t="s">
        <v>115</v>
      </c>
      <c r="C84" s="21">
        <v>0.61388888888888893</v>
      </c>
      <c r="D84" s="21">
        <v>0.64861111111111114</v>
      </c>
      <c r="E84" s="12">
        <v>45520</v>
      </c>
      <c r="F84" s="19">
        <v>14600</v>
      </c>
      <c r="G84" s="19">
        <f t="shared" si="3"/>
        <v>30920</v>
      </c>
      <c r="H84" s="11" t="s">
        <v>14</v>
      </c>
    </row>
    <row r="85" spans="1:8" ht="13.8" x14ac:dyDescent="0.25">
      <c r="A85" s="7">
        <v>81</v>
      </c>
      <c r="B85" s="3" t="s">
        <v>116</v>
      </c>
      <c r="C85" s="20">
        <v>0.61388888888888893</v>
      </c>
      <c r="D85" s="20">
        <v>0.65694444444444444</v>
      </c>
      <c r="E85" s="9">
        <v>44870</v>
      </c>
      <c r="F85" s="18">
        <v>13770</v>
      </c>
      <c r="G85" s="18">
        <f t="shared" si="3"/>
        <v>31100</v>
      </c>
      <c r="H85" s="8" t="s">
        <v>14</v>
      </c>
    </row>
    <row r="86" spans="1:8" ht="13.8" x14ac:dyDescent="0.25">
      <c r="A86" s="10">
        <v>82</v>
      </c>
      <c r="B86" s="4" t="s">
        <v>55</v>
      </c>
      <c r="C86" s="21">
        <v>0.62430555555555556</v>
      </c>
      <c r="D86" s="21">
        <v>0.65833333333333333</v>
      </c>
      <c r="E86" s="12">
        <v>46020</v>
      </c>
      <c r="F86" s="19">
        <v>14950</v>
      </c>
      <c r="G86" s="19">
        <f t="shared" si="3"/>
        <v>31070</v>
      </c>
      <c r="H86" s="11" t="s">
        <v>14</v>
      </c>
    </row>
    <row r="87" spans="1:8" ht="13.8" x14ac:dyDescent="0.25">
      <c r="A87" s="7">
        <v>83</v>
      </c>
      <c r="B87" s="3" t="s">
        <v>65</v>
      </c>
      <c r="C87" s="20">
        <v>0.62777777777777777</v>
      </c>
      <c r="D87" s="20">
        <v>0.66041666666666665</v>
      </c>
      <c r="E87" s="9">
        <v>44520</v>
      </c>
      <c r="F87" s="18">
        <v>14260</v>
      </c>
      <c r="G87" s="18">
        <f t="shared" si="3"/>
        <v>30260</v>
      </c>
      <c r="H87" s="8" t="s">
        <v>14</v>
      </c>
    </row>
    <row r="88" spans="1:8" ht="13.8" x14ac:dyDescent="0.25">
      <c r="A88" s="10">
        <v>84</v>
      </c>
      <c r="B88" s="4" t="s">
        <v>117</v>
      </c>
      <c r="C88" s="21">
        <v>0.62708333333333333</v>
      </c>
      <c r="D88" s="21">
        <v>0.66874999999999996</v>
      </c>
      <c r="E88" s="12">
        <v>48510</v>
      </c>
      <c r="F88" s="19">
        <v>14150</v>
      </c>
      <c r="G88" s="19">
        <f t="shared" si="3"/>
        <v>34360</v>
      </c>
      <c r="H88" s="11" t="s">
        <v>14</v>
      </c>
    </row>
    <row r="89" spans="1:8" ht="13.8" x14ac:dyDescent="0.25">
      <c r="A89" s="7">
        <v>85</v>
      </c>
      <c r="B89" s="3" t="s">
        <v>67</v>
      </c>
      <c r="C89" s="20">
        <v>0.62777777777777777</v>
      </c>
      <c r="D89" s="20">
        <v>0.67777777777777781</v>
      </c>
      <c r="E89" s="9">
        <v>43520</v>
      </c>
      <c r="F89" s="18">
        <v>13910</v>
      </c>
      <c r="G89" s="18">
        <f t="shared" si="0"/>
        <v>29610</v>
      </c>
      <c r="H89" s="8" t="s">
        <v>14</v>
      </c>
    </row>
    <row r="90" spans="1:8" ht="13.8" x14ac:dyDescent="0.25">
      <c r="A90" s="10">
        <v>86</v>
      </c>
      <c r="B90" s="4" t="s">
        <v>30</v>
      </c>
      <c r="C90" s="21">
        <v>0.67152777777777772</v>
      </c>
      <c r="D90" s="21">
        <v>0.69097222222222221</v>
      </c>
      <c r="E90" s="12">
        <v>46900</v>
      </c>
      <c r="F90" s="19">
        <v>14760</v>
      </c>
      <c r="G90" s="19">
        <f t="shared" si="0"/>
        <v>32140</v>
      </c>
      <c r="H90" s="11" t="s">
        <v>14</v>
      </c>
    </row>
    <row r="91" spans="1:8" ht="13.8" x14ac:dyDescent="0.25">
      <c r="A91" s="7">
        <v>87</v>
      </c>
      <c r="B91" s="3" t="s">
        <v>22</v>
      </c>
      <c r="C91" s="20">
        <v>0.67152777777777772</v>
      </c>
      <c r="D91" s="20">
        <v>0.69236111111111109</v>
      </c>
      <c r="E91" s="9">
        <v>41810</v>
      </c>
      <c r="F91" s="18">
        <v>14170</v>
      </c>
      <c r="G91" s="18">
        <f t="shared" si="0"/>
        <v>27640</v>
      </c>
      <c r="H91" s="8" t="s">
        <v>14</v>
      </c>
    </row>
    <row r="92" spans="1:8" ht="13.8" x14ac:dyDescent="0.25">
      <c r="A92" s="10">
        <v>88</v>
      </c>
      <c r="B92" s="4" t="s">
        <v>101</v>
      </c>
      <c r="C92" s="21">
        <v>0.68611111111111112</v>
      </c>
      <c r="D92" s="21">
        <v>0.6958333333333333</v>
      </c>
      <c r="E92" s="12">
        <v>45650</v>
      </c>
      <c r="F92" s="19">
        <v>14330</v>
      </c>
      <c r="G92" s="19">
        <f t="shared" si="0"/>
        <v>31320</v>
      </c>
      <c r="H92" s="11" t="s">
        <v>14</v>
      </c>
    </row>
    <row r="93" spans="1:8" ht="13.8" x14ac:dyDescent="0.25">
      <c r="A93" s="7">
        <v>89</v>
      </c>
      <c r="B93" s="3" t="s">
        <v>104</v>
      </c>
      <c r="C93" s="20">
        <v>0.68680555555555556</v>
      </c>
      <c r="D93" s="20">
        <v>0.69722222222222219</v>
      </c>
      <c r="E93" s="9">
        <v>46740</v>
      </c>
      <c r="F93" s="18">
        <v>14620</v>
      </c>
      <c r="G93" s="18">
        <f t="shared" si="0"/>
        <v>32120</v>
      </c>
      <c r="H93" s="8" t="s">
        <v>14</v>
      </c>
    </row>
    <row r="94" spans="1:8" ht="13.8" x14ac:dyDescent="0.25">
      <c r="A94" s="10">
        <v>90</v>
      </c>
      <c r="B94" s="4" t="s">
        <v>29</v>
      </c>
      <c r="C94" s="21">
        <v>0.68819444444444444</v>
      </c>
      <c r="D94" s="21">
        <v>0.70138888888888884</v>
      </c>
      <c r="E94" s="12">
        <v>48640</v>
      </c>
      <c r="F94" s="19">
        <v>17080</v>
      </c>
      <c r="G94" s="19">
        <f t="shared" si="0"/>
        <v>31560</v>
      </c>
      <c r="H94" s="11" t="s">
        <v>14</v>
      </c>
    </row>
    <row r="95" spans="1:8" ht="13.8" x14ac:dyDescent="0.25">
      <c r="A95" s="7">
        <v>91</v>
      </c>
      <c r="B95" s="3" t="s">
        <v>41</v>
      </c>
      <c r="C95" s="20">
        <v>0.69513888888888886</v>
      </c>
      <c r="D95" s="20">
        <v>0.70416666666666672</v>
      </c>
      <c r="E95" s="9">
        <v>46090</v>
      </c>
      <c r="F95" s="18">
        <v>14410</v>
      </c>
      <c r="G95" s="18">
        <f t="shared" si="0"/>
        <v>31680</v>
      </c>
      <c r="H95" s="8" t="s">
        <v>14</v>
      </c>
    </row>
    <row r="96" spans="1:8" ht="13.8" x14ac:dyDescent="0.25">
      <c r="A96" s="10">
        <v>92</v>
      </c>
      <c r="B96" s="4" t="s">
        <v>40</v>
      </c>
      <c r="C96" s="21">
        <v>0.69513888888888886</v>
      </c>
      <c r="D96" s="21">
        <v>0.70833333333333337</v>
      </c>
      <c r="E96" s="12">
        <v>48270</v>
      </c>
      <c r="F96" s="19">
        <v>15250</v>
      </c>
      <c r="G96" s="19">
        <f t="shared" si="0"/>
        <v>33020</v>
      </c>
      <c r="H96" s="11" t="s">
        <v>14</v>
      </c>
    </row>
    <row r="97" spans="1:8" ht="13.8" x14ac:dyDescent="0.25">
      <c r="A97" s="7">
        <v>93</v>
      </c>
      <c r="B97" s="3" t="s">
        <v>33</v>
      </c>
      <c r="C97" s="20">
        <v>0.69861111111111107</v>
      </c>
      <c r="D97" s="20">
        <v>0.70902777777777781</v>
      </c>
      <c r="E97" s="9">
        <v>47050</v>
      </c>
      <c r="F97" s="18">
        <v>14020</v>
      </c>
      <c r="G97" s="18">
        <f t="shared" si="0"/>
        <v>33030</v>
      </c>
      <c r="H97" s="8" t="s">
        <v>14</v>
      </c>
    </row>
    <row r="98" spans="1:8" ht="13.8" x14ac:dyDescent="0.25">
      <c r="A98" s="10">
        <v>94</v>
      </c>
      <c r="B98" s="4" t="s">
        <v>21</v>
      </c>
      <c r="C98" s="21">
        <v>0.7</v>
      </c>
      <c r="D98" s="21">
        <v>0.71319444444444446</v>
      </c>
      <c r="E98" s="12">
        <v>45470</v>
      </c>
      <c r="F98" s="19">
        <v>14490</v>
      </c>
      <c r="G98" s="19">
        <f t="shared" si="0"/>
        <v>30980</v>
      </c>
      <c r="H98" s="11" t="s">
        <v>14</v>
      </c>
    </row>
    <row r="99" spans="1:8" ht="13.8" x14ac:dyDescent="0.25">
      <c r="A99" s="7">
        <v>95</v>
      </c>
      <c r="B99" s="3" t="s">
        <v>28</v>
      </c>
      <c r="C99" s="20">
        <v>0.69930555555555551</v>
      </c>
      <c r="D99" s="20">
        <v>0.71458333333333335</v>
      </c>
      <c r="E99" s="9">
        <v>47930</v>
      </c>
      <c r="F99" s="18">
        <v>17270</v>
      </c>
      <c r="G99" s="18">
        <f t="shared" si="0"/>
        <v>30660</v>
      </c>
      <c r="H99" s="8" t="s">
        <v>14</v>
      </c>
    </row>
    <row r="100" spans="1:8" ht="13.8" x14ac:dyDescent="0.25">
      <c r="A100" s="10">
        <v>96</v>
      </c>
      <c r="B100" s="4" t="s">
        <v>95</v>
      </c>
      <c r="C100" s="21">
        <v>0.70277777777777772</v>
      </c>
      <c r="D100" s="21">
        <v>0.71736111111111112</v>
      </c>
      <c r="E100" s="12">
        <v>44510</v>
      </c>
      <c r="F100" s="19">
        <v>14050</v>
      </c>
      <c r="G100" s="19">
        <f t="shared" si="0"/>
        <v>30460</v>
      </c>
      <c r="H100" s="11" t="s">
        <v>14</v>
      </c>
    </row>
    <row r="101" spans="1:8" ht="13.8" x14ac:dyDescent="0.25">
      <c r="A101" s="7">
        <v>97</v>
      </c>
      <c r="B101" s="3" t="s">
        <v>59</v>
      </c>
      <c r="C101" s="20">
        <v>0.70277777777777772</v>
      </c>
      <c r="D101" s="20">
        <v>0.71944444444444444</v>
      </c>
      <c r="E101" s="9">
        <v>43700</v>
      </c>
      <c r="F101" s="18">
        <v>13950</v>
      </c>
      <c r="G101" s="18">
        <f t="shared" si="0"/>
        <v>29750</v>
      </c>
      <c r="H101" s="8" t="s">
        <v>14</v>
      </c>
    </row>
    <row r="102" spans="1:8" ht="13.8" x14ac:dyDescent="0.25">
      <c r="A102" s="10">
        <v>98</v>
      </c>
      <c r="B102" s="4" t="s">
        <v>78</v>
      </c>
      <c r="C102" s="21">
        <v>0.70277777777777772</v>
      </c>
      <c r="D102" s="21">
        <v>0.72152777777777777</v>
      </c>
      <c r="E102" s="12">
        <v>43880</v>
      </c>
      <c r="F102" s="19">
        <v>13490</v>
      </c>
      <c r="G102" s="19">
        <f t="shared" si="0"/>
        <v>30390</v>
      </c>
      <c r="H102" s="11" t="s">
        <v>14</v>
      </c>
    </row>
    <row r="103" spans="1:8" ht="13.8" x14ac:dyDescent="0.25">
      <c r="A103" s="7">
        <v>99</v>
      </c>
      <c r="B103" s="3" t="s">
        <v>58</v>
      </c>
      <c r="C103" s="20">
        <v>0.70347222222222228</v>
      </c>
      <c r="D103" s="20">
        <v>0.72986111111111107</v>
      </c>
      <c r="E103" s="9">
        <v>64250</v>
      </c>
      <c r="F103" s="18">
        <v>23060</v>
      </c>
      <c r="G103" s="18">
        <f t="shared" ref="G103:G129" si="4">E103-F103</f>
        <v>41190</v>
      </c>
      <c r="H103" s="8" t="s">
        <v>14</v>
      </c>
    </row>
    <row r="104" spans="1:8" ht="13.8" x14ac:dyDescent="0.25">
      <c r="A104" s="10">
        <v>100</v>
      </c>
      <c r="B104" s="4" t="s">
        <v>54</v>
      </c>
      <c r="C104" s="21">
        <v>0.74513888888888891</v>
      </c>
      <c r="D104" s="21">
        <v>0.75138888888888888</v>
      </c>
      <c r="E104" s="12">
        <v>45180</v>
      </c>
      <c r="F104" s="19">
        <v>14280</v>
      </c>
      <c r="G104" s="19">
        <f t="shared" si="4"/>
        <v>30900</v>
      </c>
      <c r="H104" s="11" t="s">
        <v>14</v>
      </c>
    </row>
    <row r="105" spans="1:8" ht="13.8" x14ac:dyDescent="0.25">
      <c r="A105" s="7">
        <v>101</v>
      </c>
      <c r="B105" s="3" t="s">
        <v>66</v>
      </c>
      <c r="C105" s="20">
        <v>0.74722222222222223</v>
      </c>
      <c r="D105" s="20">
        <v>0.75486111111111109</v>
      </c>
      <c r="E105" s="9">
        <v>43230</v>
      </c>
      <c r="F105" s="18">
        <v>13200</v>
      </c>
      <c r="G105" s="18">
        <f t="shared" si="4"/>
        <v>30030</v>
      </c>
      <c r="H105" s="8" t="s">
        <v>14</v>
      </c>
    </row>
    <row r="106" spans="1:8" ht="13.8" x14ac:dyDescent="0.25">
      <c r="A106" s="10">
        <v>102</v>
      </c>
      <c r="B106" s="4" t="s">
        <v>118</v>
      </c>
      <c r="C106" s="21">
        <v>0.75624999999999998</v>
      </c>
      <c r="D106" s="21">
        <v>0.7631944444444444</v>
      </c>
      <c r="E106" s="12">
        <v>46060</v>
      </c>
      <c r="F106" s="19">
        <v>13060</v>
      </c>
      <c r="G106" s="19">
        <f t="shared" si="4"/>
        <v>33000</v>
      </c>
      <c r="H106" s="11" t="s">
        <v>14</v>
      </c>
    </row>
    <row r="107" spans="1:8" ht="13.8" x14ac:dyDescent="0.25">
      <c r="A107" s="7">
        <v>103</v>
      </c>
      <c r="B107" s="3" t="s">
        <v>98</v>
      </c>
      <c r="C107" s="20">
        <v>0.75277777777777777</v>
      </c>
      <c r="D107" s="20">
        <v>0.76527777777777772</v>
      </c>
      <c r="E107" s="9">
        <v>46020</v>
      </c>
      <c r="F107" s="18">
        <v>13690</v>
      </c>
      <c r="G107" s="18">
        <f t="shared" si="4"/>
        <v>32330</v>
      </c>
      <c r="H107" s="8" t="s">
        <v>14</v>
      </c>
    </row>
    <row r="108" spans="1:8" ht="13.8" x14ac:dyDescent="0.25">
      <c r="A108" s="10">
        <v>104</v>
      </c>
      <c r="B108" s="4" t="s">
        <v>114</v>
      </c>
      <c r="C108" s="21">
        <v>0.76111111111111107</v>
      </c>
      <c r="D108" s="21">
        <v>0.76944444444444449</v>
      </c>
      <c r="E108" s="12">
        <v>46940</v>
      </c>
      <c r="F108" s="19">
        <v>15460</v>
      </c>
      <c r="G108" s="19">
        <f t="shared" si="4"/>
        <v>31480</v>
      </c>
      <c r="H108" s="11" t="s">
        <v>14</v>
      </c>
    </row>
    <row r="109" spans="1:8" ht="13.8" x14ac:dyDescent="0.25">
      <c r="A109" s="7">
        <v>105</v>
      </c>
      <c r="B109" s="3" t="s">
        <v>45</v>
      </c>
      <c r="C109" s="20">
        <v>0.76111111111111107</v>
      </c>
      <c r="D109" s="20">
        <v>0.77986111111111112</v>
      </c>
      <c r="E109" s="9">
        <v>43800</v>
      </c>
      <c r="F109" s="18">
        <v>14330</v>
      </c>
      <c r="G109" s="18">
        <f t="shared" si="4"/>
        <v>29470</v>
      </c>
      <c r="H109" s="8" t="s">
        <v>14</v>
      </c>
    </row>
    <row r="110" spans="1:8" ht="13.8" x14ac:dyDescent="0.25">
      <c r="A110" s="10">
        <v>106</v>
      </c>
      <c r="B110" s="4" t="s">
        <v>62</v>
      </c>
      <c r="C110" s="21">
        <v>0.77083333333333337</v>
      </c>
      <c r="D110" s="21">
        <v>0.78749999999999998</v>
      </c>
      <c r="E110" s="12">
        <v>46320</v>
      </c>
      <c r="F110" s="19">
        <v>14360</v>
      </c>
      <c r="G110" s="19">
        <f t="shared" si="4"/>
        <v>31960</v>
      </c>
      <c r="H110" s="11" t="s">
        <v>14</v>
      </c>
    </row>
    <row r="111" spans="1:8" ht="13.8" x14ac:dyDescent="0.25">
      <c r="A111" s="7">
        <v>107</v>
      </c>
      <c r="B111" s="3" t="s">
        <v>20</v>
      </c>
      <c r="C111" s="20">
        <v>0.78472222222222221</v>
      </c>
      <c r="D111" s="20">
        <v>0.79236111111111107</v>
      </c>
      <c r="E111" s="9">
        <v>42680</v>
      </c>
      <c r="F111" s="18">
        <v>14040</v>
      </c>
      <c r="G111" s="18">
        <f t="shared" si="4"/>
        <v>28640</v>
      </c>
      <c r="H111" s="8" t="s">
        <v>14</v>
      </c>
    </row>
    <row r="112" spans="1:8" ht="13.8" x14ac:dyDescent="0.25">
      <c r="A112" s="10">
        <v>108</v>
      </c>
      <c r="B112" s="4" t="s">
        <v>74</v>
      </c>
      <c r="C112" s="21">
        <v>0.77152777777777781</v>
      </c>
      <c r="D112" s="21">
        <v>0.79374999999999996</v>
      </c>
      <c r="E112" s="12">
        <v>45710</v>
      </c>
      <c r="F112" s="19">
        <v>14700</v>
      </c>
      <c r="G112" s="19">
        <f t="shared" si="4"/>
        <v>31010</v>
      </c>
      <c r="H112" s="11" t="s">
        <v>14</v>
      </c>
    </row>
    <row r="113" spans="1:8" ht="13.8" x14ac:dyDescent="0.25">
      <c r="A113" s="7">
        <v>109</v>
      </c>
      <c r="B113" s="3" t="s">
        <v>119</v>
      </c>
      <c r="C113" s="20">
        <v>0.78680555555555554</v>
      </c>
      <c r="D113" s="20">
        <v>0.79791666666666672</v>
      </c>
      <c r="E113" s="9">
        <v>45580</v>
      </c>
      <c r="F113" s="18">
        <v>13650</v>
      </c>
      <c r="G113" s="18">
        <f t="shared" si="4"/>
        <v>31930</v>
      </c>
      <c r="H113" s="8" t="s">
        <v>14</v>
      </c>
    </row>
    <row r="114" spans="1:8" ht="13.8" x14ac:dyDescent="0.25">
      <c r="A114" s="10">
        <v>110</v>
      </c>
      <c r="B114" s="4" t="s">
        <v>53</v>
      </c>
      <c r="C114" s="21">
        <v>0.79027777777777775</v>
      </c>
      <c r="D114" s="21">
        <v>0.80208333333333337</v>
      </c>
      <c r="E114" s="12">
        <v>43740</v>
      </c>
      <c r="F114" s="19">
        <v>14540</v>
      </c>
      <c r="G114" s="19">
        <f t="shared" si="4"/>
        <v>29200</v>
      </c>
      <c r="H114" s="11" t="s">
        <v>14</v>
      </c>
    </row>
    <row r="115" spans="1:8" ht="13.8" x14ac:dyDescent="0.25">
      <c r="A115" s="7">
        <v>111</v>
      </c>
      <c r="B115" s="3" t="s">
        <v>34</v>
      </c>
      <c r="C115" s="20">
        <v>0.79027777777777775</v>
      </c>
      <c r="D115" s="20">
        <v>0.80555555555555558</v>
      </c>
      <c r="E115" s="9">
        <v>45950</v>
      </c>
      <c r="F115" s="18">
        <v>14890</v>
      </c>
      <c r="G115" s="18">
        <f t="shared" si="4"/>
        <v>31060</v>
      </c>
      <c r="H115" s="8" t="s">
        <v>14</v>
      </c>
    </row>
    <row r="116" spans="1:8" ht="13.8" x14ac:dyDescent="0.25">
      <c r="A116" s="10">
        <v>112</v>
      </c>
      <c r="B116" s="4" t="s">
        <v>43</v>
      </c>
      <c r="C116" s="21">
        <v>0.87708333333333333</v>
      </c>
      <c r="D116" s="21">
        <v>0.88402777777777775</v>
      </c>
      <c r="E116" s="12">
        <v>46080</v>
      </c>
      <c r="F116" s="19">
        <v>14550</v>
      </c>
      <c r="G116" s="19">
        <f t="shared" si="4"/>
        <v>31530</v>
      </c>
      <c r="H116" s="11" t="s">
        <v>14</v>
      </c>
    </row>
    <row r="117" spans="1:8" ht="13.8" x14ac:dyDescent="0.25">
      <c r="A117" s="7">
        <v>113</v>
      </c>
      <c r="B117" s="3" t="s">
        <v>19</v>
      </c>
      <c r="C117" s="20">
        <v>0.87777777777777777</v>
      </c>
      <c r="D117" s="20">
        <v>0.88611111111111107</v>
      </c>
      <c r="E117" s="9">
        <v>46320</v>
      </c>
      <c r="F117" s="18">
        <v>14470</v>
      </c>
      <c r="G117" s="18">
        <f t="shared" si="4"/>
        <v>31850</v>
      </c>
      <c r="H117" s="8" t="s">
        <v>14</v>
      </c>
    </row>
    <row r="118" spans="1:8" ht="13.8" x14ac:dyDescent="0.25">
      <c r="A118" s="10">
        <v>114</v>
      </c>
      <c r="B118" s="4" t="s">
        <v>60</v>
      </c>
      <c r="C118" s="21">
        <v>0.87777777777777777</v>
      </c>
      <c r="D118" s="21">
        <v>0.8881944444444444</v>
      </c>
      <c r="E118" s="12">
        <v>45490</v>
      </c>
      <c r="F118" s="19">
        <v>14740</v>
      </c>
      <c r="G118" s="19">
        <f t="shared" si="4"/>
        <v>30750</v>
      </c>
      <c r="H118" s="11" t="s">
        <v>14</v>
      </c>
    </row>
    <row r="119" spans="1:8" ht="13.8" x14ac:dyDescent="0.25">
      <c r="A119" s="7">
        <v>115</v>
      </c>
      <c r="B119" s="3" t="s">
        <v>64</v>
      </c>
      <c r="C119" s="20">
        <v>0.87847222222222221</v>
      </c>
      <c r="D119" s="20">
        <v>0.8930555555555556</v>
      </c>
      <c r="E119" s="9">
        <v>44940</v>
      </c>
      <c r="F119" s="18">
        <v>13870</v>
      </c>
      <c r="G119" s="18">
        <f t="shared" si="4"/>
        <v>31070</v>
      </c>
      <c r="H119" s="8" t="s">
        <v>14</v>
      </c>
    </row>
    <row r="120" spans="1:8" ht="13.8" x14ac:dyDescent="0.25">
      <c r="A120" s="10">
        <v>116</v>
      </c>
      <c r="B120" s="4" t="s">
        <v>120</v>
      </c>
      <c r="C120" s="21">
        <v>0.89166666666666672</v>
      </c>
      <c r="D120" s="21">
        <v>0.89930555555555558</v>
      </c>
      <c r="E120" s="12">
        <v>44600</v>
      </c>
      <c r="F120" s="19">
        <v>13660</v>
      </c>
      <c r="G120" s="19">
        <f t="shared" si="4"/>
        <v>30940</v>
      </c>
      <c r="H120" s="11" t="s">
        <v>14</v>
      </c>
    </row>
    <row r="121" spans="1:8" ht="13.8" x14ac:dyDescent="0.25">
      <c r="A121" s="7">
        <v>117</v>
      </c>
      <c r="B121" s="3" t="s">
        <v>47</v>
      </c>
      <c r="C121" s="20">
        <v>0.89166666666666672</v>
      </c>
      <c r="D121" s="20">
        <v>0.9</v>
      </c>
      <c r="E121" s="9">
        <v>46290</v>
      </c>
      <c r="F121" s="18">
        <v>14590</v>
      </c>
      <c r="G121" s="18">
        <f t="shared" si="4"/>
        <v>31700</v>
      </c>
      <c r="H121" s="8" t="s">
        <v>14</v>
      </c>
    </row>
    <row r="122" spans="1:8" ht="13.8" x14ac:dyDescent="0.25">
      <c r="A122" s="10">
        <v>118</v>
      </c>
      <c r="B122" s="4" t="s">
        <v>76</v>
      </c>
      <c r="C122" s="21">
        <v>0.87916666666666665</v>
      </c>
      <c r="D122" s="21">
        <v>0.90138888888888891</v>
      </c>
      <c r="E122" s="12">
        <v>47430</v>
      </c>
      <c r="F122" s="19">
        <v>14580</v>
      </c>
      <c r="G122" s="19">
        <f t="shared" si="4"/>
        <v>32850</v>
      </c>
      <c r="H122" s="11" t="s">
        <v>14</v>
      </c>
    </row>
    <row r="123" spans="1:8" ht="13.8" x14ac:dyDescent="0.25">
      <c r="A123" s="7">
        <v>119</v>
      </c>
      <c r="B123" s="3" t="s">
        <v>56</v>
      </c>
      <c r="C123" s="20">
        <v>0.89236111111111116</v>
      </c>
      <c r="D123" s="20">
        <v>0.90555555555555556</v>
      </c>
      <c r="E123" s="9">
        <v>46000</v>
      </c>
      <c r="F123" s="18">
        <v>13910</v>
      </c>
      <c r="G123" s="18">
        <f t="shared" si="4"/>
        <v>32090</v>
      </c>
      <c r="H123" s="8" t="s">
        <v>14</v>
      </c>
    </row>
    <row r="124" spans="1:8" ht="13.8" x14ac:dyDescent="0.25">
      <c r="A124" s="10">
        <v>120</v>
      </c>
      <c r="B124" s="4" t="s">
        <v>48</v>
      </c>
      <c r="C124" s="21">
        <v>0.89236111111111116</v>
      </c>
      <c r="D124" s="21">
        <v>0.90625</v>
      </c>
      <c r="E124" s="12">
        <v>47570</v>
      </c>
      <c r="F124" s="19">
        <v>14800</v>
      </c>
      <c r="G124" s="19">
        <f t="shared" si="4"/>
        <v>32770</v>
      </c>
      <c r="H124" s="11" t="s">
        <v>14</v>
      </c>
    </row>
    <row r="125" spans="1:8" ht="13.8" x14ac:dyDescent="0.25">
      <c r="A125" s="7">
        <v>121</v>
      </c>
      <c r="B125" s="3" t="s">
        <v>102</v>
      </c>
      <c r="C125" s="20">
        <v>0.90763888888888888</v>
      </c>
      <c r="D125" s="20">
        <v>0.9145833333333333</v>
      </c>
      <c r="E125" s="9">
        <v>45950</v>
      </c>
      <c r="F125" s="18">
        <v>13240</v>
      </c>
      <c r="G125" s="18">
        <f t="shared" si="4"/>
        <v>32710</v>
      </c>
      <c r="H125" s="8" t="s">
        <v>14</v>
      </c>
    </row>
    <row r="126" spans="1:8" ht="13.8" x14ac:dyDescent="0.25">
      <c r="A126" s="10">
        <v>122</v>
      </c>
      <c r="B126" s="4" t="s">
        <v>77</v>
      </c>
      <c r="C126" s="21">
        <v>0.9291666666666667</v>
      </c>
      <c r="D126" s="21">
        <v>0.93611111111111112</v>
      </c>
      <c r="E126" s="12">
        <v>66970</v>
      </c>
      <c r="F126" s="19">
        <v>22200</v>
      </c>
      <c r="G126" s="19">
        <f t="shared" si="4"/>
        <v>44770</v>
      </c>
      <c r="H126" s="11" t="s">
        <v>14</v>
      </c>
    </row>
    <row r="127" spans="1:8" ht="13.8" x14ac:dyDescent="0.25">
      <c r="A127" s="7">
        <v>123</v>
      </c>
      <c r="B127" s="3" t="s">
        <v>65</v>
      </c>
      <c r="C127" s="20">
        <v>0.93055555555555558</v>
      </c>
      <c r="D127" s="20">
        <v>0.93819444444444444</v>
      </c>
      <c r="E127" s="9">
        <v>44940</v>
      </c>
      <c r="F127" s="18">
        <v>14230</v>
      </c>
      <c r="G127" s="18">
        <f t="shared" si="4"/>
        <v>30710</v>
      </c>
      <c r="H127" s="8" t="s">
        <v>14</v>
      </c>
    </row>
    <row r="128" spans="1:8" ht="13.8" x14ac:dyDescent="0.25">
      <c r="A128" s="10">
        <v>124</v>
      </c>
      <c r="B128" s="4" t="s">
        <v>72</v>
      </c>
      <c r="C128" s="21">
        <v>0.94722222222222219</v>
      </c>
      <c r="D128" s="21">
        <v>0.95416666666666672</v>
      </c>
      <c r="E128" s="12">
        <v>44870</v>
      </c>
      <c r="F128" s="19">
        <v>13830</v>
      </c>
      <c r="G128" s="19">
        <f t="shared" si="4"/>
        <v>31040</v>
      </c>
      <c r="H128" s="11" t="s">
        <v>14</v>
      </c>
    </row>
    <row r="129" spans="1:8" ht="13.8" x14ac:dyDescent="0.25">
      <c r="A129" s="7">
        <v>125</v>
      </c>
      <c r="B129" s="3" t="s">
        <v>92</v>
      </c>
      <c r="C129" s="20">
        <v>0.94652777777777775</v>
      </c>
      <c r="D129" s="20">
        <v>0.96250000000000002</v>
      </c>
      <c r="E129" s="9">
        <v>45900</v>
      </c>
      <c r="F129" s="18">
        <v>13920</v>
      </c>
      <c r="G129" s="18">
        <f t="shared" si="4"/>
        <v>31980</v>
      </c>
      <c r="H129" s="8" t="s">
        <v>14</v>
      </c>
    </row>
    <row r="130" spans="1:8" ht="15.75" customHeight="1" x14ac:dyDescent="0.35">
      <c r="A130" s="29" t="s">
        <v>15</v>
      </c>
      <c r="B130" s="30"/>
      <c r="C130" s="31"/>
      <c r="D130" s="31"/>
      <c r="E130" s="32">
        <f>SUM(E5:E129)</f>
        <v>5881340</v>
      </c>
      <c r="F130" s="32">
        <f>SUM(F5:F129)</f>
        <v>1850810</v>
      </c>
      <c r="G130" s="32">
        <f>SUM(G5:G129)</f>
        <v>4030530</v>
      </c>
      <c r="H130" s="33"/>
    </row>
    <row r="131" spans="1:8" ht="15.75" customHeight="1" x14ac:dyDescent="0.25">
      <c r="F131" s="17"/>
      <c r="G131" s="17"/>
    </row>
    <row r="132" spans="1:8" ht="15.75" customHeight="1" x14ac:dyDescent="0.25">
      <c r="F132" s="17"/>
      <c r="G132" s="17"/>
    </row>
    <row r="133" spans="1:8" ht="15.75" customHeight="1" x14ac:dyDescent="0.25"/>
    <row r="134" spans="1:8" ht="15.75" customHeight="1" x14ac:dyDescent="0.25"/>
    <row r="135" spans="1:8" ht="15.75" customHeight="1" x14ac:dyDescent="0.25"/>
    <row r="136" spans="1:8" ht="15.75" customHeight="1" x14ac:dyDescent="0.25"/>
    <row r="137" spans="1:8" ht="15.75" customHeight="1" x14ac:dyDescent="0.25"/>
    <row r="138" spans="1:8" ht="15.75" customHeight="1" x14ac:dyDescent="0.25"/>
    <row r="139" spans="1:8" ht="15.75" customHeight="1" x14ac:dyDescent="0.25"/>
    <row r="140" spans="1:8" ht="15.75" customHeight="1" x14ac:dyDescent="0.25"/>
    <row r="141" spans="1:8" ht="15.75" customHeight="1" x14ac:dyDescent="0.25"/>
    <row r="142" spans="1:8" ht="15.75" customHeight="1" x14ac:dyDescent="0.25"/>
    <row r="143" spans="1:8" ht="15.75" customHeight="1" x14ac:dyDescent="0.25"/>
    <row r="144" spans="1:8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</sheetData>
  <mergeCells count="2">
    <mergeCell ref="A1:F1"/>
    <mergeCell ref="A2:F2"/>
  </mergeCells>
  <phoneticPr fontId="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F2" sqref="A1:F2"/>
    </sheetView>
  </sheetViews>
  <sheetFormatPr defaultColWidth="9" defaultRowHeight="13.8" x14ac:dyDescent="0.25"/>
  <cols>
    <col min="2" max="2" width="9.5546875" bestFit="1" customWidth="1"/>
  </cols>
  <sheetData>
    <row r="1" spans="1:2" x14ac:dyDescent="0.25">
      <c r="A1" s="25"/>
      <c r="B1" s="2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li</cp:lastModifiedBy>
  <dcterms:created xsi:type="dcterms:W3CDTF">2015-06-05T18:17:00Z</dcterms:created>
  <dcterms:modified xsi:type="dcterms:W3CDTF">2026-05-30T01:52:18Z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58CF17D2843F41348D99F0A1C72B6425_12</vt:lpwstr>
  </property>
  <property fmtid="{D5CDD505-2E9C-101B-9397-08002B2CF9AE}" pid="3" name="KSOProductBuildVer">
    <vt:lpwstr>2052-12.1.0.18912</vt:lpwstr>
  </property>
</Properties>
</file>