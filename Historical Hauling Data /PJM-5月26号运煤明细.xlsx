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B1FBB42D-3908-43DE-83C7-DD0FED701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38" i="1"/>
  <c r="G37" i="1"/>
  <c r="G36" i="1"/>
  <c r="G35" i="1"/>
  <c r="G34" i="1"/>
  <c r="G33" i="1"/>
  <c r="G18" i="1"/>
  <c r="G17" i="1"/>
  <c r="G16" i="1"/>
  <c r="G15" i="1"/>
  <c r="E42" i="1"/>
  <c r="F42" i="1"/>
  <c r="G41" i="1" l="1"/>
  <c r="G40" i="1"/>
  <c r="G39" i="1"/>
  <c r="G14" i="1" l="1"/>
  <c r="G13" i="1"/>
  <c r="G12" i="1"/>
  <c r="G11" i="1"/>
  <c r="G10" i="1"/>
  <c r="G9" i="1"/>
  <c r="G8" i="1"/>
  <c r="G7" i="1"/>
  <c r="G6" i="1"/>
  <c r="G5" i="1"/>
  <c r="G42" i="1" l="1"/>
  <c r="G2" i="1" s="1"/>
</calcChain>
</file>

<file path=xl/sharedStrings.xml><?xml version="1.0" encoding="utf-8"?>
<sst xmlns="http://schemas.openxmlformats.org/spreadsheetml/2006/main" count="93" uniqueCount="57">
  <si>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</si>
  <si>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</si>
  <si>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</si>
  <si>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</si>
  <si>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</si>
  <si>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</si>
  <si>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</si>
  <si>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</si>
  <si>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</si>
  <si>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</si>
  <si>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</si>
  <si>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</si>
  <si>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</si>
  <si>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</si>
  <si>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</si>
  <si>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</si>
  <si>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</si>
  <si>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</si>
  <si>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</si>
  <si>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>PJM 154</t>
  </si>
  <si>
    <t>PJM 058</t>
  </si>
  <si>
    <t>PJM 115</t>
  </si>
  <si>
    <t>PJM 113</t>
  </si>
  <si>
    <t>PJM 108</t>
  </si>
  <si>
    <t>PJM 107</t>
  </si>
  <si>
    <t>PJM 014</t>
  </si>
  <si>
    <t>PJM 003</t>
  </si>
  <si>
    <t>PJM 019</t>
  </si>
  <si>
    <t>PJM 063</t>
  </si>
  <si>
    <t>PJM 070</t>
  </si>
  <si>
    <t>PJM 114</t>
  </si>
  <si>
    <t>PJM 086</t>
  </si>
  <si>
    <t>PJM 043</t>
  </si>
  <si>
    <t>PJM 153</t>
  </si>
  <si>
    <t>PJM 152</t>
  </si>
  <si>
    <t>PJM 135</t>
  </si>
  <si>
    <t>PJM 005</t>
  </si>
  <si>
    <t>PJM 027</t>
  </si>
  <si>
    <t>PJM 032</t>
  </si>
  <si>
    <t>PJM 007</t>
  </si>
  <si>
    <t>PJM 105</t>
  </si>
  <si>
    <t xml:space="preserve">2026年5月26日运煤明细 </t>
    <phoneticPr fontId="1" type="noConversion"/>
  </si>
  <si>
    <t>PJM 031</t>
  </si>
  <si>
    <t>PJM 149</t>
  </si>
  <si>
    <t>PJM 140</t>
  </si>
  <si>
    <t>PJM 138</t>
  </si>
  <si>
    <t>PJM 151</t>
  </si>
  <si>
    <t>PJM 148</t>
  </si>
  <si>
    <t>PJM 144</t>
  </si>
  <si>
    <t>PJM 136</t>
  </si>
  <si>
    <t>PJM 150</t>
  </si>
  <si>
    <t>PJM 109</t>
  </si>
  <si>
    <t>PJM 143</t>
  </si>
  <si>
    <t>PJM 141</t>
  </si>
  <si>
    <t>PJM 142</t>
  </si>
  <si>
    <t>PJM 137</t>
  </si>
  <si>
    <t>PJM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</si>
</sst>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/>
    <xf numFmtId="49" fontId="4" fillId="0" borderId="3" xfId="0" applyNumberFormat="1" applyFont="1" applyBorder="1"/>
    <xf numFmtId="179" fontId="3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/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23" zoomScale="110" zoomScaleNormal="110" workbookViewId="0">
      <selection activeCell="E39" sqref="E39"/>
    </sheetView>
  </sheetViews>
  <sheetFormatPr defaultColWidth="14.44140625" defaultRowHeight="15" customHeight="1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>
      <c r="A1" s="30" t="s">
        <v>41</v>
      </c>
      <c r="B1" s="30"/>
      <c r="C1" s="30"/>
      <c r="D1" s="30"/>
      <c r="E1" s="30"/>
      <c r="F1" s="30"/>
      <c r="G1" s="26" t="s">
        <v>18</v>
      </c>
      <c r="H1" s="26"/>
    </row>
    <row r="2" spans="1:8" ht="30.75" customHeight="1">
      <c r="A2" s="31">
        <v>46168</v>
      </c>
      <c r="B2" s="32"/>
      <c r="C2" s="32"/>
      <c r="D2" s="32"/>
      <c r="E2" s="32"/>
      <c r="F2" s="32"/>
      <c r="G2" s="28">
        <f>G42</f>
        <v>1184230</v>
      </c>
      <c r="H2" s="27"/>
    </row>
    <row r="3" spans="1:8" ht="28.2" customHeight="1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8" s="15" customFormat="1" ht="28.2" customHeight="1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3.8">
      <c r="A5" s="7">
        <v>1</v>
      </c>
      <c r="B5" s="3" t="s">
        <v>35</v>
      </c>
      <c r="C5" s="24">
        <v>0.34513888888888888</v>
      </c>
      <c r="D5" s="24">
        <v>0.3527777777777778</v>
      </c>
      <c r="E5" s="9">
        <v>47400</v>
      </c>
      <c r="F5" s="18">
        <v>14150</v>
      </c>
      <c r="G5" s="18">
        <f t="shared" ref="G5:G41" si="0">E5-F5</f>
        <v>33250</v>
      </c>
      <c r="H5" s="8" t="s">
        <v>15</v>
      </c>
    </row>
    <row r="6" spans="1:8" ht="13.8">
      <c r="A6" s="10">
        <v>2</v>
      </c>
      <c r="B6" s="4" t="s">
        <v>29</v>
      </c>
      <c r="C6" s="25">
        <v>0.34583333333333333</v>
      </c>
      <c r="D6" s="25">
        <v>0.35833333333333334</v>
      </c>
      <c r="E6" s="12">
        <v>48570</v>
      </c>
      <c r="F6" s="19">
        <v>14850</v>
      </c>
      <c r="G6" s="19">
        <f t="shared" si="0"/>
        <v>33720</v>
      </c>
      <c r="H6" s="11" t="s">
        <v>15</v>
      </c>
    </row>
    <row r="7" spans="1:8" ht="13.8">
      <c r="A7" s="7">
        <v>3</v>
      </c>
      <c r="B7" s="3" t="s">
        <v>39</v>
      </c>
      <c r="C7" s="24">
        <v>0.34652777777777777</v>
      </c>
      <c r="D7" s="24">
        <v>0.36319444444444443</v>
      </c>
      <c r="E7" s="9">
        <v>45370</v>
      </c>
      <c r="F7" s="18">
        <v>13770</v>
      </c>
      <c r="G7" s="18">
        <f t="shared" si="0"/>
        <v>31600</v>
      </c>
      <c r="H7" s="8" t="s">
        <v>15</v>
      </c>
    </row>
    <row r="8" spans="1:8" ht="13.8">
      <c r="A8" s="10">
        <v>4</v>
      </c>
      <c r="B8" s="4" t="s">
        <v>23</v>
      </c>
      <c r="C8" s="25">
        <v>0.34652777777777777</v>
      </c>
      <c r="D8" s="25">
        <v>0.36458333333333331</v>
      </c>
      <c r="E8" s="12">
        <v>49840</v>
      </c>
      <c r="F8" s="19">
        <v>17240</v>
      </c>
      <c r="G8" s="19">
        <f t="shared" si="0"/>
        <v>32600</v>
      </c>
      <c r="H8" s="11" t="s">
        <v>15</v>
      </c>
    </row>
    <row r="9" spans="1:8" ht="13.8">
      <c r="A9" s="7">
        <v>5</v>
      </c>
      <c r="B9" s="3" t="s">
        <v>36</v>
      </c>
      <c r="C9" s="24">
        <v>0.34722222222222221</v>
      </c>
      <c r="D9" s="24">
        <v>0.36527777777777776</v>
      </c>
      <c r="E9" s="9">
        <v>44060</v>
      </c>
      <c r="F9" s="18">
        <v>14280</v>
      </c>
      <c r="G9" s="18">
        <f t="shared" si="0"/>
        <v>29780</v>
      </c>
      <c r="H9" s="8" t="s">
        <v>15</v>
      </c>
    </row>
    <row r="10" spans="1:8" ht="13.8">
      <c r="A10" s="10">
        <v>6</v>
      </c>
      <c r="B10" s="4" t="s">
        <v>28</v>
      </c>
      <c r="C10" s="25">
        <v>0.34722222222222221</v>
      </c>
      <c r="D10" s="25">
        <v>0.36736111111111114</v>
      </c>
      <c r="E10" s="12">
        <v>46080</v>
      </c>
      <c r="F10" s="19">
        <v>14720</v>
      </c>
      <c r="G10" s="19">
        <f t="shared" si="0"/>
        <v>31360</v>
      </c>
      <c r="H10" s="11" t="s">
        <v>15</v>
      </c>
    </row>
    <row r="11" spans="1:8" ht="13.8">
      <c r="A11" s="7">
        <v>7</v>
      </c>
      <c r="B11" s="3" t="s">
        <v>25</v>
      </c>
      <c r="C11" s="24">
        <v>0.34722222222222221</v>
      </c>
      <c r="D11" s="24">
        <v>0.37013888888888891</v>
      </c>
      <c r="E11" s="9">
        <v>46060</v>
      </c>
      <c r="F11" s="18">
        <v>14070</v>
      </c>
      <c r="G11" s="18">
        <f t="shared" si="0"/>
        <v>31990</v>
      </c>
      <c r="H11" s="8" t="s">
        <v>15</v>
      </c>
    </row>
    <row r="12" spans="1:8" ht="13.8">
      <c r="A12" s="10">
        <v>8</v>
      </c>
      <c r="B12" s="4" t="s">
        <v>42</v>
      </c>
      <c r="C12" s="25">
        <v>0.34791666666666665</v>
      </c>
      <c r="D12" s="25">
        <v>0.37152777777777779</v>
      </c>
      <c r="E12" s="12">
        <v>45210</v>
      </c>
      <c r="F12" s="19">
        <v>14080</v>
      </c>
      <c r="G12" s="19">
        <f t="shared" si="0"/>
        <v>31130</v>
      </c>
      <c r="H12" s="11" t="s">
        <v>15</v>
      </c>
    </row>
    <row r="13" spans="1:8" ht="13.8">
      <c r="A13" s="7">
        <v>9</v>
      </c>
      <c r="B13" s="3" t="s">
        <v>27</v>
      </c>
      <c r="C13" s="24">
        <v>0.34791666666666665</v>
      </c>
      <c r="D13" s="24">
        <v>0.37222222222222223</v>
      </c>
      <c r="E13" s="9">
        <v>44120</v>
      </c>
      <c r="F13" s="18">
        <v>13830</v>
      </c>
      <c r="G13" s="18">
        <f t="shared" si="0"/>
        <v>30290</v>
      </c>
      <c r="H13" s="8" t="s">
        <v>15</v>
      </c>
    </row>
    <row r="14" spans="1:8" ht="13.8">
      <c r="A14" s="10">
        <v>10</v>
      </c>
      <c r="B14" s="4" t="s">
        <v>21</v>
      </c>
      <c r="C14" s="25">
        <v>0.34861111111111109</v>
      </c>
      <c r="D14" s="25">
        <v>0.375</v>
      </c>
      <c r="E14" s="12">
        <v>48300</v>
      </c>
      <c r="F14" s="19">
        <v>15330</v>
      </c>
      <c r="G14" s="19">
        <f t="shared" si="0"/>
        <v>32970</v>
      </c>
      <c r="H14" s="11" t="s">
        <v>15</v>
      </c>
    </row>
    <row r="15" spans="1:8" ht="13.8">
      <c r="A15" s="7">
        <v>11</v>
      </c>
      <c r="B15" s="3" t="s">
        <v>22</v>
      </c>
      <c r="C15" s="24">
        <v>0.34791666666666665</v>
      </c>
      <c r="D15" s="24">
        <v>0.37708333333333333</v>
      </c>
      <c r="E15" s="9">
        <v>49300</v>
      </c>
      <c r="F15" s="18">
        <v>16910</v>
      </c>
      <c r="G15" s="18">
        <f t="shared" ref="G15:G38" si="1">E15-F15</f>
        <v>32390</v>
      </c>
      <c r="H15" s="8" t="s">
        <v>15</v>
      </c>
    </row>
    <row r="16" spans="1:8" ht="13.8">
      <c r="A16" s="10">
        <v>12</v>
      </c>
      <c r="B16" s="4" t="s">
        <v>31</v>
      </c>
      <c r="C16" s="25">
        <v>0.34861111111111109</v>
      </c>
      <c r="D16" s="25">
        <v>0.37847222222222221</v>
      </c>
      <c r="E16" s="12">
        <v>44500</v>
      </c>
      <c r="F16" s="19">
        <v>14940</v>
      </c>
      <c r="G16" s="19">
        <f t="shared" si="1"/>
        <v>29560</v>
      </c>
      <c r="H16" s="11" t="s">
        <v>15</v>
      </c>
    </row>
    <row r="17" spans="1:8" ht="13.8">
      <c r="A17" s="7">
        <v>13</v>
      </c>
      <c r="B17" s="3" t="s">
        <v>43</v>
      </c>
      <c r="C17" s="24">
        <v>0.34930555555555554</v>
      </c>
      <c r="D17" s="24">
        <v>0.37986111111111109</v>
      </c>
      <c r="E17" s="9">
        <v>45120</v>
      </c>
      <c r="F17" s="18">
        <v>14170</v>
      </c>
      <c r="G17" s="18">
        <f t="shared" si="1"/>
        <v>30950</v>
      </c>
      <c r="H17" s="8" t="s">
        <v>15</v>
      </c>
    </row>
    <row r="18" spans="1:8" ht="13.8">
      <c r="A18" s="10">
        <v>14</v>
      </c>
      <c r="B18" s="4" t="s">
        <v>44</v>
      </c>
      <c r="C18" s="25">
        <v>0.34930555555555554</v>
      </c>
      <c r="D18" s="25">
        <v>0.38124999999999998</v>
      </c>
      <c r="E18" s="12">
        <v>43770</v>
      </c>
      <c r="F18" s="19">
        <v>13840</v>
      </c>
      <c r="G18" s="19">
        <f t="shared" si="1"/>
        <v>29930</v>
      </c>
      <c r="H18" s="11" t="s">
        <v>15</v>
      </c>
    </row>
    <row r="19" spans="1:8" ht="13.8">
      <c r="A19" s="7">
        <v>15</v>
      </c>
      <c r="B19" s="3" t="s">
        <v>45</v>
      </c>
      <c r="C19" s="24">
        <v>0.34930555555555554</v>
      </c>
      <c r="D19" s="24">
        <v>0.38333333333333336</v>
      </c>
      <c r="E19" s="9">
        <v>44500</v>
      </c>
      <c r="F19" s="18">
        <v>14720</v>
      </c>
      <c r="G19" s="18">
        <f t="shared" si="1"/>
        <v>29780</v>
      </c>
      <c r="H19" s="8" t="s">
        <v>15</v>
      </c>
    </row>
    <row r="20" spans="1:8" ht="13.8">
      <c r="A20" s="10">
        <v>16</v>
      </c>
      <c r="B20" s="4" t="s">
        <v>46</v>
      </c>
      <c r="C20" s="25">
        <v>0.35</v>
      </c>
      <c r="D20" s="25">
        <v>0.38472222222222224</v>
      </c>
      <c r="E20" s="12">
        <v>45040</v>
      </c>
      <c r="F20" s="19">
        <v>15270</v>
      </c>
      <c r="G20" s="19">
        <f t="shared" si="1"/>
        <v>29770</v>
      </c>
      <c r="H20" s="11" t="s">
        <v>15</v>
      </c>
    </row>
    <row r="21" spans="1:8" ht="13.8">
      <c r="A21" s="7">
        <v>17</v>
      </c>
      <c r="B21" s="3" t="s">
        <v>47</v>
      </c>
      <c r="C21" s="24">
        <v>0.35</v>
      </c>
      <c r="D21" s="24">
        <v>0.38750000000000001</v>
      </c>
      <c r="E21" s="9">
        <v>43750</v>
      </c>
      <c r="F21" s="18">
        <v>13650</v>
      </c>
      <c r="G21" s="18">
        <f t="shared" si="1"/>
        <v>30100</v>
      </c>
      <c r="H21" s="8" t="s">
        <v>15</v>
      </c>
    </row>
    <row r="22" spans="1:8" ht="13.8">
      <c r="A22" s="10">
        <v>18</v>
      </c>
      <c r="B22" s="4" t="s">
        <v>48</v>
      </c>
      <c r="C22" s="25">
        <v>0.35972222222222222</v>
      </c>
      <c r="D22" s="25">
        <v>0.3888888888888889</v>
      </c>
      <c r="E22" s="12">
        <v>45760</v>
      </c>
      <c r="F22" s="19">
        <v>14520</v>
      </c>
      <c r="G22" s="19">
        <f t="shared" si="1"/>
        <v>31240</v>
      </c>
      <c r="H22" s="11" t="s">
        <v>15</v>
      </c>
    </row>
    <row r="23" spans="1:8" ht="13.8">
      <c r="A23" s="7">
        <v>19</v>
      </c>
      <c r="B23" s="3" t="s">
        <v>49</v>
      </c>
      <c r="C23" s="24">
        <v>0.35972222222222222</v>
      </c>
      <c r="D23" s="24">
        <v>0.3923611111111111</v>
      </c>
      <c r="E23" s="9">
        <v>44140</v>
      </c>
      <c r="F23" s="18">
        <v>13960</v>
      </c>
      <c r="G23" s="18">
        <f t="shared" si="1"/>
        <v>30180</v>
      </c>
      <c r="H23" s="8" t="s">
        <v>15</v>
      </c>
    </row>
    <row r="24" spans="1:8" ht="13.8">
      <c r="A24" s="10">
        <v>20</v>
      </c>
      <c r="B24" s="4" t="s">
        <v>50</v>
      </c>
      <c r="C24" s="25">
        <v>0.36041666666666666</v>
      </c>
      <c r="D24" s="25">
        <v>0.39305555555555555</v>
      </c>
      <c r="E24" s="12">
        <v>43130</v>
      </c>
      <c r="F24" s="19">
        <v>14090</v>
      </c>
      <c r="G24" s="19">
        <f t="shared" si="1"/>
        <v>29040</v>
      </c>
      <c r="H24" s="11" t="s">
        <v>15</v>
      </c>
    </row>
    <row r="25" spans="1:8" ht="13.8">
      <c r="A25" s="7">
        <v>21</v>
      </c>
      <c r="B25" s="3" t="s">
        <v>51</v>
      </c>
      <c r="C25" s="24">
        <v>0.36249999999999999</v>
      </c>
      <c r="D25" s="24">
        <v>0.39583333333333331</v>
      </c>
      <c r="E25" s="9">
        <v>48960</v>
      </c>
      <c r="F25" s="18">
        <v>17100</v>
      </c>
      <c r="G25" s="18">
        <f t="shared" si="1"/>
        <v>31860</v>
      </c>
      <c r="H25" s="8" t="s">
        <v>15</v>
      </c>
    </row>
    <row r="26" spans="1:8" ht="13.8">
      <c r="A26" s="10">
        <v>22</v>
      </c>
      <c r="B26" s="4" t="s">
        <v>30</v>
      </c>
      <c r="C26" s="25">
        <v>0.36180555555555555</v>
      </c>
      <c r="D26" s="25">
        <v>0.39652777777777776</v>
      </c>
      <c r="E26" s="12">
        <v>46340</v>
      </c>
      <c r="F26" s="19">
        <v>14260</v>
      </c>
      <c r="G26" s="19">
        <f t="shared" si="1"/>
        <v>32080</v>
      </c>
      <c r="H26" s="11" t="s">
        <v>15</v>
      </c>
    </row>
    <row r="27" spans="1:8" ht="13.8">
      <c r="A27" s="7">
        <v>23</v>
      </c>
      <c r="B27" s="3" t="s">
        <v>52</v>
      </c>
      <c r="C27" s="24">
        <v>0.36249999999999999</v>
      </c>
      <c r="D27" s="24">
        <v>0.39930555555555558</v>
      </c>
      <c r="E27" s="9">
        <v>46910</v>
      </c>
      <c r="F27" s="18">
        <v>14880</v>
      </c>
      <c r="G27" s="18">
        <f t="shared" si="1"/>
        <v>32030</v>
      </c>
      <c r="H27" s="8" t="s">
        <v>15</v>
      </c>
    </row>
    <row r="28" spans="1:8" ht="13.8">
      <c r="A28" s="10">
        <v>24</v>
      </c>
      <c r="B28" s="4" t="s">
        <v>26</v>
      </c>
      <c r="C28" s="25">
        <v>0.38541666666666669</v>
      </c>
      <c r="D28" s="25">
        <v>0.40069444444444446</v>
      </c>
      <c r="E28" s="12">
        <v>44190</v>
      </c>
      <c r="F28" s="19">
        <v>13800</v>
      </c>
      <c r="G28" s="19">
        <f t="shared" si="1"/>
        <v>30390</v>
      </c>
      <c r="H28" s="11" t="s">
        <v>15</v>
      </c>
    </row>
    <row r="29" spans="1:8" ht="13.8">
      <c r="A29" s="7">
        <v>25</v>
      </c>
      <c r="B29" s="3" t="s">
        <v>40</v>
      </c>
      <c r="C29" s="24">
        <v>0.3659722222222222</v>
      </c>
      <c r="D29" s="24">
        <v>0.40277777777777779</v>
      </c>
      <c r="E29" s="9">
        <v>42370</v>
      </c>
      <c r="F29" s="18">
        <v>12640</v>
      </c>
      <c r="G29" s="18">
        <f t="shared" ref="G29:G32" si="2">E29-F29</f>
        <v>29730</v>
      </c>
      <c r="H29" s="8" t="s">
        <v>15</v>
      </c>
    </row>
    <row r="30" spans="1:8" ht="13.8">
      <c r="A30" s="10">
        <v>26</v>
      </c>
      <c r="B30" s="4" t="s">
        <v>20</v>
      </c>
      <c r="C30" s="25">
        <v>0.36666666666666664</v>
      </c>
      <c r="D30" s="25">
        <v>0.40555555555555556</v>
      </c>
      <c r="E30" s="12">
        <v>44550</v>
      </c>
      <c r="F30" s="19">
        <v>14530</v>
      </c>
      <c r="G30" s="19">
        <f t="shared" si="2"/>
        <v>30020</v>
      </c>
      <c r="H30" s="11" t="s">
        <v>15</v>
      </c>
    </row>
    <row r="31" spans="1:8" ht="13.8">
      <c r="A31" s="7">
        <v>27</v>
      </c>
      <c r="B31" s="3" t="s">
        <v>37</v>
      </c>
      <c r="C31" s="24">
        <v>0.36666666666666664</v>
      </c>
      <c r="D31" s="24">
        <v>0.40625</v>
      </c>
      <c r="E31" s="9">
        <v>46670</v>
      </c>
      <c r="F31" s="18">
        <v>13550</v>
      </c>
      <c r="G31" s="18">
        <f t="shared" si="2"/>
        <v>33120</v>
      </c>
      <c r="H31" s="8" t="s">
        <v>15</v>
      </c>
    </row>
    <row r="32" spans="1:8" ht="13.8">
      <c r="A32" s="10">
        <v>28</v>
      </c>
      <c r="B32" s="4" t="s">
        <v>53</v>
      </c>
      <c r="C32" s="25">
        <v>0.36805555555555558</v>
      </c>
      <c r="D32" s="25">
        <v>0.40972222222222221</v>
      </c>
      <c r="E32" s="12">
        <v>46110</v>
      </c>
      <c r="F32" s="19">
        <v>14030</v>
      </c>
      <c r="G32" s="19">
        <f t="shared" si="2"/>
        <v>32080</v>
      </c>
      <c r="H32" s="11" t="s">
        <v>15</v>
      </c>
    </row>
    <row r="33" spans="1:8" ht="13.8">
      <c r="A33" s="7">
        <v>29</v>
      </c>
      <c r="B33" s="3" t="s">
        <v>54</v>
      </c>
      <c r="C33" s="24">
        <v>0.36875000000000002</v>
      </c>
      <c r="D33" s="24">
        <v>0.41041666666666665</v>
      </c>
      <c r="E33" s="9">
        <v>39960</v>
      </c>
      <c r="F33" s="18">
        <v>12290</v>
      </c>
      <c r="G33" s="18">
        <f t="shared" si="1"/>
        <v>27670</v>
      </c>
      <c r="H33" s="8" t="s">
        <v>15</v>
      </c>
    </row>
    <row r="34" spans="1:8" ht="13.8">
      <c r="A34" s="10">
        <v>30</v>
      </c>
      <c r="B34" s="4" t="s">
        <v>19</v>
      </c>
      <c r="C34" s="25">
        <v>0.36875000000000002</v>
      </c>
      <c r="D34" s="25">
        <v>0.4152777777777778</v>
      </c>
      <c r="E34" s="12">
        <v>67150</v>
      </c>
      <c r="F34" s="19">
        <v>23380</v>
      </c>
      <c r="G34" s="19">
        <f t="shared" si="1"/>
        <v>43770</v>
      </c>
      <c r="H34" s="11" t="s">
        <v>15</v>
      </c>
    </row>
    <row r="35" spans="1:8" ht="13.8">
      <c r="A35" s="7">
        <v>31</v>
      </c>
      <c r="B35" s="3" t="s">
        <v>34</v>
      </c>
      <c r="C35" s="24">
        <v>0.37638888888888888</v>
      </c>
      <c r="D35" s="24">
        <v>0.41736111111111113</v>
      </c>
      <c r="E35" s="9">
        <v>66120</v>
      </c>
      <c r="F35" s="18">
        <v>23450</v>
      </c>
      <c r="G35" s="18">
        <f t="shared" si="1"/>
        <v>42670</v>
      </c>
      <c r="H35" s="8" t="s">
        <v>15</v>
      </c>
    </row>
    <row r="36" spans="1:8" ht="13.8">
      <c r="A36" s="10">
        <v>32</v>
      </c>
      <c r="B36" s="4" t="s">
        <v>33</v>
      </c>
      <c r="C36" s="25">
        <v>0.36944444444444446</v>
      </c>
      <c r="D36" s="25">
        <v>0.4201388888888889</v>
      </c>
      <c r="E36" s="12">
        <v>66170</v>
      </c>
      <c r="F36" s="19">
        <v>23290</v>
      </c>
      <c r="G36" s="19">
        <f t="shared" si="1"/>
        <v>42880</v>
      </c>
      <c r="H36" s="11" t="s">
        <v>15</v>
      </c>
    </row>
    <row r="37" spans="1:8" ht="13.8">
      <c r="A37" s="7">
        <v>33</v>
      </c>
      <c r="B37" s="3" t="s">
        <v>55</v>
      </c>
      <c r="C37" s="24">
        <v>0.36944444444444446</v>
      </c>
      <c r="D37" s="24">
        <v>0.42291666666666666</v>
      </c>
      <c r="E37" s="9">
        <v>44300</v>
      </c>
      <c r="F37" s="18">
        <v>13590</v>
      </c>
      <c r="G37" s="18">
        <f t="shared" si="1"/>
        <v>30710</v>
      </c>
      <c r="H37" s="8" t="s">
        <v>15</v>
      </c>
    </row>
    <row r="38" spans="1:8" ht="13.8">
      <c r="A38" s="10">
        <v>34</v>
      </c>
      <c r="B38" s="4" t="s">
        <v>32</v>
      </c>
      <c r="C38" s="25">
        <v>0.34930555555555554</v>
      </c>
      <c r="D38" s="25">
        <v>0.4236111111111111</v>
      </c>
      <c r="E38" s="12">
        <v>42890</v>
      </c>
      <c r="F38" s="19">
        <v>13880</v>
      </c>
      <c r="G38" s="19">
        <f t="shared" si="1"/>
        <v>29010</v>
      </c>
      <c r="H38" s="11" t="s">
        <v>15</v>
      </c>
    </row>
    <row r="39" spans="1:8" ht="13.8">
      <c r="A39" s="7">
        <v>35</v>
      </c>
      <c r="B39" s="3" t="s">
        <v>24</v>
      </c>
      <c r="C39" s="24">
        <v>0.35</v>
      </c>
      <c r="D39" s="24">
        <v>0.42708333333333331</v>
      </c>
      <c r="E39" s="9">
        <v>49490</v>
      </c>
      <c r="F39" s="18">
        <v>16960</v>
      </c>
      <c r="G39" s="18">
        <f t="shared" si="0"/>
        <v>32530</v>
      </c>
      <c r="H39" s="8" t="s">
        <v>15</v>
      </c>
    </row>
    <row r="40" spans="1:8" ht="13.8">
      <c r="A40" s="10">
        <v>36</v>
      </c>
      <c r="B40" s="4" t="s">
        <v>56</v>
      </c>
      <c r="C40" s="25">
        <v>0.36319444444444443</v>
      </c>
      <c r="D40" s="25">
        <v>0.4284722222222222</v>
      </c>
      <c r="E40" s="12">
        <v>47390</v>
      </c>
      <c r="F40" s="19">
        <v>14900</v>
      </c>
      <c r="G40" s="19">
        <f t="shared" si="0"/>
        <v>32490</v>
      </c>
      <c r="H40" s="11" t="s">
        <v>15</v>
      </c>
    </row>
    <row r="41" spans="1:8" ht="13.8">
      <c r="A41" s="7">
        <v>37</v>
      </c>
      <c r="B41" s="3" t="s">
        <v>38</v>
      </c>
      <c r="C41" s="24">
        <v>0.44583333333333336</v>
      </c>
      <c r="D41" s="24">
        <v>0.4548611111111111</v>
      </c>
      <c r="E41" s="9">
        <v>43350</v>
      </c>
      <c r="F41" s="18">
        <v>13790</v>
      </c>
      <c r="G41" s="18">
        <f t="shared" si="0"/>
        <v>29560</v>
      </c>
      <c r="H41" s="8" t="s">
        <v>15</v>
      </c>
    </row>
    <row r="42" spans="1:8" ht="15.75" customHeight="1">
      <c r="A42" s="10" t="s">
        <v>16</v>
      </c>
      <c r="B42" s="20"/>
      <c r="C42" s="21"/>
      <c r="D42" s="21"/>
      <c r="E42" s="22">
        <f>SUM(E5:E41)</f>
        <v>1746940</v>
      </c>
      <c r="F42" s="22">
        <f>SUM(F5:F41)</f>
        <v>562710</v>
      </c>
      <c r="G42" s="22">
        <f>SUM(G5:G41)</f>
        <v>1184230</v>
      </c>
      <c r="H42" s="23"/>
    </row>
    <row r="43" spans="1:8" ht="15.75" customHeight="1">
      <c r="F43" s="17"/>
      <c r="G43" s="17"/>
    </row>
    <row r="44" spans="1:8" ht="15.75" customHeight="1">
      <c r="F44" s="17"/>
      <c r="G44" s="17"/>
    </row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/>
  <cols>
    <col min="2" max="2" width="9.5546875" bestFit="1" customWidth="1"/>
  </cols>
  <sheetData>
    <row r="1" spans="1:2">
      <c r="A1" s="29"/>
      <c r="B1" s="2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2026-05-26T06:53:29Z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