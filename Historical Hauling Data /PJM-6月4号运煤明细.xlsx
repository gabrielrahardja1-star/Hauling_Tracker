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F:\运煤明细\2026年6月份\PJM-6月份运煤明细\"/>
    </mc:Choice>
  </mc:AlternateContent>
  <xr:revisionPtr revIDLastSave="0" documentId="13_ncr:1_{34CC14BD-BD77-4FC8-A333-91BCC18B99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F16" i="1"/>
  <c r="G15" i="1" l="1"/>
  <c r="G14" i="1" l="1"/>
  <c r="G13" i="1"/>
  <c r="G12" i="1"/>
  <c r="G11" i="1"/>
  <c r="G10" i="1"/>
  <c r="G9" i="1"/>
  <c r="G8" i="1"/>
  <c r="G7" i="1"/>
  <c r="G6" i="1"/>
  <c r="G5" i="1"/>
  <c r="G16" i="1" l="1"/>
  <c r="G2" i="1" l="1"/>
</calcChain>
</file>

<file path=xl/sharedStrings.xml><?xml version="1.0" encoding="utf-8"?>
<sst xmlns="http://schemas.openxmlformats.org/spreadsheetml/2006/main" count="41" uniqueCount="31">
  <si>
    <t>序号</t>
  </si>
  <si>
    <t>车号</t>
  </si>
  <si>
    <t>进入时间</t>
  </si>
  <si>
    <t>离开时间</t>
  </si>
  <si>
    <t>总重(MMI)</t>
  </si>
  <si>
    <t>皮重(MMI)</t>
  </si>
  <si>
    <t>净重(MMI)</t>
  </si>
  <si>
    <t>天气(MMI)</t>
  </si>
  <si>
    <t>No Lambung</t>
  </si>
  <si>
    <t>Jam Masuk (WITA)</t>
  </si>
  <si>
    <t>Jam Keluar (WITA)</t>
  </si>
  <si>
    <t>Gross Site (KG)</t>
  </si>
  <si>
    <t>Tare Site (KG)</t>
  </si>
  <si>
    <t>Netto Site (KG)</t>
  </si>
  <si>
    <t>Cuaca (MMI)</t>
  </si>
  <si>
    <t>晴(Cerah)</t>
  </si>
  <si>
    <t>总计</t>
    <phoneticPr fontId="1" type="noConversion"/>
  </si>
  <si>
    <t>No. Tiket</t>
    <phoneticPr fontId="1" type="noConversion"/>
  </si>
  <si>
    <t>精煤</t>
    <phoneticPr fontId="1" type="noConversion"/>
  </si>
  <si>
    <t>PJM 089</t>
  </si>
  <si>
    <t>PJM 049</t>
  </si>
  <si>
    <t>PJM 017</t>
  </si>
  <si>
    <t>PJM 028</t>
  </si>
  <si>
    <t>PJM 059</t>
  </si>
  <si>
    <t>PJM 041</t>
  </si>
  <si>
    <t>PJM 052</t>
  </si>
  <si>
    <t>PJM 091</t>
  </si>
  <si>
    <t>PJM 051</t>
  </si>
  <si>
    <t>PJM 069</t>
  </si>
  <si>
    <t>PJM 039</t>
  </si>
  <si>
    <t xml:space="preserve">2026年6月4日运煤明细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</si>
</sst>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h:mm;@"/>
    <numFmt numFmtId="179" formatCode="0_ ;[Red]\-0\ "/>
  </numFmts>
  <fonts count="8" x14ac:knownFonts="1"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8"/>
      <color theme="1"/>
      <name val="等线"/>
      <family val="3"/>
      <charset val="134"/>
    </font>
    <font>
      <sz val="8"/>
      <color theme="1"/>
      <name val="Microsoft YaHei UI"/>
      <family val="1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Calibri"/>
      <family val="2"/>
    </font>
    <font>
      <b/>
      <sz val="11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176" fontId="2" fillId="0" borderId="3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4" fillId="0" borderId="0" xfId="0" applyNumberFormat="1" applyFont="1"/>
    <xf numFmtId="176" fontId="4" fillId="0" borderId="0" xfId="0" applyNumberFormat="1" applyFont="1"/>
    <xf numFmtId="179" fontId="3" fillId="3" borderId="3" xfId="0" applyNumberFormat="1" applyFont="1" applyFill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20" fontId="3" fillId="3" borderId="3" xfId="0" applyNumberFormat="1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79" fontId="0" fillId="5" borderId="3" xfId="0" applyNumberFormat="1" applyFill="1" applyBorder="1" applyAlignment="1">
      <alignment horizontal="center" vertical="center"/>
    </xf>
    <xf numFmtId="179" fontId="4" fillId="0" borderId="0" xfId="0" applyNumberFormat="1" applyFont="1"/>
    <xf numFmtId="0" fontId="5" fillId="0" borderId="0" xfId="0" applyFont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/>
    <xf numFmtId="49" fontId="4" fillId="0" borderId="3" xfId="0" applyNumberFormat="1" applyFont="1" applyFill="1" applyBorder="1"/>
    <xf numFmtId="179" fontId="3" fillId="0" borderId="3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zoomScale="110" zoomScaleNormal="110" workbookViewId="0">
      <selection activeCell="C5" sqref="C5:D15"/>
    </sheetView>
  </sheetViews>
  <sheetFormatPr defaultColWidth="14.44140625" defaultRowHeight="15" customHeight="1" x14ac:dyDescent="0.25"/>
  <cols>
    <col min="1" max="1" width="8.21875" style="5" customWidth="1"/>
    <col min="2" max="2" width="13" style="5" customWidth="1"/>
    <col min="3" max="4" width="13" style="16" customWidth="1"/>
    <col min="5" max="5" width="13.21875" style="17" customWidth="1"/>
    <col min="6" max="7" width="13.21875" style="5" customWidth="1"/>
    <col min="8" max="16384" width="14.44140625" style="5"/>
  </cols>
  <sheetData>
    <row r="1" spans="1:10" ht="33" customHeight="1" x14ac:dyDescent="0.25">
      <c r="A1" s="26" t="s">
        <v>30</v>
      </c>
      <c r="B1" s="26"/>
      <c r="C1" s="26"/>
      <c r="D1" s="26"/>
      <c r="E1" s="26"/>
      <c r="F1" s="26"/>
      <c r="G1" s="22" t="s">
        <v>18</v>
      </c>
      <c r="H1" s="22"/>
    </row>
    <row r="2" spans="1:10" ht="30.75" customHeight="1" x14ac:dyDescent="0.25">
      <c r="A2" s="27">
        <v>46177</v>
      </c>
      <c r="B2" s="28"/>
      <c r="C2" s="28"/>
      <c r="D2" s="28"/>
      <c r="E2" s="28"/>
      <c r="F2" s="28"/>
      <c r="G2" s="24">
        <f>G16</f>
        <v>357290</v>
      </c>
      <c r="H2" s="23"/>
      <c r="J2" s="25"/>
    </row>
    <row r="3" spans="1:10" ht="28.2" customHeight="1" x14ac:dyDescent="0.25">
      <c r="A3" s="1" t="s">
        <v>0</v>
      </c>
      <c r="B3" s="1" t="s">
        <v>1</v>
      </c>
      <c r="C3" s="13" t="s">
        <v>2</v>
      </c>
      <c r="D3" s="13" t="s">
        <v>3</v>
      </c>
      <c r="E3" s="6" t="s">
        <v>4</v>
      </c>
      <c r="F3" s="1" t="s">
        <v>5</v>
      </c>
      <c r="G3" s="1" t="s">
        <v>6</v>
      </c>
      <c r="H3" s="1" t="s">
        <v>7</v>
      </c>
    </row>
    <row r="4" spans="1:10" s="15" customFormat="1" ht="28.2" customHeight="1" x14ac:dyDescent="0.3">
      <c r="A4" s="2" t="s">
        <v>17</v>
      </c>
      <c r="B4" s="2" t="s">
        <v>8</v>
      </c>
      <c r="C4" s="14" t="s">
        <v>9</v>
      </c>
      <c r="D4" s="14" t="s">
        <v>10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10" ht="13.8" x14ac:dyDescent="0.25">
      <c r="A5" s="7">
        <v>1</v>
      </c>
      <c r="B5" s="3" t="s">
        <v>28</v>
      </c>
      <c r="C5" s="20">
        <v>0.33958333333333335</v>
      </c>
      <c r="D5" s="20">
        <v>0.35486111111111113</v>
      </c>
      <c r="E5" s="9">
        <v>46670</v>
      </c>
      <c r="F5" s="18">
        <v>14720</v>
      </c>
      <c r="G5" s="18">
        <f t="shared" ref="G5:G15" si="0">E5-F5</f>
        <v>31950</v>
      </c>
      <c r="H5" s="8" t="s">
        <v>15</v>
      </c>
    </row>
    <row r="6" spans="1:10" ht="13.8" x14ac:dyDescent="0.25">
      <c r="A6" s="10">
        <v>2</v>
      </c>
      <c r="B6" s="4" t="s">
        <v>19</v>
      </c>
      <c r="C6" s="21">
        <v>0.34097222222222223</v>
      </c>
      <c r="D6" s="21">
        <v>0.36041666666666666</v>
      </c>
      <c r="E6" s="12">
        <v>46840</v>
      </c>
      <c r="F6" s="19">
        <v>14220</v>
      </c>
      <c r="G6" s="19">
        <f t="shared" si="0"/>
        <v>32620</v>
      </c>
      <c r="H6" s="11" t="s">
        <v>15</v>
      </c>
    </row>
    <row r="7" spans="1:10" ht="13.8" x14ac:dyDescent="0.25">
      <c r="A7" s="7">
        <v>3</v>
      </c>
      <c r="B7" s="3" t="s">
        <v>26</v>
      </c>
      <c r="C7" s="20">
        <v>0.34166666666666667</v>
      </c>
      <c r="D7" s="20">
        <v>0.36319444444444443</v>
      </c>
      <c r="E7" s="9">
        <v>47070</v>
      </c>
      <c r="F7" s="18">
        <v>14950</v>
      </c>
      <c r="G7" s="18">
        <f t="shared" si="0"/>
        <v>32120</v>
      </c>
      <c r="H7" s="8" t="s">
        <v>15</v>
      </c>
    </row>
    <row r="8" spans="1:10" ht="13.8" x14ac:dyDescent="0.25">
      <c r="A8" s="10">
        <v>4</v>
      </c>
      <c r="B8" s="4" t="s">
        <v>29</v>
      </c>
      <c r="C8" s="21">
        <v>0.34236111111111112</v>
      </c>
      <c r="D8" s="21">
        <v>0.36527777777777776</v>
      </c>
      <c r="E8" s="12">
        <v>47140</v>
      </c>
      <c r="F8" s="19">
        <v>14790</v>
      </c>
      <c r="G8" s="19">
        <f t="shared" si="0"/>
        <v>32350</v>
      </c>
      <c r="H8" s="11" t="s">
        <v>15</v>
      </c>
    </row>
    <row r="9" spans="1:10" ht="13.8" x14ac:dyDescent="0.25">
      <c r="A9" s="7">
        <v>5</v>
      </c>
      <c r="B9" s="3" t="s">
        <v>25</v>
      </c>
      <c r="C9" s="20">
        <v>0.34236111111111112</v>
      </c>
      <c r="D9" s="20">
        <v>0.36736111111111114</v>
      </c>
      <c r="E9" s="9">
        <v>47250</v>
      </c>
      <c r="F9" s="18">
        <v>14090</v>
      </c>
      <c r="G9" s="18">
        <f t="shared" si="0"/>
        <v>33160</v>
      </c>
      <c r="H9" s="8" t="s">
        <v>15</v>
      </c>
    </row>
    <row r="10" spans="1:10" ht="13.8" x14ac:dyDescent="0.25">
      <c r="A10" s="10">
        <v>6</v>
      </c>
      <c r="B10" s="4" t="s">
        <v>21</v>
      </c>
      <c r="C10" s="21">
        <v>0.34166666666666667</v>
      </c>
      <c r="D10" s="21">
        <v>0.36944444444444446</v>
      </c>
      <c r="E10" s="12">
        <v>47750</v>
      </c>
      <c r="F10" s="19">
        <v>14630</v>
      </c>
      <c r="G10" s="19">
        <f t="shared" si="0"/>
        <v>33120</v>
      </c>
      <c r="H10" s="11" t="s">
        <v>15</v>
      </c>
    </row>
    <row r="11" spans="1:10" ht="13.8" x14ac:dyDescent="0.25">
      <c r="A11" s="7">
        <v>7</v>
      </c>
      <c r="B11" s="3" t="s">
        <v>20</v>
      </c>
      <c r="C11" s="20">
        <v>0.34305555555555556</v>
      </c>
      <c r="D11" s="20">
        <v>0.37222222222222223</v>
      </c>
      <c r="E11" s="9">
        <v>47670</v>
      </c>
      <c r="F11" s="18">
        <v>14610</v>
      </c>
      <c r="G11" s="18">
        <f t="shared" si="0"/>
        <v>33060</v>
      </c>
      <c r="H11" s="8" t="s">
        <v>15</v>
      </c>
    </row>
    <row r="12" spans="1:10" ht="13.8" x14ac:dyDescent="0.25">
      <c r="A12" s="10">
        <v>8</v>
      </c>
      <c r="B12" s="4" t="s">
        <v>27</v>
      </c>
      <c r="C12" s="21">
        <v>0.34236111111111112</v>
      </c>
      <c r="D12" s="21">
        <v>0.37430555555555556</v>
      </c>
      <c r="E12" s="12">
        <v>45700</v>
      </c>
      <c r="F12" s="19">
        <v>14030</v>
      </c>
      <c r="G12" s="19">
        <f t="shared" si="0"/>
        <v>31670</v>
      </c>
      <c r="H12" s="11" t="s">
        <v>15</v>
      </c>
    </row>
    <row r="13" spans="1:10" ht="13.8" x14ac:dyDescent="0.25">
      <c r="A13" s="7">
        <v>9</v>
      </c>
      <c r="B13" s="3" t="s">
        <v>24</v>
      </c>
      <c r="C13" s="20">
        <v>0.35208333333333336</v>
      </c>
      <c r="D13" s="20">
        <v>0.37777777777777777</v>
      </c>
      <c r="E13" s="9">
        <v>48710</v>
      </c>
      <c r="F13" s="18">
        <v>14350</v>
      </c>
      <c r="G13" s="18">
        <f t="shared" si="0"/>
        <v>34360</v>
      </c>
      <c r="H13" s="8" t="s">
        <v>15</v>
      </c>
    </row>
    <row r="14" spans="1:10" ht="13.8" x14ac:dyDescent="0.25">
      <c r="A14" s="10">
        <v>10</v>
      </c>
      <c r="B14" s="4" t="s">
        <v>23</v>
      </c>
      <c r="C14" s="21">
        <v>0.34583333333333333</v>
      </c>
      <c r="D14" s="21">
        <v>0.37916666666666665</v>
      </c>
      <c r="E14" s="12">
        <v>46360</v>
      </c>
      <c r="F14" s="19">
        <v>14820</v>
      </c>
      <c r="G14" s="19">
        <f t="shared" si="0"/>
        <v>31540</v>
      </c>
      <c r="H14" s="11" t="s">
        <v>15</v>
      </c>
    </row>
    <row r="15" spans="1:10" ht="13.8" x14ac:dyDescent="0.25">
      <c r="A15" s="7">
        <v>11</v>
      </c>
      <c r="B15" s="3" t="s">
        <v>22</v>
      </c>
      <c r="C15" s="20">
        <v>0.36875000000000002</v>
      </c>
      <c r="D15" s="20">
        <v>0.38333333333333336</v>
      </c>
      <c r="E15" s="9">
        <v>45630</v>
      </c>
      <c r="F15" s="18">
        <v>14290</v>
      </c>
      <c r="G15" s="18">
        <f t="shared" si="0"/>
        <v>31340</v>
      </c>
      <c r="H15" s="8" t="s">
        <v>15</v>
      </c>
    </row>
    <row r="16" spans="1:10" ht="15.75" customHeight="1" x14ac:dyDescent="0.35">
      <c r="A16" s="29" t="s">
        <v>16</v>
      </c>
      <c r="B16" s="30"/>
      <c r="C16" s="31"/>
      <c r="D16" s="31"/>
      <c r="E16" s="32">
        <f>SUM(E5:E15)</f>
        <v>516790</v>
      </c>
      <c r="F16" s="32">
        <f>SUM(F5:F15)</f>
        <v>159500</v>
      </c>
      <c r="G16" s="32">
        <f>SUM(G5:G15)</f>
        <v>357290</v>
      </c>
      <c r="H16" s="33"/>
    </row>
    <row r="17" spans="6:7" ht="15.75" customHeight="1" x14ac:dyDescent="0.25">
      <c r="F17" s="17"/>
      <c r="G17" s="17"/>
    </row>
    <row r="18" spans="6:7" ht="15.75" customHeight="1" x14ac:dyDescent="0.25">
      <c r="F18" s="17"/>
      <c r="G18" s="17"/>
    </row>
    <row r="19" spans="6:7" ht="15.75" customHeight="1" x14ac:dyDescent="0.25"/>
    <row r="20" spans="6:7" ht="15.75" customHeight="1" x14ac:dyDescent="0.25"/>
    <row r="21" spans="6:7" ht="15.75" customHeight="1" x14ac:dyDescent="0.25"/>
    <row r="22" spans="6:7" ht="15.75" customHeight="1" x14ac:dyDescent="0.25"/>
    <row r="23" spans="6:7" ht="15.75" customHeight="1" x14ac:dyDescent="0.25"/>
    <row r="24" spans="6:7" ht="15.75" customHeight="1" x14ac:dyDescent="0.25"/>
    <row r="25" spans="6:7" ht="15.75" customHeight="1" x14ac:dyDescent="0.25"/>
    <row r="26" spans="6:7" ht="15.75" customHeight="1" x14ac:dyDescent="0.25"/>
    <row r="27" spans="6:7" ht="15.75" customHeight="1" x14ac:dyDescent="0.25"/>
    <row r="28" spans="6:7" ht="15.75" customHeight="1" x14ac:dyDescent="0.25"/>
    <row r="29" spans="6:7" ht="15.75" customHeight="1" x14ac:dyDescent="0.25"/>
    <row r="30" spans="6:7" ht="15.75" customHeight="1" x14ac:dyDescent="0.25"/>
    <row r="31" spans="6:7" ht="15.75" customHeight="1" x14ac:dyDescent="0.25"/>
    <row r="32" spans="6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</sheetData>
  <mergeCells count="2">
    <mergeCell ref="A1:F1"/>
    <mergeCell ref="A2:F2"/>
  </mergeCells>
  <phoneticPr fontId="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20"/>
    </sheetView>
  </sheetViews>
  <sheetFormatPr defaultColWidth="9" defaultRowHeight="13.8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</cp:lastModifiedBy>
  <dcterms:created xsi:type="dcterms:W3CDTF">2015-06-05T18:17:00Z</dcterms:created>
  <dcterms:modified xsi:type="dcterms:W3CDTF">2026-06-04T01:51:07Z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58CF17D2843F41348D99F0A1C72B6425_12</vt:lpwstr>
  </property>
  <property fmtid="{D5CDD505-2E9C-101B-9397-08002B2CF9AE}" pid="3" name="KSOProductBuildVer">
    <vt:lpwstr>2052-12.1.0.18912</vt:lpwstr>
  </property>
</Properties>
</file>